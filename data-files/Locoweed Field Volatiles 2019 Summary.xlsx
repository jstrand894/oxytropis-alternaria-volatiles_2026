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showObjects="none"/>
  <mc:AlternateContent xmlns:mc="http://schemas.openxmlformats.org/markup-compatibility/2006">
    <mc:Choice Requires="x15">
      <x15ac:absPath xmlns:x15ac="http://schemas.microsoft.com/office/spreadsheetml/2010/11/ac" url="https://montanaedu-my.sharepoint.com/personal/n47c392_msu_montana_edu/Documents/Documents/PhD/Locoweed/"/>
    </mc:Choice>
  </mc:AlternateContent>
  <xr:revisionPtr revIDLastSave="57" documentId="13_ncr:1_{09D9F96E-6E6F-4BD7-80AF-8008884043B5}" xr6:coauthVersionLast="47" xr6:coauthVersionMax="47" xr10:uidLastSave="{AC34816A-688A-084D-BCE6-B0E8D62E41EC}"/>
  <bookViews>
    <workbookView minimized="1" xWindow="38400" yWindow="8680" windowWidth="29400" windowHeight="18380" activeTab="2" xr2:uid="{00000000-000D-0000-FFFF-FFFF00000000}"/>
  </bookViews>
  <sheets>
    <sheet name="ng per g per hr" sheetId="2" r:id="rId1"/>
    <sheet name="quick charts" sheetId="1" r:id="rId2"/>
    <sheet name="Sheet3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<sst xmlns="http://schemas.openxmlformats.org/spreadsheetml/2006/main" count="368" uniqueCount="84">
  <si>
    <t>Row Labels</t>
  </si>
  <si>
    <t>Endophyte</t>
  </si>
  <si>
    <t>benzaldehyde - 8.25</t>
  </si>
  <si>
    <t>SE</t>
  </si>
  <si>
    <t>linalool - 12.74</t>
  </si>
  <si>
    <t>1,1-Dimethyl-3-methylene-2-vinylcyclohexane - 13.17</t>
  </si>
  <si>
    <t>geranyl acetone - 22.48</t>
  </si>
  <si>
    <t>.γ-Cadinene 23.99</t>
  </si>
  <si>
    <t>hexahydrofarnesyl acetone 31.27</t>
  </si>
  <si>
    <t>Jun</t>
  </si>
  <si>
    <t>E-</t>
  </si>
  <si>
    <t>E+</t>
  </si>
  <si>
    <t>Aug</t>
  </si>
  <si>
    <t>Collection Date</t>
  </si>
  <si>
    <t>z-3-hex ace - 9.8</t>
  </si>
  <si>
    <t>212C</t>
  </si>
  <si>
    <t>218A</t>
  </si>
  <si>
    <t>Average of benzaldehyde - 8.25</t>
  </si>
  <si>
    <t>StdDev of benzaldehyde - 8.25_2</t>
  </si>
  <si>
    <t>Average of z-3-hex ace - 9.8</t>
  </si>
  <si>
    <t>StdDev of z-3-hex ace - 9.8_2</t>
  </si>
  <si>
    <t>Average of linalool - 12.74</t>
  </si>
  <si>
    <t>StdDev of linalool - 12.74_2</t>
  </si>
  <si>
    <t>Average of 1,1-Dimethyl-3-methylene-2-vinylcyclohexane - 13.17</t>
  </si>
  <si>
    <t>StdDev of 1,1-Dimethyl-3-methylene-2-vinylcyclohexane - 13.17_2</t>
  </si>
  <si>
    <t>Average of geranyl acetone - 22.48</t>
  </si>
  <si>
    <t>StdDev of geranyl acetone - 22.48_2</t>
  </si>
  <si>
    <t>Average of muurolene 23.99</t>
  </si>
  <si>
    <t>StdDev of muurolene 23.99_2</t>
  </si>
  <si>
    <t>Average of hexahydrofarnesyl acetone 31.27</t>
  </si>
  <si>
    <t>StdDev of hexahydrofarnesyl acetone 31.27_2</t>
  </si>
  <si>
    <t>Average of manoyl oxide 34.53</t>
  </si>
  <si>
    <t>StdDev of manoyl oxide 34.53_2</t>
  </si>
  <si>
    <t>223E</t>
  </si>
  <si>
    <t>223G</t>
  </si>
  <si>
    <t>223H</t>
  </si>
  <si>
    <t>223I</t>
  </si>
  <si>
    <t>226G</t>
  </si>
  <si>
    <t>Grand Total</t>
  </si>
  <si>
    <t>227H</t>
  </si>
  <si>
    <t>235C</t>
  </si>
  <si>
    <t>462B</t>
  </si>
  <si>
    <t>254C</t>
  </si>
  <si>
    <t>254I</t>
  </si>
  <si>
    <t>256C</t>
  </si>
  <si>
    <t>256J</t>
  </si>
  <si>
    <t>256K</t>
  </si>
  <si>
    <t>270C</t>
  </si>
  <si>
    <t>294J</t>
  </si>
  <si>
    <t>297F</t>
  </si>
  <si>
    <t>309A</t>
  </si>
  <si>
    <t>254G</t>
  </si>
  <si>
    <t>234A</t>
  </si>
  <si>
    <t>282A</t>
  </si>
  <si>
    <t>294B</t>
  </si>
  <si>
    <t>Anova: Single Factor</t>
  </si>
  <si>
    <t>SUMMARY</t>
  </si>
  <si>
    <t>Groups</t>
  </si>
  <si>
    <t>Count</t>
  </si>
  <si>
    <t>Sum</t>
  </si>
  <si>
    <t>Average</t>
  </si>
  <si>
    <t>Variance</t>
  </si>
  <si>
    <t>Column 1</t>
  </si>
  <si>
    <t>Column 2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</si>
  <si>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</si>
  <si>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</si>
  <si>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</si>
  <si>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</si>
  <si>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</si>
  <si>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</si>
  <si>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</si>
  <si>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</si>
  <si>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</si>
  <si>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</si>
  <si>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</si>
  <si>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Linalool - not different</t>
  </si>
  <si>
    <t>unknown terp - not different</t>
  </si>
  <si>
    <t>geranyl acetone - not different</t>
  </si>
  <si>
    <t>Unknonwn sesquiterp</t>
  </si>
  <si>
    <t>collection</t>
  </si>
  <si>
    <t>endophyte</t>
  </si>
  <si>
    <t>plant</t>
  </si>
  <si>
    <t>biomass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</si>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</sst>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Benzaldehyde</a:t>
            </a:r>
            <a:r>
              <a:rPr lang="en-US" baseline="0"/>
              <a:t> - June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accent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E9B-4C88-B23C-CAAEDD06B322}"/>
              </c:ext>
            </c:extLst>
          </c:dPt>
          <c:errBars>
            <c:errBarType val="both"/>
            <c:errValType val="cust"/>
            <c:noEndCap val="0"/>
            <c:plus>
              <c:numRef>
                <c:f>'quick charts'!$D$2:$D$3</c:f>
                <c:numCache>
                  <c:formatCode>General</c:formatCode>
                  <c:ptCount val="2"/>
                  <c:pt idx="0">
                    <c:v>1.4061463273159691</c:v>
                  </c:pt>
                  <c:pt idx="1">
                    <c:v>0.15519050059902359</c:v>
                  </c:pt>
                </c:numCache>
              </c:numRef>
            </c:plus>
            <c:minus>
              <c:numRef>
                <c:f>'quick charts'!$D$2:$D$3</c:f>
                <c:numCache>
                  <c:formatCode>General</c:formatCode>
                  <c:ptCount val="2"/>
                  <c:pt idx="0">
                    <c:v>1.4061463273159691</c:v>
                  </c:pt>
                  <c:pt idx="1">
                    <c:v>0.15519050059902359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'quick charts'!$A$2:$B$3</c:f>
              <c:multiLvlStrCache>
                <c:ptCount val="2"/>
                <c:lvl>
                  <c:pt idx="0">
                    <c:v>E-</c:v>
                  </c:pt>
                  <c:pt idx="1">
                    <c:v>E+</c:v>
                  </c:pt>
                </c:lvl>
                <c:lvl>
                  <c:pt idx="0">
                    <c:v>Jun</c:v>
                  </c:pt>
                </c:lvl>
              </c:multiLvlStrCache>
            </c:multiLvlStrRef>
          </c:cat>
          <c:val>
            <c:numRef>
              <c:f>'quick charts'!$C$2:$C$3</c:f>
              <c:numCache>
                <c:formatCode>General</c:formatCode>
                <c:ptCount val="2"/>
                <c:pt idx="0">
                  <c:v>2.2755053925307278</c:v>
                </c:pt>
                <c:pt idx="1">
                  <c:v>0.50340511832456303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9A-44B1-B5D4-6F0B1715B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912416"/>
        <c:axId val="433014688"/>
      </c:barChart>
      <c:catAx>
        <c:axId val="35191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014688"/>
        <c:crosses val="autoZero"/>
        <c:auto val="1"/>
        <c:lblAlgn val="ctr"/>
        <c:lblOffset val="100"/>
        <c:noMultiLvlLbl val="0"/>
      </c:catAx>
      <c:valAx>
        <c:axId val="43301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(ng)(g</a:t>
                </a:r>
                <a:r>
                  <a:rPr lang="en-US" baseline="30000"/>
                  <a:t>-1</a:t>
                </a:r>
                <a:r>
                  <a:rPr lang="en-US"/>
                  <a:t>)(hr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91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Benzaldehyde</a:t>
            </a:r>
            <a:r>
              <a:rPr lang="en-US" baseline="0"/>
              <a:t> - August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'quick charts'!$D$4:$D$5</c:f>
                <c:numCache>
                  <c:formatCode>General</c:formatCode>
                  <c:ptCount val="2"/>
                  <c:pt idx="0">
                    <c:v>0.42441001091006708</c:v>
                  </c:pt>
                  <c:pt idx="1">
                    <c:v>0.27410519832078417</c:v>
                  </c:pt>
                </c:numCache>
              </c:numRef>
            </c:plus>
            <c:minus>
              <c:numRef>
                <c:f>'quick charts'!$D$4:$D$5</c:f>
                <c:numCache>
                  <c:formatCode>General</c:formatCode>
                  <c:ptCount val="2"/>
                  <c:pt idx="0">
                    <c:v>0.42441001091006708</c:v>
                  </c:pt>
                  <c:pt idx="1">
                    <c:v>0.27410519832078417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'quick charts'!$A$4:$B$5</c:f>
              <c:multiLvlStrCache>
                <c:ptCount val="2"/>
                <c:lvl>
                  <c:pt idx="0">
                    <c:v>E-</c:v>
                  </c:pt>
                  <c:pt idx="1">
                    <c:v>E+</c:v>
                  </c:pt>
                </c:lvl>
                <c:lvl>
                  <c:pt idx="0">
                    <c:v>Aug</c:v>
                  </c:pt>
                </c:lvl>
              </c:multiLvlStrCache>
            </c:multiLvlStrRef>
          </c:cat>
          <c:val>
            <c:numRef>
              <c:f>'quick charts'!$C$4:$C$5</c:f>
              <c:numCache>
                <c:formatCode>General</c:formatCode>
                <c:ptCount val="2"/>
                <c:pt idx="0">
                  <c:v>1.2379616505897499</c:v>
                </c:pt>
                <c:pt idx="1">
                  <c:v>0.90820776313872609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A-45DF-9979-38528FB4A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912416"/>
        <c:axId val="433014688"/>
      </c:barChart>
      <c:catAx>
        <c:axId val="35191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014688"/>
        <c:crosses val="autoZero"/>
        <c:auto val="1"/>
        <c:lblAlgn val="ctr"/>
        <c:lblOffset val="100"/>
        <c:noMultiLvlLbl val="0"/>
      </c:catAx>
      <c:valAx>
        <c:axId val="433014688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(ng)(g</a:t>
                </a:r>
                <a:r>
                  <a:rPr lang="en-US" baseline="30000"/>
                  <a:t>-1</a:t>
                </a:r>
                <a:r>
                  <a:rPr lang="en-US"/>
                  <a:t>)(hr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91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Hexahydrofarnesyl acetone - June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'quick charts'!$N$2:$N$3</c:f>
                <c:numCache>
                  <c:formatCode>General</c:formatCode>
                  <c:ptCount val="2"/>
                  <c:pt idx="0">
                    <c:v>3.382785707371995E-2</c:v>
                  </c:pt>
                  <c:pt idx="1">
                    <c:v>2.4902179377958505E-2</c:v>
                  </c:pt>
                </c:numCache>
              </c:numRef>
            </c:plus>
            <c:minus>
              <c:numRef>
                <c:f>'quick charts'!$N$2:$N$3</c:f>
                <c:numCache>
                  <c:formatCode>General</c:formatCode>
                  <c:ptCount val="2"/>
                  <c:pt idx="0">
                    <c:v>3.382785707371995E-2</c:v>
                  </c:pt>
                  <c:pt idx="1">
                    <c:v>2.4902179377958505E-2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'quick charts'!$A$2:$B$3</c:f>
              <c:multiLvlStrCache>
                <c:ptCount val="2"/>
                <c:lvl>
                  <c:pt idx="0">
                    <c:v>E-</c:v>
                  </c:pt>
                  <c:pt idx="1">
                    <c:v>E+</c:v>
                  </c:pt>
                </c:lvl>
                <c:lvl>
                  <c:pt idx="0">
                    <c:v>Jun</c:v>
                  </c:pt>
                </c:lvl>
              </c:multiLvlStrCache>
            </c:multiLvlStrRef>
          </c:cat>
          <c:val>
            <c:numRef>
              <c:f>'quick charts'!$M$2:$M$3</c:f>
              <c:numCache>
                <c:formatCode>General</c:formatCode>
                <c:ptCount val="2"/>
                <c:pt idx="0">
                  <c:v>0.11487306025443129</c:v>
                </c:pt>
                <c:pt idx="1">
                  <c:v>4.8437958068997221E-2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1-4251-A6A1-7F25D7837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912416"/>
        <c:axId val="433014688"/>
      </c:barChart>
      <c:catAx>
        <c:axId val="35191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014688"/>
        <c:crosses val="autoZero"/>
        <c:auto val="1"/>
        <c:lblAlgn val="ctr"/>
        <c:lblOffset val="100"/>
        <c:noMultiLvlLbl val="0"/>
      </c:catAx>
      <c:valAx>
        <c:axId val="433014688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(ng)(g</a:t>
                </a:r>
                <a:r>
                  <a:rPr lang="en-US" baseline="30000"/>
                  <a:t>-1</a:t>
                </a:r>
                <a:r>
                  <a:rPr lang="en-US"/>
                  <a:t>)(hr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91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Hexahydrofarnesyl acetone - June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'quick charts'!$N$4:$N$5</c:f>
                <c:numCache>
                  <c:formatCode>General</c:formatCode>
                  <c:ptCount val="2"/>
                  <c:pt idx="0">
                    <c:v>0.36827390788926873</c:v>
                  </c:pt>
                  <c:pt idx="1">
                    <c:v>0.19824303180855266</c:v>
                  </c:pt>
                </c:numCache>
              </c:numRef>
            </c:plus>
            <c:minus>
              <c:numRef>
                <c:f>'quick charts'!$N$4:$N$5</c:f>
                <c:numCache>
                  <c:formatCode>General</c:formatCode>
                  <c:ptCount val="2"/>
                  <c:pt idx="0">
                    <c:v>0.36827390788926873</c:v>
                  </c:pt>
                  <c:pt idx="1">
                    <c:v>0.19824303180855266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'quick charts'!$A$2:$B$3</c:f>
              <c:multiLvlStrCache>
                <c:ptCount val="2"/>
                <c:lvl>
                  <c:pt idx="0">
                    <c:v>E-</c:v>
                  </c:pt>
                  <c:pt idx="1">
                    <c:v>E+</c:v>
                  </c:pt>
                </c:lvl>
                <c:lvl>
                  <c:pt idx="0">
                    <c:v>Jun</c:v>
                  </c:pt>
                </c:lvl>
              </c:multiLvlStrCache>
            </c:multiLvlStrRef>
          </c:cat>
          <c:val>
            <c:numRef>
              <c:f>'quick charts'!$M$4:$M$5</c:f>
              <c:numCache>
                <c:formatCode>General</c:formatCode>
                <c:ptCount val="2"/>
                <c:pt idx="0">
                  <c:v>1.105917109886795</c:v>
                </c:pt>
                <c:pt idx="1">
                  <c:v>0.9439775092870295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0-4F53-A140-4B1CD884D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912416"/>
        <c:axId val="433014688"/>
      </c:barChart>
      <c:catAx>
        <c:axId val="35191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014688"/>
        <c:crosses val="autoZero"/>
        <c:auto val="1"/>
        <c:lblAlgn val="ctr"/>
        <c:lblOffset val="100"/>
        <c:noMultiLvlLbl val="0"/>
      </c:catAx>
      <c:valAx>
        <c:axId val="43301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(ng)(g</a:t>
                </a:r>
                <a:r>
                  <a:rPr lang="en-US" baseline="30000"/>
                  <a:t>-1</a:t>
                </a:r>
                <a:r>
                  <a:rPr lang="en-US"/>
                  <a:t>)(hr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91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Linalool </a:t>
            </a:r>
            <a:r>
              <a:rPr lang="en-US" baseline="0"/>
              <a:t>- June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'quick charts'!$F$2:$F$3</c:f>
                <c:numCache>
                  <c:formatCode>General</c:formatCode>
                  <c:ptCount val="2"/>
                  <c:pt idx="0">
                    <c:v>7.2124907260983306E-2</c:v>
                  </c:pt>
                  <c:pt idx="1">
                    <c:v>7.0184325469901165E-2</c:v>
                  </c:pt>
                </c:numCache>
              </c:numRef>
            </c:plus>
            <c:minus>
              <c:numRef>
                <c:f>'quick charts'!$F$2:$F$3</c:f>
                <c:numCache>
                  <c:formatCode>General</c:formatCode>
                  <c:ptCount val="2"/>
                  <c:pt idx="0">
                    <c:v>7.2124907260983306E-2</c:v>
                  </c:pt>
                  <c:pt idx="1">
                    <c:v>7.0184325469901165E-2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'quick charts'!$A$2:$B$3</c:f>
              <c:multiLvlStrCache>
                <c:ptCount val="2"/>
                <c:lvl>
                  <c:pt idx="0">
                    <c:v>E-</c:v>
                  </c:pt>
                  <c:pt idx="1">
                    <c:v>E+</c:v>
                  </c:pt>
                </c:lvl>
                <c:lvl>
                  <c:pt idx="0">
                    <c:v>Jun</c:v>
                  </c:pt>
                </c:lvl>
              </c:multiLvlStrCache>
            </c:multiLvlStrRef>
          </c:cat>
          <c:val>
            <c:numRef>
              <c:f>'quick charts'!$E$2:$E$3</c:f>
              <c:numCache>
                <c:formatCode>General</c:formatCode>
                <c:ptCount val="2"/>
                <c:pt idx="0">
                  <c:v>0.24736105392285285</c:v>
                </c:pt>
                <c:pt idx="1">
                  <c:v>0.16009908002973142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B8-4810-932C-66AF11CC5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912416"/>
        <c:axId val="433014688"/>
      </c:barChart>
      <c:catAx>
        <c:axId val="35191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014688"/>
        <c:crosses val="autoZero"/>
        <c:auto val="1"/>
        <c:lblAlgn val="ctr"/>
        <c:lblOffset val="100"/>
        <c:noMultiLvlLbl val="0"/>
      </c:catAx>
      <c:valAx>
        <c:axId val="43301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(ng)(g</a:t>
                </a:r>
                <a:r>
                  <a:rPr lang="en-US" baseline="30000"/>
                  <a:t>-1</a:t>
                </a:r>
                <a:r>
                  <a:rPr lang="en-US"/>
                  <a:t>)(hr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91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Unknown Terpene</a:t>
            </a:r>
            <a:r>
              <a:rPr lang="en-US" baseline="0"/>
              <a:t> - June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'quick charts'!$H$2:$H$3</c:f>
                <c:numCache>
                  <c:formatCode>General</c:formatCode>
                  <c:ptCount val="2"/>
                  <c:pt idx="0">
                    <c:v>0.28828500058445983</c:v>
                  </c:pt>
                  <c:pt idx="1">
                    <c:v>0.2407865828435353</c:v>
                  </c:pt>
                </c:numCache>
              </c:numRef>
            </c:plus>
            <c:minus>
              <c:numRef>
                <c:f>'quick charts'!$H$2:$H$3</c:f>
                <c:numCache>
                  <c:formatCode>General</c:formatCode>
                  <c:ptCount val="2"/>
                  <c:pt idx="0">
                    <c:v>0.28828500058445983</c:v>
                  </c:pt>
                  <c:pt idx="1">
                    <c:v>0.2407865828435353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'quick charts'!$A$2:$B$3</c:f>
              <c:multiLvlStrCache>
                <c:ptCount val="2"/>
                <c:lvl>
                  <c:pt idx="0">
                    <c:v>E-</c:v>
                  </c:pt>
                  <c:pt idx="1">
                    <c:v>E+</c:v>
                  </c:pt>
                </c:lvl>
                <c:lvl>
                  <c:pt idx="0">
                    <c:v>Jun</c:v>
                  </c:pt>
                </c:lvl>
              </c:multiLvlStrCache>
            </c:multiLvlStrRef>
          </c:cat>
          <c:val>
            <c:numRef>
              <c:f>'quick charts'!$G$2:$G$3</c:f>
              <c:numCache>
                <c:formatCode>General</c:formatCode>
                <c:ptCount val="2"/>
                <c:pt idx="0">
                  <c:v>0.56364511812795559</c:v>
                </c:pt>
                <c:pt idx="1">
                  <c:v>0.70349453521026273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0-4532-B320-3C59BF20A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912416"/>
        <c:axId val="433014688"/>
      </c:barChart>
      <c:catAx>
        <c:axId val="35191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014688"/>
        <c:crosses val="autoZero"/>
        <c:auto val="1"/>
        <c:lblAlgn val="ctr"/>
        <c:lblOffset val="100"/>
        <c:noMultiLvlLbl val="0"/>
      </c:catAx>
      <c:valAx>
        <c:axId val="433014688"/>
        <c:scaling>
          <c:orientation val="minMax"/>
          <c:max val="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(ng)(g</a:t>
                </a:r>
                <a:r>
                  <a:rPr lang="en-US" baseline="30000"/>
                  <a:t>-1</a:t>
                </a:r>
                <a:r>
                  <a:rPr lang="en-US"/>
                  <a:t>)(hr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91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Unknown Sesquiterpene - June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'quick charts'!$J$2:$J$3</c:f>
                <c:numCache>
                  <c:formatCode>General</c:formatCode>
                  <c:ptCount val="2"/>
                  <c:pt idx="0">
                    <c:v>8.3193904303490371E-2</c:v>
                  </c:pt>
                  <c:pt idx="1">
                    <c:v>4.3675008278947984E-2</c:v>
                  </c:pt>
                </c:numCache>
              </c:numRef>
            </c:plus>
            <c:minus>
              <c:numRef>
                <c:f>'quick charts'!$J$2:$J$3</c:f>
                <c:numCache>
                  <c:formatCode>General</c:formatCode>
                  <c:ptCount val="2"/>
                  <c:pt idx="0">
                    <c:v>8.3193904303490371E-2</c:v>
                  </c:pt>
                  <c:pt idx="1">
                    <c:v>4.3675008278947984E-2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'quick charts'!$A$2:$B$3</c:f>
              <c:multiLvlStrCache>
                <c:ptCount val="2"/>
                <c:lvl>
                  <c:pt idx="0">
                    <c:v>E-</c:v>
                  </c:pt>
                  <c:pt idx="1">
                    <c:v>E+</c:v>
                  </c:pt>
                </c:lvl>
                <c:lvl>
                  <c:pt idx="0">
                    <c:v>Jun</c:v>
                  </c:pt>
                </c:lvl>
              </c:multiLvlStrCache>
            </c:multiLvlStrRef>
          </c:cat>
          <c:val>
            <c:numRef>
              <c:f>'quick charts'!$I$2:$I$3</c:f>
              <c:numCache>
                <c:formatCode>General</c:formatCode>
                <c:ptCount val="2"/>
                <c:pt idx="0">
                  <c:v>0.25778047475494514</c:v>
                </c:pt>
                <c:pt idx="1">
                  <c:v>0.1954198153121447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2-45BF-9CC2-AE522FE0D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912416"/>
        <c:axId val="433014688"/>
      </c:barChart>
      <c:catAx>
        <c:axId val="35191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014688"/>
        <c:crosses val="autoZero"/>
        <c:auto val="1"/>
        <c:lblAlgn val="ctr"/>
        <c:lblOffset val="100"/>
        <c:noMultiLvlLbl val="0"/>
      </c:catAx>
      <c:valAx>
        <c:axId val="43301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(ng)(g</a:t>
                </a:r>
                <a:r>
                  <a:rPr lang="en-US" baseline="30000"/>
                  <a:t>-1</a:t>
                </a:r>
                <a:r>
                  <a:rPr lang="en-US"/>
                  <a:t>)(hr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91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Unknown Sesquiterpene</a:t>
            </a:r>
            <a:r>
              <a:rPr lang="en-US" baseline="0"/>
              <a:t> - June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'quick charts'!$L$2:$L$3</c:f>
                <c:numCache>
                  <c:formatCode>General</c:formatCode>
                  <c:ptCount val="2"/>
                  <c:pt idx="0">
                    <c:v>0.10900908503493141</c:v>
                  </c:pt>
                  <c:pt idx="1">
                    <c:v>4.8237503611093267E-2</c:v>
                  </c:pt>
                </c:numCache>
              </c:numRef>
            </c:plus>
            <c:minus>
              <c:numRef>
                <c:f>'quick charts'!$L$2:$L$3</c:f>
                <c:numCache>
                  <c:formatCode>General</c:formatCode>
                  <c:ptCount val="2"/>
                  <c:pt idx="0">
                    <c:v>0.10900908503493141</c:v>
                  </c:pt>
                  <c:pt idx="1">
                    <c:v>4.8237503611093267E-2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'quick charts'!$A$2:$B$3</c:f>
              <c:multiLvlStrCache>
                <c:ptCount val="2"/>
                <c:lvl>
                  <c:pt idx="0">
                    <c:v>E-</c:v>
                  </c:pt>
                  <c:pt idx="1">
                    <c:v>E+</c:v>
                  </c:pt>
                </c:lvl>
                <c:lvl>
                  <c:pt idx="0">
                    <c:v>Jun</c:v>
                  </c:pt>
                </c:lvl>
              </c:multiLvlStrCache>
            </c:multiLvlStrRef>
          </c:cat>
          <c:val>
            <c:numRef>
              <c:f>'quick charts'!$K$2:$K$3</c:f>
              <c:numCache>
                <c:formatCode>General</c:formatCode>
                <c:ptCount val="2"/>
                <c:pt idx="0">
                  <c:v>0.17497544714902638</c:v>
                </c:pt>
                <c:pt idx="1">
                  <c:v>9.1936284060730594E-2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9-45F0-9A29-BF6242A50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912416"/>
        <c:axId val="433014688"/>
      </c:barChart>
      <c:catAx>
        <c:axId val="35191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014688"/>
        <c:crosses val="autoZero"/>
        <c:auto val="1"/>
        <c:lblAlgn val="ctr"/>
        <c:lblOffset val="100"/>
        <c:noMultiLvlLbl val="0"/>
      </c:catAx>
      <c:valAx>
        <c:axId val="433014688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(ng)(g</a:t>
                </a:r>
                <a:r>
                  <a:rPr lang="en-US" baseline="30000"/>
                  <a:t>-1</a:t>
                </a:r>
                <a:r>
                  <a:rPr lang="en-US"/>
                  <a:t>)(hr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91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Linalool </a:t>
            </a:r>
            <a:r>
              <a:rPr lang="en-US" baseline="0"/>
              <a:t>- Aug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'quick charts'!$F$4:$F$5</c:f>
                <c:numCache>
                  <c:formatCode>General</c:formatCode>
                  <c:ptCount val="2"/>
                  <c:pt idx="0">
                    <c:v>4.6594009560016698E-2</c:v>
                  </c:pt>
                  <c:pt idx="1">
                    <c:v>1.5476532290746518E-2</c:v>
                  </c:pt>
                </c:numCache>
              </c:numRef>
            </c:plus>
            <c:minus>
              <c:numRef>
                <c:f>'quick charts'!$F$4:$F$5</c:f>
                <c:numCache>
                  <c:formatCode>General</c:formatCode>
                  <c:ptCount val="2"/>
                  <c:pt idx="0">
                    <c:v>4.6594009560016698E-2</c:v>
                  </c:pt>
                  <c:pt idx="1">
                    <c:v>1.5476532290746518E-2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'quick charts'!$A$2:$B$3</c:f>
              <c:multiLvlStrCache>
                <c:ptCount val="2"/>
                <c:lvl>
                  <c:pt idx="0">
                    <c:v>E-</c:v>
                  </c:pt>
                  <c:pt idx="1">
                    <c:v>E+</c:v>
                  </c:pt>
                </c:lvl>
                <c:lvl>
                  <c:pt idx="0">
                    <c:v>Jun</c:v>
                  </c:pt>
                </c:lvl>
              </c:multiLvlStrCache>
            </c:multiLvlStrRef>
          </c:cat>
          <c:val>
            <c:numRef>
              <c:f>'quick charts'!$E$4:$E$5</c:f>
              <c:numCache>
                <c:formatCode>General</c:formatCode>
                <c:ptCount val="2"/>
                <c:pt idx="0">
                  <c:v>0.10027608382363129</c:v>
                </c:pt>
                <c:pt idx="1">
                  <c:v>1.9409360594107774E-2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7D-42A5-8DA6-85D845CE1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912416"/>
        <c:axId val="433014688"/>
      </c:barChart>
      <c:catAx>
        <c:axId val="35191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014688"/>
        <c:crosses val="autoZero"/>
        <c:auto val="1"/>
        <c:lblAlgn val="ctr"/>
        <c:lblOffset val="100"/>
        <c:noMultiLvlLbl val="0"/>
      </c:catAx>
      <c:valAx>
        <c:axId val="433014688"/>
        <c:scaling>
          <c:orientation val="minMax"/>
          <c:max val="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(ng)(g</a:t>
                </a:r>
                <a:r>
                  <a:rPr lang="en-US" baseline="30000"/>
                  <a:t>-1</a:t>
                </a:r>
                <a:r>
                  <a:rPr lang="en-US"/>
                  <a:t>)(hr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91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Unknown Terpene</a:t>
            </a:r>
            <a:r>
              <a:rPr lang="en-US" baseline="0"/>
              <a:t> - Aug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'quick charts'!$H$4:$H$5</c:f>
                <c:numCache>
                  <c:formatCode>General</c:formatCode>
                  <c:ptCount val="2"/>
                  <c:pt idx="0">
                    <c:v>1.372996251122325</c:v>
                  </c:pt>
                  <c:pt idx="1">
                    <c:v>0.18579545355708746</c:v>
                  </c:pt>
                </c:numCache>
              </c:numRef>
            </c:plus>
            <c:minus>
              <c:numRef>
                <c:f>'quick charts'!$H$4:$H$5</c:f>
                <c:numCache>
                  <c:formatCode>General</c:formatCode>
                  <c:ptCount val="2"/>
                  <c:pt idx="0">
                    <c:v>1.372996251122325</c:v>
                  </c:pt>
                  <c:pt idx="1">
                    <c:v>0.18579545355708746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'quick charts'!$A$2:$B$3</c:f>
              <c:multiLvlStrCache>
                <c:ptCount val="2"/>
                <c:lvl>
                  <c:pt idx="0">
                    <c:v>E-</c:v>
                  </c:pt>
                  <c:pt idx="1">
                    <c:v>E+</c:v>
                  </c:pt>
                </c:lvl>
                <c:lvl>
                  <c:pt idx="0">
                    <c:v>Jun</c:v>
                  </c:pt>
                </c:lvl>
              </c:multiLvlStrCache>
            </c:multiLvlStrRef>
          </c:cat>
          <c:val>
            <c:numRef>
              <c:f>'quick charts'!$G$4:$G$5</c:f>
              <c:numCache>
                <c:formatCode>General</c:formatCode>
                <c:ptCount val="2"/>
                <c:pt idx="0">
                  <c:v>2.6669853361654026</c:v>
                </c:pt>
                <c:pt idx="1">
                  <c:v>0.47817587639358428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C-4653-9B71-6870E8AED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912416"/>
        <c:axId val="433014688"/>
      </c:barChart>
      <c:catAx>
        <c:axId val="35191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014688"/>
        <c:crosses val="autoZero"/>
        <c:auto val="1"/>
        <c:lblAlgn val="ctr"/>
        <c:lblOffset val="100"/>
        <c:noMultiLvlLbl val="0"/>
      </c:catAx>
      <c:valAx>
        <c:axId val="43301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(ng)(g</a:t>
                </a:r>
                <a:r>
                  <a:rPr lang="en-US" baseline="30000"/>
                  <a:t>-1</a:t>
                </a:r>
                <a:r>
                  <a:rPr lang="en-US"/>
                  <a:t>)(hr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91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Unknown Sesquiterpene </a:t>
            </a:r>
            <a:r>
              <a:rPr lang="en-US" baseline="0"/>
              <a:t>- Aug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'quick charts'!$J$4:$J$5</c:f>
                <c:numCache>
                  <c:formatCode>General</c:formatCode>
                  <c:ptCount val="2"/>
                  <c:pt idx="0">
                    <c:v>5.4672747351423523E-2</c:v>
                  </c:pt>
                  <c:pt idx="1">
                    <c:v>2.6628109527753022E-2</c:v>
                  </c:pt>
                </c:numCache>
              </c:numRef>
            </c:plus>
            <c:minus>
              <c:numRef>
                <c:f>'quick charts'!$J$4:$J$5</c:f>
                <c:numCache>
                  <c:formatCode>General</c:formatCode>
                  <c:ptCount val="2"/>
                  <c:pt idx="0">
                    <c:v>5.4672747351423523E-2</c:v>
                  </c:pt>
                  <c:pt idx="1">
                    <c:v>2.6628109527753022E-2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'quick charts'!$A$2:$B$3</c:f>
              <c:multiLvlStrCache>
                <c:ptCount val="2"/>
                <c:lvl>
                  <c:pt idx="0">
                    <c:v>E-</c:v>
                  </c:pt>
                  <c:pt idx="1">
                    <c:v>E+</c:v>
                  </c:pt>
                </c:lvl>
                <c:lvl>
                  <c:pt idx="0">
                    <c:v>Jun</c:v>
                  </c:pt>
                </c:lvl>
              </c:multiLvlStrCache>
            </c:multiLvlStrRef>
          </c:cat>
          <c:val>
            <c:numRef>
              <c:f>'quick charts'!$I$4:$I$5</c:f>
              <c:numCache>
                <c:formatCode>General</c:formatCode>
                <c:ptCount val="2"/>
                <c:pt idx="0">
                  <c:v>0.17133326938576793</c:v>
                </c:pt>
                <c:pt idx="1">
                  <c:v>5.6805678610534059E-2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D0-405C-8A0F-7638E8DB2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912416"/>
        <c:axId val="433014688"/>
      </c:barChart>
      <c:catAx>
        <c:axId val="35191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014688"/>
        <c:crosses val="autoZero"/>
        <c:auto val="1"/>
        <c:lblAlgn val="ctr"/>
        <c:lblOffset val="100"/>
        <c:noMultiLvlLbl val="0"/>
      </c:catAx>
      <c:valAx>
        <c:axId val="433014688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(ng)(g</a:t>
                </a:r>
                <a:r>
                  <a:rPr lang="en-US" baseline="30000"/>
                  <a:t>-1</a:t>
                </a:r>
                <a:r>
                  <a:rPr lang="en-US"/>
                  <a:t>)(hr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91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Unknown Sesquiterpene</a:t>
            </a:r>
            <a:r>
              <a:rPr lang="en-US" baseline="0"/>
              <a:t> - Aug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'quick charts'!$L$4:$L$5</c:f>
                <c:numCache>
                  <c:formatCode>General</c:formatCode>
                  <c:ptCount val="2"/>
                  <c:pt idx="0">
                    <c:v>9.3741661358114042E-2</c:v>
                  </c:pt>
                  <c:pt idx="1">
                    <c:v>1.5554445083049999E-2</c:v>
                  </c:pt>
                </c:numCache>
              </c:numRef>
            </c:plus>
            <c:minus>
              <c:numRef>
                <c:f>'quick charts'!$L$4:$L$5</c:f>
                <c:numCache>
                  <c:formatCode>General</c:formatCode>
                  <c:ptCount val="2"/>
                  <c:pt idx="0">
                    <c:v>9.3741661358114042E-2</c:v>
                  </c:pt>
                  <c:pt idx="1">
                    <c:v>1.5554445083049999E-2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'quick charts'!$A$2:$B$3</c:f>
              <c:multiLvlStrCache>
                <c:ptCount val="2"/>
                <c:lvl>
                  <c:pt idx="0">
                    <c:v>E-</c:v>
                  </c:pt>
                  <c:pt idx="1">
                    <c:v>E+</c:v>
                  </c:pt>
                </c:lvl>
                <c:lvl>
                  <c:pt idx="0">
                    <c:v>Jun</c:v>
                  </c:pt>
                </c:lvl>
              </c:multiLvlStrCache>
            </c:multiLvlStrRef>
          </c:cat>
          <c:val>
            <c:numRef>
              <c:f>'quick charts'!$K$4:$K$5</c:f>
              <c:numCache>
                <c:formatCode>General</c:formatCode>
                <c:ptCount val="2"/>
                <c:pt idx="0">
                  <c:v>0.286045484346511</c:v>
                </c:pt>
                <c:pt idx="1">
                  <c:v>2.6867870114368652E-2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FB-40B9-83DC-531C65B84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912416"/>
        <c:axId val="433014688"/>
      </c:barChart>
      <c:catAx>
        <c:axId val="35191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014688"/>
        <c:crosses val="autoZero"/>
        <c:auto val="1"/>
        <c:lblAlgn val="ctr"/>
        <c:lblOffset val="100"/>
        <c:noMultiLvlLbl val="0"/>
      </c:catAx>
      <c:valAx>
        <c:axId val="43301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(ng)(g</a:t>
                </a:r>
                <a:r>
                  <a:rPr lang="en-US" baseline="30000"/>
                  <a:t>-1</a:t>
                </a:r>
                <a:r>
                  <a:rPr lang="en-US"/>
                  <a:t>)(hr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91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595312</xdr:colOff>
      <xdr:row>11</xdr:row>
      <xdr:rowOff>9525</xdr:rowOff>
    </xdr:from>
    <xdr:to>
      <xdr:col>8</xdr:col>
      <xdr:colOff>290512</xdr:colOff>
      <xdr:row>25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11</xdr:row>
      <xdr:rowOff>9525</xdr:rowOff>
    </xdr:from>
    <xdr:to>
      <xdr:col>16</xdr:col>
      <xdr:colOff>304800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8</xdr:col>
      <xdr:colOff>304800</xdr:colOff>
      <xdr:row>40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26</xdr:row>
      <xdr:rowOff>0</xdr:rowOff>
    </xdr:from>
    <xdr:to>
      <xdr:col>16</xdr:col>
      <xdr:colOff>304800</xdr:colOff>
      <xdr:row>40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17</xdr:col>
      <xdr:colOff>66675</xdr:colOff>
      <xdr:row>99</xdr:row>
      <xdr:rowOff>38100</xdr:rowOff>
    </xdr:from>
    <xdr:ext cx="3849729" cy="6090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0429875" y="18897600"/>
          <a:ext cx="3849729" cy="609013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Another sesquiterpene, maybe cadinene. This is the only one that was significant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ANOVA. The pattern was similar last year, but it wasn't significant.</a:t>
          </a:r>
          <a:endParaRPr lang="en-US" sz="1100"/>
        </a:p>
      </xdr:txBody>
    </xdr:sp>
    <xdr:clientData/>
  </xdr:oneCellAnchor>
  <xdr:twoCellAnchor>
    <xdr:from>
      <xdr:col>1</xdr:col>
      <xdr:colOff>0</xdr:colOff>
      <xdr:row>47</xdr:row>
      <xdr:rowOff>0</xdr:rowOff>
    </xdr:from>
    <xdr:to>
      <xdr:col>8</xdr:col>
      <xdr:colOff>304800</xdr:colOff>
      <xdr:row>61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62</xdr:row>
      <xdr:rowOff>0</xdr:rowOff>
    </xdr:from>
    <xdr:to>
      <xdr:col>8</xdr:col>
      <xdr:colOff>304800</xdr:colOff>
      <xdr:row>76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77</xdr:row>
      <xdr:rowOff>0</xdr:rowOff>
    </xdr:from>
    <xdr:to>
      <xdr:col>8</xdr:col>
      <xdr:colOff>304800</xdr:colOff>
      <xdr:row>91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92</xdr:row>
      <xdr:rowOff>0</xdr:rowOff>
    </xdr:from>
    <xdr:to>
      <xdr:col>8</xdr:col>
      <xdr:colOff>304800</xdr:colOff>
      <xdr:row>106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28575</xdr:colOff>
      <xdr:row>47</xdr:row>
      <xdr:rowOff>0</xdr:rowOff>
    </xdr:from>
    <xdr:to>
      <xdr:col>16</xdr:col>
      <xdr:colOff>333375</xdr:colOff>
      <xdr:row>61</xdr:row>
      <xdr:rowOff>76200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62</xdr:row>
      <xdr:rowOff>0</xdr:rowOff>
    </xdr:from>
    <xdr:to>
      <xdr:col>16</xdr:col>
      <xdr:colOff>304800</xdr:colOff>
      <xdr:row>76</xdr:row>
      <xdr:rowOff>76200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0</xdr:colOff>
      <xdr:row>77</xdr:row>
      <xdr:rowOff>0</xdr:rowOff>
    </xdr:from>
    <xdr:to>
      <xdr:col>16</xdr:col>
      <xdr:colOff>304800</xdr:colOff>
      <xdr:row>91</xdr:row>
      <xdr:rowOff>76200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0</xdr:colOff>
      <xdr:row>92</xdr:row>
      <xdr:rowOff>0</xdr:rowOff>
    </xdr:from>
    <xdr:to>
      <xdr:col>16</xdr:col>
      <xdr:colOff>304800</xdr:colOff>
      <xdr:row>106</xdr:row>
      <xdr:rowOff>76200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cms/Documents/Locoweed%20Field%20Volatiles%202019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cms" refreshedDate="43755.526107175923" createdVersion="6" refreshedVersion="6" minRefreshableVersion="3" recordCount="40" xr:uid="{00000000-000A-0000-FFFF-FFFF00000000}">
  <cacheSource type="worksheet">
    <worksheetSource ref="A1:L41" sheet="Sheet8" r:id="rId2"/>
  </cacheSource>
  <cacheFields count="13">
    <cacheField name="Collection Date" numFmtId="0">
      <sharedItems count="2">
        <s v="Jun"/>
        <s v="Aug"/>
      </sharedItems>
    </cacheField>
    <cacheField name="Endophyte" numFmtId="0">
      <sharedItems count="3">
        <s v="E-"/>
        <s v="E+"/>
        <s v="E--" u="1"/>
      </sharedItems>
    </cacheField>
    <cacheField name="Plant" numFmtId="0">
      <sharedItems/>
    </cacheField>
    <cacheField name="#" numFmtId="0">
      <sharedItems containsSemiMixedTypes="0" containsString="0" containsNumber="1" containsInteger="1" minValue="1" maxValue="20"/>
    </cacheField>
    <cacheField name="Biomass" numFmtId="0">
      <sharedItems containsSemiMixedTypes="0" containsString="0" containsNumber="1" minValue="0.72840000000000005" maxValue="19.78"/>
    </cacheField>
    <cacheField name="benzaldehyde - 8.25" numFmtId="0">
      <sharedItems containsSemiMixedTypes="0" containsString="0" containsNumber="1" minValue="0" maxValue="14.86996962548246"/>
    </cacheField>
    <cacheField name="z-3-hex ace - 9.8" numFmtId="0">
      <sharedItems containsSemiMixedTypes="0" containsString="0" containsNumber="1" minValue="0" maxValue="113.53125071564695"/>
    </cacheField>
    <cacheField name="linalool - 12.74" numFmtId="0">
      <sharedItems containsSemiMixedTypes="0" containsString="0" containsNumber="1" minValue="0" maxValue="0.82443238422727916"/>
    </cacheField>
    <cacheField name="1,1-Dimethyl-3-methylene-2-vinylcyclohexane - 13.17" numFmtId="0">
      <sharedItems containsSemiMixedTypes="0" containsString="0" containsNumber="1" minValue="0" maxValue="13.82170717610818"/>
    </cacheField>
    <cacheField name="geranyl acetone - 22.48" numFmtId="0">
      <sharedItems containsSemiMixedTypes="0" containsString="0" containsNumber="1" minValue="0" maxValue="0.6966657397410928"/>
    </cacheField>
    <cacheField name="muurolene 23.99" numFmtId="0">
      <sharedItems containsSemiMixedTypes="0" containsString="0" containsNumber="1" minValue="0" maxValue="1.1103724211395833"/>
    </cacheField>
    <cacheField name="hexahydrofarnesyl acetone 31.27" numFmtId="0">
      <sharedItems containsSemiMixedTypes="0" containsString="0" containsNumber="1" minValue="0" maxValue="4.0456914130821513"/>
    </cacheField>
    <cacheField name="manoyl oxide 34.53" numFmtId="0">
      <sharedItems containsSemiMixedTypes="0" containsString="0" containsNumber="1" minValue="0" maxValue="2.48059604428554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x v="0"/>
    <x v="0"/>
    <s v="212C"/>
    <n v="2"/>
    <n v="2.2671999999999999"/>
    <n v="0.63844772199542388"/>
    <n v="113.53125071564695"/>
    <n v="9.2216182772108662E-2"/>
    <n v="0.18182837655350911"/>
    <n v="0.28817958743946054"/>
    <n v="0"/>
    <n v="0"/>
    <n v="0"/>
  </r>
  <r>
    <x v="0"/>
    <x v="0"/>
    <s v="218A"/>
    <n v="20"/>
    <n v="2.1815000000000002"/>
    <n v="0.60539111938013801"/>
    <n v="2.7400202725296263"/>
    <n v="7.0455626263738788E-2"/>
    <n v="0.36048308919308714"/>
    <n v="0.11743992391991606"/>
    <n v="0.19843573085716934"/>
    <n v="0.1933920884028118"/>
    <n v="0"/>
  </r>
  <r>
    <x v="0"/>
    <x v="0"/>
    <s v="223E"/>
    <n v="4"/>
    <n v="2.5004"/>
    <n v="0.41677557503106777"/>
    <n v="1.0150745123430429"/>
    <n v="6.087073659225415E-2"/>
    <n v="0"/>
    <n v="0.14063091598852087"/>
    <n v="0"/>
    <n v="0"/>
    <n v="0.23286272685848491"/>
  </r>
  <r>
    <x v="0"/>
    <x v="0"/>
    <s v="223G"/>
    <n v="8"/>
    <n v="0.72840000000000005"/>
    <n v="1.5039874858700646"/>
    <n v="6.965741617001898"/>
    <n v="0.32668865270902187"/>
    <n v="0"/>
    <n v="0"/>
    <n v="0"/>
    <n v="0"/>
    <n v="0"/>
  </r>
  <r>
    <x v="0"/>
    <x v="0"/>
    <s v="223H"/>
    <n v="18"/>
    <n v="2.4058000000000002"/>
    <n v="0.82138254369793318"/>
    <n v="15.142613235796718"/>
    <n v="0.22022075796583612"/>
    <n v="3.0015107395623031"/>
    <n v="0.69154412323285774"/>
    <n v="0.16519275807426897"/>
    <n v="0.28632889930694738"/>
    <n v="2.4805960442855475"/>
  </r>
  <r>
    <x v="0"/>
    <x v="0"/>
    <s v="223I"/>
    <n v="10"/>
    <n v="2.7002000000000002"/>
    <n v="1.0672487871025875"/>
    <n v="37.473684772887019"/>
    <n v="0.28096077532058727"/>
    <n v="0.78218991697085516"/>
    <n v="0.3098631572365082"/>
    <n v="0.27575356141924218"/>
    <n v="0.15117122169620731"/>
    <n v="1.9493732581584171"/>
  </r>
  <r>
    <x v="0"/>
    <x v="0"/>
    <s v="226G"/>
    <n v="14"/>
    <n v="1.4746999999999999"/>
    <n v="0.68614839880028011"/>
    <n v="0"/>
    <n v="0.25115920165536038"/>
    <n v="0.57102550725362067"/>
    <n v="0.6966657397410928"/>
    <n v="0"/>
    <n v="0.2101056780435944"/>
    <n v="1.9625851564033736"/>
  </r>
  <r>
    <x v="0"/>
    <x v="0"/>
    <s v="227H"/>
    <n v="6"/>
    <n v="2.4710999999999999"/>
    <n v="0.43284246467161941"/>
    <n v="17.792245057262985"/>
    <n v="5.9542850861478425E-2"/>
    <n v="0.73941355174618029"/>
    <n v="0.33348129999109477"/>
    <n v="1.1103724211395833"/>
    <n v="0.12921106014520581"/>
    <n v="0"/>
  </r>
  <r>
    <x v="0"/>
    <x v="0"/>
    <s v="235C"/>
    <n v="12"/>
    <n v="0.91249999999999998"/>
    <n v="1.712860203275703"/>
    <n v="2.847644527010766"/>
    <n v="0.28706337086086381"/>
    <n v="0"/>
    <n v="0"/>
    <n v="0"/>
    <n v="0"/>
    <n v="0"/>
  </r>
  <r>
    <x v="0"/>
    <x v="0"/>
    <s v="462B"/>
    <n v="16"/>
    <n v="1.9818"/>
    <n v="14.86996962548246"/>
    <n v="6.0990614154986327"/>
    <n v="0.82443238422727916"/>
    <n v="0"/>
    <n v="0"/>
    <n v="0"/>
    <n v="0.17852165494954633"/>
    <n v="0"/>
  </r>
  <r>
    <x v="0"/>
    <x v="1"/>
    <s v="254C"/>
    <n v="7"/>
    <n v="1.4962"/>
    <n v="0.7511074940205883"/>
    <n v="1.4962554849244096"/>
    <n v="0.16385531796924716"/>
    <n v="1.0628873007003659"/>
    <n v="0.13685437369479789"/>
    <n v="0"/>
    <n v="0"/>
    <n v="0"/>
  </r>
  <r>
    <x v="0"/>
    <x v="1"/>
    <s v="254I"/>
    <n v="15"/>
    <n v="1.9309000000000001"/>
    <n v="0"/>
    <n v="5.5908181606236527"/>
    <n v="0.72887684228908378"/>
    <n v="0"/>
    <n v="0"/>
    <n v="0"/>
    <n v="0.18264475338378294"/>
    <n v="0"/>
  </r>
  <r>
    <x v="0"/>
    <x v="1"/>
    <s v="256C"/>
    <n v="17"/>
    <n v="2.2957999999999998"/>
    <n v="0"/>
    <n v="37.251940067485741"/>
    <n v="0"/>
    <n v="0.96707328407240722"/>
    <n v="0.35385589492654412"/>
    <n v="0.2488757066966843"/>
    <n v="0"/>
    <n v="0.73756408075819679"/>
  </r>
  <r>
    <x v="0"/>
    <x v="1"/>
    <s v="256J"/>
    <n v="5"/>
    <n v="0.98909999999999998"/>
    <n v="0"/>
    <n v="0.68115828509882137"/>
    <n v="0.27750761816582048"/>
    <n v="2.0810365118253498"/>
    <n v="0"/>
    <n v="0"/>
    <n v="0"/>
    <n v="0.1894010845741963"/>
  </r>
  <r>
    <x v="0"/>
    <x v="1"/>
    <s v="256K"/>
    <n v="19"/>
    <n v="1.1027"/>
    <n v="0.82510425438915913"/>
    <n v="0.34974584868278796"/>
    <n v="0.18477215630038088"/>
    <n v="0"/>
    <n v="0.13320924264090217"/>
    <n v="0"/>
    <n v="0"/>
    <n v="0"/>
  </r>
  <r>
    <x v="0"/>
    <x v="1"/>
    <s v="270C"/>
    <n v="3"/>
    <n v="3.2010000000000001"/>
    <n v="0.42861341672451192"/>
    <n v="6.3760162509378127"/>
    <n v="0"/>
    <n v="1.0682895722274466"/>
    <n v="0.2926568041357217"/>
    <n v="0"/>
    <n v="0.16486682926679908"/>
    <n v="0"/>
  </r>
  <r>
    <x v="0"/>
    <x v="1"/>
    <s v="294J"/>
    <n v="11"/>
    <n v="2.9020999999999999"/>
    <n v="0.64109833259013094"/>
    <n v="6.7804007904330224"/>
    <n v="0.1310102657609209"/>
    <n v="0"/>
    <n v="0.16184247824152284"/>
    <n v="0.3953447126684364"/>
    <n v="0.13686799803939023"/>
    <n v="0.54809364633299074"/>
  </r>
  <r>
    <x v="0"/>
    <x v="1"/>
    <s v="297F"/>
    <n v="13"/>
    <n v="1.9036"/>
    <n v="1.1216676688221068"/>
    <n v="0.63876783333067777"/>
    <n v="0"/>
    <n v="0.25387408539689788"/>
    <n v="0.41642993975195497"/>
    <n v="0"/>
    <n v="0"/>
    <n v="0"/>
  </r>
  <r>
    <x v="0"/>
    <x v="1"/>
    <s v="309A"/>
    <n v="9"/>
    <n v="1.8815"/>
    <n v="0"/>
    <n v="87.633162985912776"/>
    <n v="0"/>
    <n v="0"/>
    <n v="0.20600019817621007"/>
    <n v="0"/>
    <n v="0"/>
    <n v="0"/>
  </r>
  <r>
    <x v="0"/>
    <x v="1"/>
    <s v="254G"/>
    <n v="1"/>
    <n v="1.6463000000000001"/>
    <n v="1.2664600166991327"/>
    <n v="105.39136346345809"/>
    <n v="0.11496859981186101"/>
    <n v="1.6017845978801601"/>
    <n v="0.25334922155379314"/>
    <n v="0.27514242124218541"/>
    <n v="0"/>
    <n v="0.29598776722520281"/>
  </r>
  <r>
    <x v="1"/>
    <x v="0"/>
    <s v="212C"/>
    <n v="2"/>
    <n v="10.37"/>
    <n v="0.47928213649826024"/>
    <n v="34.758001122204917"/>
    <n v="0"/>
    <n v="3.9891337168931553"/>
    <n v="0.21057246652095601"/>
    <n v="0"/>
    <n v="1.2839648175084393"/>
    <n v="7.3817694130021469E-2"/>
  </r>
  <r>
    <x v="1"/>
    <x v="0"/>
    <s v="218A"/>
    <n v="20"/>
    <n v="11.54"/>
    <n v="0.65595460541600192"/>
    <n v="0.77688561186974503"/>
    <n v="0"/>
    <n v="2.8012257062173282"/>
    <n v="0.2144164535480273"/>
    <n v="0.36087037156593038"/>
    <n v="0.94295045735237548"/>
    <n v="4.2226964906957022E-2"/>
  </r>
  <r>
    <x v="1"/>
    <x v="0"/>
    <s v="223G"/>
    <n v="10"/>
    <n v="3.29"/>
    <n v="1.0465903131542398"/>
    <n v="7.9654303745629491"/>
    <n v="0.3454716883335805"/>
    <n v="0.105634313701319"/>
    <n v="0.27232207743920134"/>
    <n v="0.80735343211060728"/>
    <n v="4.0456914130821513"/>
    <n v="1.9032008890147945"/>
  </r>
  <r>
    <x v="1"/>
    <x v="0"/>
    <s v="223G"/>
    <n v="8"/>
    <n v="3.74"/>
    <n v="4.5168126506556581"/>
    <n v="34.669974055987112"/>
    <n v="0.3883541289056322"/>
    <n v="0.29031338445169669"/>
    <n v="0.17512308482518044"/>
    <n v="0"/>
    <n v="0.1856491369250047"/>
    <n v="0.57990448026733343"/>
  </r>
  <r>
    <x v="1"/>
    <x v="0"/>
    <s v="223H"/>
    <n v="18"/>
    <n v="15.74"/>
    <n v="9.1405088615013785E-2"/>
    <n v="0.44924903369025404"/>
    <n v="0"/>
    <n v="0.15452573237208894"/>
    <n v="0"/>
    <n v="0"/>
    <n v="0.10275000243621774"/>
    <n v="0.25518985905112607"/>
  </r>
  <r>
    <x v="1"/>
    <x v="0"/>
    <s v="226G"/>
    <n v="14"/>
    <n v="2.56"/>
    <n v="2.254772962736812"/>
    <n v="0"/>
    <n v="0"/>
    <n v="5.0738880680562755"/>
    <n v="0.50373467035225838"/>
    <n v="0.67917648024053756"/>
    <n v="1.7848756371428718"/>
    <n v="0.90991775530451213"/>
  </r>
  <r>
    <x v="1"/>
    <x v="0"/>
    <s v="227H"/>
    <n v="6"/>
    <n v="10.53"/>
    <n v="0.25826001449011277"/>
    <n v="0.75233503353621523"/>
    <n v="6.2163672845997157E-2"/>
    <n v="0.34233364552909989"/>
    <n v="0"/>
    <n v="0.32244459977476103"/>
    <n v="1.0743805919070903"/>
    <n v="1.7718419900518322E-2"/>
  </r>
  <r>
    <x v="1"/>
    <x v="0"/>
    <s v="234A"/>
    <n v="4"/>
    <n v="4.8600000000000003"/>
    <n v="0.850300475614576"/>
    <n v="0.50899685089238178"/>
    <n v="0.11969442910497173"/>
    <n v="9.1091618324882648E-2"/>
    <n v="0"/>
    <n v="0"/>
    <n v="0.13955195993469313"/>
    <n v="0.42786239837026729"/>
  </r>
  <r>
    <x v="1"/>
    <x v="0"/>
    <s v="235C"/>
    <n v="12"/>
    <n v="3.9"/>
    <n v="1.8271109011634754"/>
    <n v="1.8994857065607256"/>
    <n v="0"/>
    <n v="0"/>
    <n v="0.33716394117205584"/>
    <n v="0.23730995938411895"/>
    <n v="0.7116766903916657"/>
    <n v="0.25794216280729154"/>
  </r>
  <r>
    <x v="1"/>
    <x v="0"/>
    <s v="462B"/>
    <n v="16"/>
    <n v="6.22"/>
    <n v="0.39912735755335033"/>
    <n v="8.3120557798002448"/>
    <n v="8.7076919046131407E-2"/>
    <n v="13.82170717610818"/>
    <n v="0"/>
    <n v="0.45330000038915491"/>
    <n v="0.78768039218743979"/>
    <n v="1.554198654359181"/>
  </r>
  <r>
    <x v="1"/>
    <x v="1"/>
    <s v="254C"/>
    <n v="7"/>
    <n v="12.32"/>
    <n v="0.18753500712734272"/>
    <n v="0.34660299585898074"/>
    <n v="4.0090049594391171E-2"/>
    <n v="0.25768725870128473"/>
    <n v="0"/>
    <n v="0"/>
    <n v="0.25463813193871504"/>
    <n v="0"/>
  </r>
  <r>
    <x v="1"/>
    <x v="1"/>
    <s v="254I"/>
    <n v="15"/>
    <n v="9.5299999999999994"/>
    <n v="0.39026828741230052"/>
    <n v="0.58267495249570511"/>
    <n v="0"/>
    <n v="1.7257285850935209"/>
    <n v="0"/>
    <n v="0"/>
    <n v="0.65827616888574692"/>
    <n v="0"/>
  </r>
  <r>
    <x v="1"/>
    <x v="1"/>
    <s v="256C"/>
    <n v="17"/>
    <n v="19.78"/>
    <n v="0.13814229881209639"/>
    <n v="1.0532361876714342"/>
    <n v="0"/>
    <n v="0.51712785480032852"/>
    <n v="4.4612115424344345E-2"/>
    <n v="4.2115488741136138E-2"/>
    <n v="0.54616950347288229"/>
    <n v="0.96986205496739797"/>
  </r>
  <r>
    <x v="1"/>
    <x v="1"/>
    <s v="256J"/>
    <n v="5"/>
    <n v="5.42"/>
    <n v="1.1080648804459947"/>
    <n v="0.77641165893632957"/>
    <n v="0"/>
    <n v="0.55122439256950473"/>
    <n v="0.21652257673860428"/>
    <n v="0"/>
    <n v="2.0172132136707885"/>
    <n v="0.80420572514801258"/>
  </r>
  <r>
    <x v="1"/>
    <x v="1"/>
    <s v="256K"/>
    <n v="19"/>
    <n v="2.93"/>
    <n v="1.6641012534138511"/>
    <n v="0"/>
    <n v="0"/>
    <n v="0"/>
    <n v="0"/>
    <n v="0.14115932141957407"/>
    <n v="1.5336305581975331"/>
    <n v="0.4516994289501528"/>
  </r>
  <r>
    <x v="1"/>
    <x v="1"/>
    <s v="270C"/>
    <n v="3"/>
    <n v="3.04"/>
    <n v="0.91654640129700926"/>
    <n v="2.3756576281986725"/>
    <n v="0.15400355634668658"/>
    <n v="0.14562148576000314"/>
    <n v="0"/>
    <n v="0"/>
    <n v="7.6386578858096771E-2"/>
    <n v="0"/>
  </r>
  <r>
    <x v="1"/>
    <x v="1"/>
    <s v="282A"/>
    <n v="9"/>
    <n v="11.15"/>
    <n v="0.39805293563715227"/>
    <n v="4.5301927295373954"/>
    <n v="0"/>
    <n v="4.4354721514037458E-2"/>
    <n v="0"/>
    <n v="0"/>
    <n v="0.85047787360039884"/>
    <n v="1.514648526710008"/>
  </r>
  <r>
    <x v="1"/>
    <x v="1"/>
    <s v="294B"/>
    <n v="1"/>
    <n v="9.3000000000000007"/>
    <n v="0.67997495893753424"/>
    <n v="11.285148833624401"/>
    <n v="0"/>
    <n v="0.11923838594350418"/>
    <n v="0.14600927534081087"/>
    <n v="8.5403890982976335E-2"/>
    <n v="1.0030517059968036"/>
    <n v="3.1345201105554901E-2"/>
  </r>
  <r>
    <x v="1"/>
    <x v="1"/>
    <s v="294J"/>
    <n v="11"/>
    <n v="6.56"/>
    <n v="0.60216487517344486"/>
    <n v="2.6982446248963683"/>
    <n v="0"/>
    <n v="0.10589952410531134"/>
    <n v="0.16091281860158116"/>
    <n v="0"/>
    <n v="1.6802171441603049"/>
    <n v="0.10895793188751193"/>
  </r>
  <r>
    <x v="1"/>
    <x v="1"/>
    <s v="297F"/>
    <n v="13"/>
    <n v="2.2999999999999998"/>
    <n v="2.9972267331305344"/>
    <n v="10.246087442265488"/>
    <n v="0"/>
    <n v="1.3148765554483473"/>
    <n v="0"/>
    <n v="0"/>
    <n v="0.81971421408902578"/>
    <n v="0.320435167664418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T3:AK8" firstHeaderRow="0" firstDataRow="1" firstDataCol="2"/>
  <pivotFields count="13">
    <pivotField axis="axisRow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4">
        <item x="0"/>
        <item m="1" x="2"/>
        <item x="1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0"/>
    <field x="1"/>
  </rowFields>
  <rowItems count="5">
    <i>
      <x/>
      <x/>
    </i>
    <i r="1">
      <x v="2"/>
    </i>
    <i>
      <x v="1"/>
      <x/>
    </i>
    <i r="1">
      <x v="2"/>
    </i>
    <i t="grand">
      <x/>
    </i>
  </rowItems>
  <colFields count="1">
    <field x="-2"/>
  </colFields>
  <col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colItems>
  <dataFields count="16">
    <dataField name="Average of benzaldehyde - 8.25" fld="5" subtotal="average" baseField="0" baseItem="0"/>
    <dataField name="StdDev of benzaldehyde - 8.25_2" fld="5" subtotal="stdDev" baseField="0" baseItem="0"/>
    <dataField name="Average of z-3-hex ace - 9.8" fld="6" subtotal="average" baseField="0" baseItem="0"/>
    <dataField name="StdDev of z-3-hex ace - 9.8_2" fld="6" subtotal="stdDev" baseField="0" baseItem="0"/>
    <dataField name="Average of linalool - 12.74" fld="7" subtotal="average" baseField="0" baseItem="0"/>
    <dataField name="StdDev of linalool - 12.74_2" fld="7" subtotal="stdDev" baseField="0" baseItem="0"/>
    <dataField name="Average of 1,1-Dimethyl-3-methylene-2-vinylcyclohexane - 13.17" fld="8" subtotal="average" baseField="0" baseItem="0"/>
    <dataField name="StdDev of 1,1-Dimethyl-3-methylene-2-vinylcyclohexane - 13.17_2" fld="8" subtotal="stdDev" baseField="0" baseItem="0"/>
    <dataField name="Average of geranyl acetone - 22.48" fld="9" subtotal="average" baseField="0" baseItem="0"/>
    <dataField name="StdDev of geranyl acetone - 22.48_2" fld="9" subtotal="stdDev" baseField="0" baseItem="0"/>
    <dataField name="Average of muurolene 23.99" fld="10" subtotal="average" baseField="0" baseItem="0"/>
    <dataField name="StdDev of muurolene 23.99_2" fld="10" subtotal="stdDev" baseField="0" baseItem="0"/>
    <dataField name="Average of hexahydrofarnesyl acetone 31.27" fld="11" subtotal="average" baseField="0" baseItem="0"/>
    <dataField name="StdDev of hexahydrofarnesyl acetone 31.27_2" fld="11" subtotal="stdDev" baseField="0" baseItem="0"/>
    <dataField name="Average of manoyl oxide 34.53" fld="12" subtotal="average" baseField="0" baseItem="0"/>
    <dataField name="StdDev of manoyl oxide 34.53_2" fld="12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1"/>
  <sheetViews>
    <sheetView topLeftCell="A12" zoomScale="140" zoomScaleNormal="140" workbookViewId="0">
      <selection activeCell="A41" sqref="A41"/>
    </sheetView>
  </sheetViews>
  <sheetFormatPr baseColWidth="10" defaultColWidth="8.83203125" defaultRowHeight="15" x14ac:dyDescent="0.2"/>
  <cols>
    <col min="20" max="20" width="13.1640625" bestFit="1" customWidth="1"/>
    <col min="21" max="21" width="12.83203125" customWidth="1"/>
    <col min="22" max="22" width="29.33203125" customWidth="1"/>
    <col min="23" max="23" width="30.5" bestFit="1" customWidth="1"/>
    <col min="24" max="24" width="25.6640625" customWidth="1"/>
    <col min="25" max="25" width="26.6640625" bestFit="1" customWidth="1"/>
    <col min="26" max="26" width="24.33203125" customWidth="1"/>
    <col min="27" max="27" width="25.33203125" customWidth="1"/>
    <col min="28" max="28" width="60.1640625" customWidth="1"/>
    <col min="29" max="29" width="61.1640625" bestFit="1" customWidth="1"/>
    <col min="30" max="30" width="32" customWidth="1"/>
    <col min="31" max="31" width="33" bestFit="1" customWidth="1"/>
    <col min="32" max="32" width="26.5" customWidth="1"/>
    <col min="33" max="33" width="27.5" customWidth="1"/>
    <col min="34" max="34" width="41.1640625" customWidth="1"/>
    <col min="35" max="35" width="42.33203125" bestFit="1" customWidth="1"/>
    <col min="36" max="36" width="28.5" customWidth="1"/>
    <col min="37" max="37" width="29.6640625" bestFit="1" customWidth="1"/>
  </cols>
  <sheetData>
    <row r="1" spans="1:37" x14ac:dyDescent="0.2">
      <c r="A1" s="1" t="s">
        <v>79</v>
      </c>
      <c r="B1" s="1" t="s">
        <v>80</v>
      </c>
      <c r="C1" s="1" t="s">
        <v>81</v>
      </c>
      <c r="D1" s="1" t="s">
        <v>83</v>
      </c>
      <c r="E1" s="1" t="s">
        <v>82</v>
      </c>
      <c r="F1" s="5" t="s">
        <v>2</v>
      </c>
      <c r="G1" s="5" t="s">
        <v>14</v>
      </c>
      <c r="H1" s="5" t="s">
        <v>4</v>
      </c>
      <c r="I1" s="6" t="s">
        <v>5</v>
      </c>
      <c r="J1" s="7" t="s">
        <v>6</v>
      </c>
      <c r="K1" s="6" t="s">
        <v>7</v>
      </c>
      <c r="L1" s="5" t="s">
        <v>8</v>
      </c>
      <c r="M1" s="5"/>
      <c r="N1" s="5"/>
      <c r="O1" s="5"/>
      <c r="P1" s="5"/>
      <c r="Q1" s="5"/>
      <c r="R1" s="5"/>
      <c r="S1" s="5"/>
    </row>
    <row r="2" spans="1:37" x14ac:dyDescent="0.2">
      <c r="A2" s="8" t="s">
        <v>9</v>
      </c>
      <c r="B2" t="s">
        <v>10</v>
      </c>
      <c r="C2" t="s">
        <v>15</v>
      </c>
      <c r="D2">
        <v>2</v>
      </c>
      <c r="E2" s="3">
        <v>2.2671999999999999</v>
      </c>
      <c r="F2">
        <v>0.63844772199542388</v>
      </c>
      <c r="G2">
        <v>113.53125071564695</v>
      </c>
      <c r="H2">
        <v>9.2216182772108662E-2</v>
      </c>
      <c r="I2">
        <v>0.18182837655350911</v>
      </c>
      <c r="J2">
        <v>0.28817958743946054</v>
      </c>
      <c r="K2">
        <v>0</v>
      </c>
      <c r="L2">
        <v>0</v>
      </c>
    </row>
    <row r="3" spans="1:37" x14ac:dyDescent="0.2">
      <c r="A3" s="8" t="s">
        <v>9</v>
      </c>
      <c r="B3" t="s">
        <v>10</v>
      </c>
      <c r="C3" t="s">
        <v>16</v>
      </c>
      <c r="D3">
        <v>20</v>
      </c>
      <c r="E3" s="3">
        <v>2.1815000000000002</v>
      </c>
      <c r="F3">
        <v>0.60539111938013801</v>
      </c>
      <c r="G3">
        <v>2.7400202725296263</v>
      </c>
      <c r="H3">
        <v>7.0455626263738788E-2</v>
      </c>
      <c r="I3">
        <v>0.36048308919308714</v>
      </c>
      <c r="J3">
        <v>0.11743992391991606</v>
      </c>
      <c r="K3">
        <v>0.19843573085716934</v>
      </c>
      <c r="L3">
        <v>0.1933920884028118</v>
      </c>
      <c r="T3" t="s">
        <v>0</v>
      </c>
      <c r="U3" t="s">
        <v>1</v>
      </c>
      <c r="V3" t="s">
        <v>17</v>
      </c>
      <c r="W3" t="s">
        <v>18</v>
      </c>
      <c r="X3" t="s">
        <v>19</v>
      </c>
      <c r="Y3" t="s">
        <v>20</v>
      </c>
      <c r="Z3" t="s">
        <v>21</v>
      </c>
      <c r="AA3" t="s">
        <v>22</v>
      </c>
      <c r="AB3" t="s">
        <v>23</v>
      </c>
      <c r="AC3" t="s">
        <v>24</v>
      </c>
      <c r="AD3" t="s">
        <v>25</v>
      </c>
      <c r="AE3" t="s">
        <v>26</v>
      </c>
      <c r="AF3" t="s">
        <v>27</v>
      </c>
      <c r="AG3" t="s">
        <v>28</v>
      </c>
      <c r="AH3" t="s">
        <v>29</v>
      </c>
      <c r="AI3" t="s">
        <v>30</v>
      </c>
      <c r="AJ3" t="s">
        <v>31</v>
      </c>
      <c r="AK3" t="s">
        <v>32</v>
      </c>
    </row>
    <row r="4" spans="1:37" x14ac:dyDescent="0.2">
      <c r="A4" s="8" t="s">
        <v>9</v>
      </c>
      <c r="B4" t="s">
        <v>10</v>
      </c>
      <c r="C4" t="s">
        <v>33</v>
      </c>
      <c r="D4">
        <v>4</v>
      </c>
      <c r="E4" s="3">
        <v>2.5004</v>
      </c>
      <c r="F4">
        <v>0.41677557503106777</v>
      </c>
      <c r="G4">
        <v>1.0150745123430429</v>
      </c>
      <c r="H4">
        <v>6.087073659225415E-2</v>
      </c>
      <c r="I4">
        <v>0</v>
      </c>
      <c r="J4">
        <v>0.14063091598852087</v>
      </c>
      <c r="K4">
        <v>0</v>
      </c>
      <c r="L4">
        <v>0</v>
      </c>
      <c r="T4" s="3" t="s">
        <v>9</v>
      </c>
      <c r="U4" s="3" t="s">
        <v>10</v>
      </c>
      <c r="V4">
        <v>2.2755053925307278</v>
      </c>
      <c r="W4">
        <v>4.446625117799103</v>
      </c>
      <c r="X4">
        <v>20.360733612597762</v>
      </c>
      <c r="Y4">
        <v>34.635013112950503</v>
      </c>
      <c r="Z4">
        <v>0.24736105392285285</v>
      </c>
      <c r="AA4">
        <v>0.22807898297312365</v>
      </c>
      <c r="AB4">
        <v>0.56364511812795559</v>
      </c>
      <c r="AC4">
        <v>0.91163721710986556</v>
      </c>
      <c r="AD4">
        <v>0.25778047475494514</v>
      </c>
      <c r="AE4">
        <v>0.26308222504111362</v>
      </c>
      <c r="AF4">
        <v>0.17497544714902638</v>
      </c>
      <c r="AG4">
        <v>0.34471699436135883</v>
      </c>
      <c r="AH4">
        <v>0.11487306025443129</v>
      </c>
      <c r="AI4">
        <v>0.10697307671559349</v>
      </c>
      <c r="AJ4">
        <v>0.66254171857058231</v>
      </c>
      <c r="AK4">
        <v>1.0257660060103857</v>
      </c>
    </row>
    <row r="5" spans="1:37" x14ac:dyDescent="0.2">
      <c r="A5" s="8" t="s">
        <v>9</v>
      </c>
      <c r="B5" t="s">
        <v>10</v>
      </c>
      <c r="C5" t="s">
        <v>34</v>
      </c>
      <c r="D5">
        <v>8</v>
      </c>
      <c r="E5" s="3">
        <v>0.72840000000000005</v>
      </c>
      <c r="F5">
        <v>1.5039874858700646</v>
      </c>
      <c r="G5">
        <v>6.965741617001898</v>
      </c>
      <c r="H5">
        <v>0.32668865270902187</v>
      </c>
      <c r="I5">
        <v>0</v>
      </c>
      <c r="J5">
        <v>0</v>
      </c>
      <c r="K5">
        <v>0</v>
      </c>
      <c r="L5">
        <v>0</v>
      </c>
      <c r="T5" s="3" t="s">
        <v>9</v>
      </c>
      <c r="U5" s="3" t="s">
        <v>11</v>
      </c>
      <c r="V5">
        <v>0.50340511832456303</v>
      </c>
      <c r="W5">
        <v>0.49075545311463981</v>
      </c>
      <c r="X5">
        <v>25.218962917088778</v>
      </c>
      <c r="Y5">
        <v>39.349960680008905</v>
      </c>
      <c r="Z5">
        <v>0.16009908002973142</v>
      </c>
      <c r="AA5">
        <v>0.22194232452745508</v>
      </c>
      <c r="AB5">
        <v>0.70349453521026273</v>
      </c>
      <c r="AC5">
        <v>0.76143403179439451</v>
      </c>
      <c r="AD5">
        <v>0.1954198153121447</v>
      </c>
      <c r="AE5">
        <v>0.13811250298818623</v>
      </c>
      <c r="AF5">
        <v>9.1936284060730594E-2</v>
      </c>
      <c r="AG5">
        <v>0.15254038005165177</v>
      </c>
      <c r="AH5">
        <v>4.8437958068997221E-2</v>
      </c>
      <c r="AI5">
        <v>7.874760553642389E-2</v>
      </c>
      <c r="AJ5">
        <v>0.17710465788905866</v>
      </c>
      <c r="AK5">
        <v>0.26961461160126632</v>
      </c>
    </row>
    <row r="6" spans="1:37" x14ac:dyDescent="0.2">
      <c r="A6" s="8" t="s">
        <v>9</v>
      </c>
      <c r="B6" t="s">
        <v>10</v>
      </c>
      <c r="C6" t="s">
        <v>35</v>
      </c>
      <c r="D6">
        <v>18</v>
      </c>
      <c r="E6" s="3">
        <v>2.4058000000000002</v>
      </c>
      <c r="F6">
        <v>0.82138254369793318</v>
      </c>
      <c r="G6">
        <v>15.142613235796718</v>
      </c>
      <c r="H6">
        <v>0.22022075796583612</v>
      </c>
      <c r="I6">
        <v>3.0015107395623031</v>
      </c>
      <c r="J6">
        <v>0.69154412323285774</v>
      </c>
      <c r="K6">
        <v>0.16519275807426897</v>
      </c>
      <c r="L6">
        <v>0.28632889930694738</v>
      </c>
      <c r="T6" s="3" t="s">
        <v>12</v>
      </c>
      <c r="U6" s="3" t="s">
        <v>10</v>
      </c>
      <c r="V6">
        <v>1.2379616505897499</v>
      </c>
      <c r="W6">
        <v>1.3421022962527234</v>
      </c>
      <c r="X6">
        <v>9.0092413569104544</v>
      </c>
      <c r="Y6">
        <v>13.889397654391784</v>
      </c>
      <c r="Z6">
        <v>0.10027608382363129</v>
      </c>
      <c r="AA6">
        <v>0.14734319552931271</v>
      </c>
      <c r="AB6">
        <v>2.6669853361654026</v>
      </c>
      <c r="AC6">
        <v>4.341795372419063</v>
      </c>
      <c r="AD6">
        <v>0.17133326938576793</v>
      </c>
      <c r="AE6">
        <v>0.17289040756943655</v>
      </c>
      <c r="AF6">
        <v>0.286045484346511</v>
      </c>
      <c r="AG6">
        <v>0.29643716153983346</v>
      </c>
      <c r="AH6">
        <v>1.105917109886795</v>
      </c>
      <c r="AI6">
        <v>1.1645843517411421</v>
      </c>
      <c r="AJ6">
        <v>0.6021979278112003</v>
      </c>
      <c r="AK6">
        <v>0.65809417872125076</v>
      </c>
    </row>
    <row r="7" spans="1:37" x14ac:dyDescent="0.2">
      <c r="A7" s="8" t="s">
        <v>9</v>
      </c>
      <c r="B7" t="s">
        <v>10</v>
      </c>
      <c r="C7" t="s">
        <v>36</v>
      </c>
      <c r="D7">
        <v>10</v>
      </c>
      <c r="E7" s="3">
        <v>2.7002000000000002</v>
      </c>
      <c r="F7">
        <v>1.0672487871025875</v>
      </c>
      <c r="G7">
        <v>37.473684772887019</v>
      </c>
      <c r="H7">
        <v>0.28096077532058727</v>
      </c>
      <c r="I7">
        <v>0.78218991697085516</v>
      </c>
      <c r="J7">
        <v>0.3098631572365082</v>
      </c>
      <c r="K7">
        <v>0.27575356141924218</v>
      </c>
      <c r="L7">
        <v>0.15117122169620731</v>
      </c>
      <c r="T7" s="3" t="s">
        <v>12</v>
      </c>
      <c r="U7" s="3" t="s">
        <v>11</v>
      </c>
      <c r="V7">
        <v>0.90820776313872609</v>
      </c>
      <c r="W7">
        <v>0.86679674518583905</v>
      </c>
      <c r="X7">
        <v>3.389425705348478</v>
      </c>
      <c r="Y7">
        <v>4.1240960034081793</v>
      </c>
      <c r="Z7">
        <v>1.9409360594107774E-2</v>
      </c>
      <c r="AA7">
        <v>4.894109231990227E-2</v>
      </c>
      <c r="AB7">
        <v>0.47817587639358428</v>
      </c>
      <c r="AC7">
        <v>0.58753681214442932</v>
      </c>
      <c r="AD7">
        <v>5.6805678610534059E-2</v>
      </c>
      <c r="AE7">
        <v>8.4205475892130163E-2</v>
      </c>
      <c r="AF7">
        <v>2.6867870114368652E-2</v>
      </c>
      <c r="AG7">
        <v>4.918747420244491E-2</v>
      </c>
      <c r="AH7">
        <v>0.9439775092870295</v>
      </c>
      <c r="AI7">
        <v>0.62689951077223549</v>
      </c>
      <c r="AJ7">
        <v>0.42011540364330563</v>
      </c>
      <c r="AK7">
        <v>0.52027079626874406</v>
      </c>
    </row>
    <row r="8" spans="1:37" x14ac:dyDescent="0.2">
      <c r="A8" s="8" t="s">
        <v>9</v>
      </c>
      <c r="B8" t="s">
        <v>10</v>
      </c>
      <c r="C8" t="s">
        <v>37</v>
      </c>
      <c r="D8">
        <v>14</v>
      </c>
      <c r="E8" s="3">
        <v>1.4746999999999999</v>
      </c>
      <c r="F8">
        <v>0.68614839880028011</v>
      </c>
      <c r="G8">
        <v>0</v>
      </c>
      <c r="H8">
        <v>0.25115920165536038</v>
      </c>
      <c r="I8">
        <v>0.57102550725362067</v>
      </c>
      <c r="J8">
        <v>0.6966657397410928</v>
      </c>
      <c r="K8">
        <v>0</v>
      </c>
      <c r="L8">
        <v>0.2101056780435944</v>
      </c>
      <c r="T8" s="3" t="s">
        <v>38</v>
      </c>
      <c r="V8">
        <v>1.2312699811459415</v>
      </c>
      <c r="W8">
        <v>2.3769151926950292</v>
      </c>
      <c r="X8">
        <v>14.494590897986379</v>
      </c>
      <c r="Y8">
        <v>27.572616969840254</v>
      </c>
      <c r="Z8">
        <v>0.13178639459258085</v>
      </c>
      <c r="AA8">
        <v>0.18988924342706645</v>
      </c>
      <c r="AB8">
        <v>1.1030752164743012</v>
      </c>
      <c r="AC8">
        <v>2.366079158857862</v>
      </c>
      <c r="AD8">
        <v>0.17033480951584798</v>
      </c>
      <c r="AE8">
        <v>0.18529805553640138</v>
      </c>
      <c r="AF8">
        <v>0.14495627141765915</v>
      </c>
      <c r="AG8">
        <v>0.25151683503597616</v>
      </c>
      <c r="AH8">
        <v>0.55330140937431316</v>
      </c>
      <c r="AI8">
        <v>0.79989296870135562</v>
      </c>
      <c r="AJ8">
        <v>0.46548992697853686</v>
      </c>
      <c r="AK8">
        <v>0.67719921424335505</v>
      </c>
    </row>
    <row r="9" spans="1:37" x14ac:dyDescent="0.2">
      <c r="A9" s="8" t="s">
        <v>9</v>
      </c>
      <c r="B9" t="s">
        <v>10</v>
      </c>
      <c r="C9" t="s">
        <v>39</v>
      </c>
      <c r="D9">
        <v>6</v>
      </c>
      <c r="E9" s="3">
        <v>2.4710999999999999</v>
      </c>
      <c r="F9">
        <v>0.43284246467161941</v>
      </c>
      <c r="G9">
        <v>17.792245057262985</v>
      </c>
      <c r="H9">
        <v>5.9542850861478425E-2</v>
      </c>
      <c r="I9">
        <v>0.73941355174618029</v>
      </c>
      <c r="J9">
        <v>0.33348129999109477</v>
      </c>
      <c r="K9">
        <v>1.1103724211395833</v>
      </c>
      <c r="L9">
        <v>0.12921106014520581</v>
      </c>
    </row>
    <row r="10" spans="1:37" x14ac:dyDescent="0.2">
      <c r="A10" s="8" t="s">
        <v>9</v>
      </c>
      <c r="B10" t="s">
        <v>10</v>
      </c>
      <c r="C10" t="s">
        <v>40</v>
      </c>
      <c r="D10">
        <v>12</v>
      </c>
      <c r="E10" s="3">
        <v>0.91249999999999998</v>
      </c>
      <c r="F10">
        <v>1.712860203275703</v>
      </c>
      <c r="G10">
        <v>2.847644527010766</v>
      </c>
      <c r="H10">
        <v>0.28706337086086381</v>
      </c>
      <c r="I10">
        <v>0</v>
      </c>
      <c r="J10">
        <v>0</v>
      </c>
      <c r="K10">
        <v>0</v>
      </c>
      <c r="L10">
        <v>0</v>
      </c>
    </row>
    <row r="11" spans="1:37" x14ac:dyDescent="0.2">
      <c r="A11" s="8" t="s">
        <v>9</v>
      </c>
      <c r="B11" t="s">
        <v>10</v>
      </c>
      <c r="C11" t="s">
        <v>41</v>
      </c>
      <c r="D11">
        <v>16</v>
      </c>
      <c r="E11" s="3">
        <v>1.9818</v>
      </c>
      <c r="F11">
        <v>14.86996962548246</v>
      </c>
      <c r="G11">
        <v>6.0990614154986327</v>
      </c>
      <c r="H11">
        <v>0.82443238422727916</v>
      </c>
      <c r="I11">
        <v>0</v>
      </c>
      <c r="J11">
        <v>0</v>
      </c>
      <c r="K11">
        <v>0</v>
      </c>
      <c r="L11">
        <v>0.17852165494954633</v>
      </c>
    </row>
    <row r="12" spans="1:37" x14ac:dyDescent="0.2">
      <c r="A12" s="8" t="s">
        <v>9</v>
      </c>
      <c r="B12" t="s">
        <v>11</v>
      </c>
      <c r="C12" t="s">
        <v>42</v>
      </c>
      <c r="D12">
        <v>7</v>
      </c>
      <c r="E12" s="3">
        <v>1.4962</v>
      </c>
      <c r="F12">
        <v>0.7511074940205883</v>
      </c>
      <c r="G12">
        <v>1.4962554849244096</v>
      </c>
      <c r="H12">
        <v>0.16385531796924716</v>
      </c>
      <c r="I12">
        <v>1.0628873007003659</v>
      </c>
      <c r="J12">
        <v>0.13685437369479789</v>
      </c>
      <c r="K12">
        <v>0</v>
      </c>
      <c r="L12">
        <v>0</v>
      </c>
    </row>
    <row r="13" spans="1:37" x14ac:dyDescent="0.2">
      <c r="A13" s="8" t="s">
        <v>9</v>
      </c>
      <c r="B13" t="s">
        <v>11</v>
      </c>
      <c r="C13" t="s">
        <v>43</v>
      </c>
      <c r="D13">
        <v>15</v>
      </c>
      <c r="E13" s="3">
        <v>1.9309000000000001</v>
      </c>
      <c r="F13">
        <v>0</v>
      </c>
      <c r="G13">
        <v>5.5908181606236527</v>
      </c>
      <c r="H13">
        <v>0.72887684228908378</v>
      </c>
      <c r="I13">
        <v>0</v>
      </c>
      <c r="J13">
        <v>0</v>
      </c>
      <c r="K13">
        <v>0</v>
      </c>
      <c r="L13">
        <v>0.18264475338378294</v>
      </c>
    </row>
    <row r="14" spans="1:37" x14ac:dyDescent="0.2">
      <c r="A14" s="8" t="s">
        <v>9</v>
      </c>
      <c r="B14" t="s">
        <v>11</v>
      </c>
      <c r="C14" t="s">
        <v>44</v>
      </c>
      <c r="D14">
        <v>17</v>
      </c>
      <c r="E14" s="3">
        <v>2.2957999999999998</v>
      </c>
      <c r="F14">
        <v>0</v>
      </c>
      <c r="G14">
        <v>37.251940067485741</v>
      </c>
      <c r="H14">
        <v>0</v>
      </c>
      <c r="I14">
        <v>0.96707328407240722</v>
      </c>
      <c r="J14">
        <v>0.35385589492654412</v>
      </c>
      <c r="K14">
        <v>0.2488757066966843</v>
      </c>
      <c r="L14">
        <v>0</v>
      </c>
    </row>
    <row r="15" spans="1:37" x14ac:dyDescent="0.2">
      <c r="A15" s="8" t="s">
        <v>9</v>
      </c>
      <c r="B15" t="s">
        <v>11</v>
      </c>
      <c r="C15" t="s">
        <v>45</v>
      </c>
      <c r="D15">
        <v>5</v>
      </c>
      <c r="E15" s="3">
        <v>0.98909999999999998</v>
      </c>
      <c r="F15">
        <v>0</v>
      </c>
      <c r="G15">
        <v>0.68115828509882137</v>
      </c>
      <c r="H15">
        <v>0.27750761816582048</v>
      </c>
      <c r="I15">
        <v>2.0810365118253498</v>
      </c>
      <c r="J15">
        <v>0</v>
      </c>
      <c r="K15">
        <v>0</v>
      </c>
      <c r="L15">
        <v>0</v>
      </c>
    </row>
    <row r="16" spans="1:37" x14ac:dyDescent="0.2">
      <c r="A16" s="8" t="s">
        <v>9</v>
      </c>
      <c r="B16" t="s">
        <v>11</v>
      </c>
      <c r="C16" t="s">
        <v>46</v>
      </c>
      <c r="D16">
        <v>19</v>
      </c>
      <c r="E16" s="3">
        <v>1.1027</v>
      </c>
      <c r="F16">
        <v>0.82510425438915913</v>
      </c>
      <c r="G16">
        <v>0.34974584868278796</v>
      </c>
      <c r="H16">
        <v>0.18477215630038088</v>
      </c>
      <c r="I16">
        <v>0</v>
      </c>
      <c r="J16">
        <v>0.13320924264090217</v>
      </c>
      <c r="K16">
        <v>0</v>
      </c>
      <c r="L16">
        <v>0</v>
      </c>
    </row>
    <row r="17" spans="1:12" x14ac:dyDescent="0.2">
      <c r="A17" s="8" t="s">
        <v>9</v>
      </c>
      <c r="B17" t="s">
        <v>11</v>
      </c>
      <c r="C17" t="s">
        <v>47</v>
      </c>
      <c r="D17">
        <v>3</v>
      </c>
      <c r="E17" s="3">
        <v>3.2010000000000001</v>
      </c>
      <c r="F17">
        <v>0.42861341672451192</v>
      </c>
      <c r="G17">
        <v>6.3760162509378127</v>
      </c>
      <c r="H17">
        <v>0</v>
      </c>
      <c r="I17">
        <v>1.0682895722274466</v>
      </c>
      <c r="J17">
        <v>0.2926568041357217</v>
      </c>
      <c r="K17">
        <v>0</v>
      </c>
      <c r="L17">
        <v>0.16486682926679908</v>
      </c>
    </row>
    <row r="18" spans="1:12" x14ac:dyDescent="0.2">
      <c r="A18" s="8" t="s">
        <v>9</v>
      </c>
      <c r="B18" t="s">
        <v>11</v>
      </c>
      <c r="C18" t="s">
        <v>48</v>
      </c>
      <c r="D18">
        <v>11</v>
      </c>
      <c r="E18" s="3">
        <v>2.9020999999999999</v>
      </c>
      <c r="F18">
        <v>0.64109833259013094</v>
      </c>
      <c r="G18">
        <v>6.7804007904330224</v>
      </c>
      <c r="H18">
        <v>0.1310102657609209</v>
      </c>
      <c r="I18">
        <v>0</v>
      </c>
      <c r="J18">
        <v>0.16184247824152284</v>
      </c>
      <c r="K18">
        <v>0.3953447126684364</v>
      </c>
      <c r="L18">
        <v>0.13686799803939023</v>
      </c>
    </row>
    <row r="19" spans="1:12" x14ac:dyDescent="0.2">
      <c r="A19" s="8" t="s">
        <v>9</v>
      </c>
      <c r="B19" t="s">
        <v>11</v>
      </c>
      <c r="C19" t="s">
        <v>49</v>
      </c>
      <c r="D19">
        <v>13</v>
      </c>
      <c r="E19" s="3">
        <v>1.9036</v>
      </c>
      <c r="F19">
        <v>1.1216676688221068</v>
      </c>
      <c r="G19">
        <v>0.63876783333067777</v>
      </c>
      <c r="H19">
        <v>0</v>
      </c>
      <c r="I19">
        <v>0.25387408539689788</v>
      </c>
      <c r="J19">
        <v>0.41642993975195497</v>
      </c>
      <c r="K19">
        <v>0</v>
      </c>
      <c r="L19">
        <v>0</v>
      </c>
    </row>
    <row r="20" spans="1:12" x14ac:dyDescent="0.2">
      <c r="A20" s="8" t="s">
        <v>9</v>
      </c>
      <c r="B20" t="s">
        <v>11</v>
      </c>
      <c r="C20" t="s">
        <v>50</v>
      </c>
      <c r="D20">
        <v>9</v>
      </c>
      <c r="E20" s="3">
        <v>1.8815</v>
      </c>
      <c r="F20">
        <v>0</v>
      </c>
      <c r="G20">
        <v>87.633162985912776</v>
      </c>
      <c r="H20">
        <v>0</v>
      </c>
      <c r="I20">
        <v>0</v>
      </c>
      <c r="J20">
        <v>0.20600019817621007</v>
      </c>
      <c r="K20">
        <v>0</v>
      </c>
      <c r="L20">
        <v>0</v>
      </c>
    </row>
    <row r="21" spans="1:12" x14ac:dyDescent="0.2">
      <c r="A21" s="9" t="s">
        <v>9</v>
      </c>
      <c r="B21" t="s">
        <v>11</v>
      </c>
      <c r="C21" t="s">
        <v>51</v>
      </c>
      <c r="D21">
        <v>1</v>
      </c>
      <c r="E21" s="3">
        <v>1.6463000000000001</v>
      </c>
      <c r="F21">
        <v>1.2664600166991327</v>
      </c>
      <c r="G21">
        <v>105.39136346345809</v>
      </c>
      <c r="H21">
        <v>0.11496859981186101</v>
      </c>
      <c r="I21">
        <v>1.6017845978801601</v>
      </c>
      <c r="J21">
        <v>0.25334922155379314</v>
      </c>
      <c r="K21">
        <v>0.27514242124218541</v>
      </c>
      <c r="L21">
        <v>0</v>
      </c>
    </row>
    <row r="22" spans="1:12" x14ac:dyDescent="0.2">
      <c r="A22" s="8" t="s">
        <v>12</v>
      </c>
      <c r="B22" t="s">
        <v>10</v>
      </c>
      <c r="C22" t="s">
        <v>15</v>
      </c>
      <c r="D22">
        <v>2</v>
      </c>
      <c r="E22" s="3">
        <v>10.37</v>
      </c>
      <c r="F22">
        <v>0.47928213649826024</v>
      </c>
      <c r="G22">
        <v>34.758001122204917</v>
      </c>
      <c r="H22">
        <v>0</v>
      </c>
      <c r="I22">
        <v>3.9891337168931553</v>
      </c>
      <c r="J22">
        <v>0.21057246652095601</v>
      </c>
      <c r="K22">
        <v>0</v>
      </c>
      <c r="L22">
        <v>1.2839648175084393</v>
      </c>
    </row>
    <row r="23" spans="1:12" x14ac:dyDescent="0.2">
      <c r="A23" s="8" t="s">
        <v>12</v>
      </c>
      <c r="B23" t="s">
        <v>10</v>
      </c>
      <c r="C23" t="s">
        <v>16</v>
      </c>
      <c r="D23">
        <v>20</v>
      </c>
      <c r="E23" s="3">
        <v>11.54</v>
      </c>
      <c r="F23">
        <v>0.65595460541600192</v>
      </c>
      <c r="G23">
        <v>0.77688561186974503</v>
      </c>
      <c r="H23">
        <v>0</v>
      </c>
      <c r="I23">
        <v>2.8012257062173282</v>
      </c>
      <c r="J23">
        <v>0.2144164535480273</v>
      </c>
      <c r="K23">
        <v>0.36087037156593038</v>
      </c>
      <c r="L23">
        <v>0.94295045735237548</v>
      </c>
    </row>
    <row r="24" spans="1:12" x14ac:dyDescent="0.2">
      <c r="A24" s="8" t="s">
        <v>12</v>
      </c>
      <c r="B24" t="s">
        <v>10</v>
      </c>
      <c r="C24" t="s">
        <v>34</v>
      </c>
      <c r="D24">
        <v>10</v>
      </c>
      <c r="E24" s="3">
        <v>3.29</v>
      </c>
      <c r="F24">
        <v>1.0465903131542398</v>
      </c>
      <c r="G24">
        <v>7.9654303745629491</v>
      </c>
      <c r="H24">
        <v>0.3454716883335805</v>
      </c>
      <c r="I24">
        <v>0.105634313701319</v>
      </c>
      <c r="J24">
        <v>0.27232207743920134</v>
      </c>
      <c r="K24">
        <v>0.80735343211060728</v>
      </c>
      <c r="L24">
        <v>4.0456914130821513</v>
      </c>
    </row>
    <row r="25" spans="1:12" x14ac:dyDescent="0.2">
      <c r="A25" s="8" t="s">
        <v>12</v>
      </c>
      <c r="B25" t="s">
        <v>10</v>
      </c>
      <c r="C25" t="s">
        <v>34</v>
      </c>
      <c r="D25">
        <v>8</v>
      </c>
      <c r="E25" s="3">
        <v>3.74</v>
      </c>
      <c r="F25">
        <v>4.5168126506556581</v>
      </c>
      <c r="G25">
        <v>34.669974055987112</v>
      </c>
      <c r="H25">
        <v>0.3883541289056322</v>
      </c>
      <c r="I25">
        <v>0.29031338445169669</v>
      </c>
      <c r="J25">
        <v>0.17512308482518044</v>
      </c>
      <c r="K25">
        <v>0</v>
      </c>
      <c r="L25">
        <v>0.1856491369250047</v>
      </c>
    </row>
    <row r="26" spans="1:12" x14ac:dyDescent="0.2">
      <c r="A26" s="8" t="s">
        <v>12</v>
      </c>
      <c r="B26" t="s">
        <v>10</v>
      </c>
      <c r="C26" t="s">
        <v>35</v>
      </c>
      <c r="D26">
        <v>18</v>
      </c>
      <c r="E26" s="3">
        <v>15.74</v>
      </c>
      <c r="F26">
        <v>9.1405088615013785E-2</v>
      </c>
      <c r="G26">
        <v>0.44924903369025404</v>
      </c>
      <c r="H26">
        <v>0</v>
      </c>
      <c r="I26">
        <v>0.15452573237208894</v>
      </c>
      <c r="J26">
        <v>0</v>
      </c>
      <c r="K26">
        <v>0</v>
      </c>
      <c r="L26">
        <v>0.10275000243621774</v>
      </c>
    </row>
    <row r="27" spans="1:12" x14ac:dyDescent="0.2">
      <c r="A27" s="8" t="s">
        <v>12</v>
      </c>
      <c r="B27" t="s">
        <v>10</v>
      </c>
      <c r="C27" t="s">
        <v>37</v>
      </c>
      <c r="D27">
        <v>14</v>
      </c>
      <c r="E27" s="3">
        <v>2.56</v>
      </c>
      <c r="F27">
        <v>2.254772962736812</v>
      </c>
      <c r="G27">
        <v>0</v>
      </c>
      <c r="H27">
        <v>0</v>
      </c>
      <c r="I27">
        <v>5.0738880680562755</v>
      </c>
      <c r="J27">
        <v>0.50373467035225838</v>
      </c>
      <c r="K27">
        <v>0.67917648024053756</v>
      </c>
      <c r="L27">
        <v>1.7848756371428718</v>
      </c>
    </row>
    <row r="28" spans="1:12" x14ac:dyDescent="0.2">
      <c r="A28" s="8" t="s">
        <v>12</v>
      </c>
      <c r="B28" t="s">
        <v>10</v>
      </c>
      <c r="C28" t="s">
        <v>39</v>
      </c>
      <c r="D28">
        <v>6</v>
      </c>
      <c r="E28" s="3">
        <v>10.53</v>
      </c>
      <c r="F28">
        <v>0.25826001449011277</v>
      </c>
      <c r="G28">
        <v>0.75233503353621523</v>
      </c>
      <c r="H28">
        <v>6.2163672845997157E-2</v>
      </c>
      <c r="I28">
        <v>0.34233364552909989</v>
      </c>
      <c r="J28">
        <v>0</v>
      </c>
      <c r="K28">
        <v>0.32244459977476103</v>
      </c>
      <c r="L28">
        <v>1.0743805919070903</v>
      </c>
    </row>
    <row r="29" spans="1:12" x14ac:dyDescent="0.2">
      <c r="A29" s="8" t="s">
        <v>12</v>
      </c>
      <c r="B29" t="s">
        <v>10</v>
      </c>
      <c r="C29" t="s">
        <v>52</v>
      </c>
      <c r="D29">
        <v>4</v>
      </c>
      <c r="E29" s="3">
        <v>4.8600000000000003</v>
      </c>
      <c r="F29">
        <v>0.850300475614576</v>
      </c>
      <c r="G29">
        <v>0.50899685089238178</v>
      </c>
      <c r="H29">
        <v>0.11969442910497173</v>
      </c>
      <c r="I29">
        <v>9.1091618324882648E-2</v>
      </c>
      <c r="J29">
        <v>0</v>
      </c>
      <c r="K29">
        <v>0</v>
      </c>
      <c r="L29">
        <v>0.13955195993469313</v>
      </c>
    </row>
    <row r="30" spans="1:12" x14ac:dyDescent="0.2">
      <c r="A30" s="8" t="s">
        <v>12</v>
      </c>
      <c r="B30" t="s">
        <v>10</v>
      </c>
      <c r="C30" t="s">
        <v>40</v>
      </c>
      <c r="D30">
        <v>12</v>
      </c>
      <c r="E30" s="3">
        <v>3.9</v>
      </c>
      <c r="F30">
        <v>1.8271109011634754</v>
      </c>
      <c r="G30">
        <v>1.8994857065607256</v>
      </c>
      <c r="H30">
        <v>0</v>
      </c>
      <c r="I30">
        <v>0</v>
      </c>
      <c r="J30">
        <v>0.33716394117205584</v>
      </c>
      <c r="K30">
        <v>0.23730995938411895</v>
      </c>
      <c r="L30">
        <v>0.7116766903916657</v>
      </c>
    </row>
    <row r="31" spans="1:12" x14ac:dyDescent="0.2">
      <c r="A31" s="8" t="s">
        <v>12</v>
      </c>
      <c r="B31" t="s">
        <v>10</v>
      </c>
      <c r="C31" t="s">
        <v>41</v>
      </c>
      <c r="D31">
        <v>16</v>
      </c>
      <c r="E31" s="3">
        <v>6.22</v>
      </c>
      <c r="F31">
        <v>0.39912735755335033</v>
      </c>
      <c r="G31">
        <v>8.3120557798002448</v>
      </c>
      <c r="H31">
        <v>8.7076919046131407E-2</v>
      </c>
      <c r="I31">
        <v>13.82170717610818</v>
      </c>
      <c r="J31">
        <v>0</v>
      </c>
      <c r="K31">
        <v>0.45330000038915491</v>
      </c>
      <c r="L31">
        <v>0.78768039218743979</v>
      </c>
    </row>
    <row r="32" spans="1:12" x14ac:dyDescent="0.2">
      <c r="A32" s="8" t="s">
        <v>12</v>
      </c>
      <c r="B32" t="s">
        <v>11</v>
      </c>
      <c r="C32" t="s">
        <v>42</v>
      </c>
      <c r="D32">
        <v>7</v>
      </c>
      <c r="E32" s="3">
        <v>12.32</v>
      </c>
      <c r="F32">
        <v>0.18753500712734272</v>
      </c>
      <c r="G32">
        <v>0.34660299585898074</v>
      </c>
      <c r="H32">
        <v>4.0090049594391171E-2</v>
      </c>
      <c r="I32">
        <v>0.25768725870128473</v>
      </c>
      <c r="J32">
        <v>0</v>
      </c>
      <c r="K32">
        <v>0</v>
      </c>
      <c r="L32">
        <v>0.25463813193871504</v>
      </c>
    </row>
    <row r="33" spans="1:12" x14ac:dyDescent="0.2">
      <c r="A33" s="8" t="s">
        <v>12</v>
      </c>
      <c r="B33" t="s">
        <v>11</v>
      </c>
      <c r="C33" t="s">
        <v>43</v>
      </c>
      <c r="D33">
        <v>15</v>
      </c>
      <c r="E33" s="3">
        <v>9.5299999999999994</v>
      </c>
      <c r="F33">
        <v>0.39026828741230052</v>
      </c>
      <c r="G33">
        <v>0.58267495249570511</v>
      </c>
      <c r="H33">
        <v>0</v>
      </c>
      <c r="I33">
        <v>1.7257285850935209</v>
      </c>
      <c r="J33">
        <v>0</v>
      </c>
      <c r="K33">
        <v>0</v>
      </c>
      <c r="L33">
        <v>0.65827616888574692</v>
      </c>
    </row>
    <row r="34" spans="1:12" x14ac:dyDescent="0.2">
      <c r="A34" s="8" t="s">
        <v>12</v>
      </c>
      <c r="B34" t="s">
        <v>11</v>
      </c>
      <c r="C34" t="s">
        <v>44</v>
      </c>
      <c r="D34">
        <v>17</v>
      </c>
      <c r="E34" s="3">
        <v>19.78</v>
      </c>
      <c r="F34">
        <v>0.13814229881209639</v>
      </c>
      <c r="G34">
        <v>1.0532361876714342</v>
      </c>
      <c r="H34">
        <v>0</v>
      </c>
      <c r="I34">
        <v>0.51712785480032852</v>
      </c>
      <c r="J34">
        <v>4.4612115424344345E-2</v>
      </c>
      <c r="K34">
        <v>4.2115488741136138E-2</v>
      </c>
      <c r="L34">
        <v>0.54616950347288229</v>
      </c>
    </row>
    <row r="35" spans="1:12" x14ac:dyDescent="0.2">
      <c r="A35" s="8" t="s">
        <v>12</v>
      </c>
      <c r="B35" t="s">
        <v>11</v>
      </c>
      <c r="C35" t="s">
        <v>45</v>
      </c>
      <c r="D35">
        <v>5</v>
      </c>
      <c r="E35" s="3">
        <v>5.42</v>
      </c>
      <c r="F35">
        <v>1.1080648804459947</v>
      </c>
      <c r="G35">
        <v>0.77641165893632957</v>
      </c>
      <c r="H35">
        <v>0</v>
      </c>
      <c r="I35">
        <v>0.55122439256950473</v>
      </c>
      <c r="J35">
        <v>0.21652257673860428</v>
      </c>
      <c r="K35">
        <v>0</v>
      </c>
      <c r="L35">
        <v>2.0172132136707885</v>
      </c>
    </row>
    <row r="36" spans="1:12" x14ac:dyDescent="0.2">
      <c r="A36" s="8" t="s">
        <v>12</v>
      </c>
      <c r="B36" t="s">
        <v>11</v>
      </c>
      <c r="C36" t="s">
        <v>46</v>
      </c>
      <c r="D36">
        <v>19</v>
      </c>
      <c r="E36" s="3">
        <v>2.93</v>
      </c>
      <c r="F36">
        <v>1.6641012534138511</v>
      </c>
      <c r="G36">
        <v>0</v>
      </c>
      <c r="H36">
        <v>0</v>
      </c>
      <c r="I36">
        <v>0</v>
      </c>
      <c r="J36">
        <v>0</v>
      </c>
      <c r="K36">
        <v>0.14115932141957407</v>
      </c>
      <c r="L36">
        <v>1.5336305581975331</v>
      </c>
    </row>
    <row r="37" spans="1:12" x14ac:dyDescent="0.2">
      <c r="A37" s="8" t="s">
        <v>12</v>
      </c>
      <c r="B37" t="s">
        <v>11</v>
      </c>
      <c r="C37" t="s">
        <v>47</v>
      </c>
      <c r="D37">
        <v>3</v>
      </c>
      <c r="E37" s="3">
        <v>3.04</v>
      </c>
      <c r="F37">
        <v>0.91654640129700926</v>
      </c>
      <c r="G37">
        <v>2.3756576281986725</v>
      </c>
      <c r="H37">
        <v>0.15400355634668658</v>
      </c>
      <c r="I37">
        <v>0.14562148576000314</v>
      </c>
      <c r="J37">
        <v>0</v>
      </c>
      <c r="K37">
        <v>0</v>
      </c>
      <c r="L37">
        <v>7.6386578858096771E-2</v>
      </c>
    </row>
    <row r="38" spans="1:12" x14ac:dyDescent="0.2">
      <c r="A38" s="8" t="s">
        <v>12</v>
      </c>
      <c r="B38" t="s">
        <v>11</v>
      </c>
      <c r="C38" t="s">
        <v>53</v>
      </c>
      <c r="D38">
        <v>9</v>
      </c>
      <c r="E38" s="3">
        <v>11.15</v>
      </c>
      <c r="F38">
        <v>0.39805293563715227</v>
      </c>
      <c r="G38">
        <v>4.5301927295373954</v>
      </c>
      <c r="H38">
        <v>0</v>
      </c>
      <c r="I38">
        <v>4.4354721514037458E-2</v>
      </c>
      <c r="J38">
        <v>0</v>
      </c>
      <c r="K38">
        <v>0</v>
      </c>
      <c r="L38">
        <v>0.85047787360039884</v>
      </c>
    </row>
    <row r="39" spans="1:12" x14ac:dyDescent="0.2">
      <c r="A39" s="8" t="s">
        <v>12</v>
      </c>
      <c r="B39" t="s">
        <v>11</v>
      </c>
      <c r="C39" t="s">
        <v>54</v>
      </c>
      <c r="D39">
        <v>1</v>
      </c>
      <c r="E39" s="3">
        <v>9.3000000000000007</v>
      </c>
      <c r="F39">
        <v>0.67997495893753424</v>
      </c>
      <c r="G39">
        <v>11.285148833624401</v>
      </c>
      <c r="H39">
        <v>0</v>
      </c>
      <c r="I39">
        <v>0.11923838594350418</v>
      </c>
      <c r="J39">
        <v>0.14600927534081087</v>
      </c>
      <c r="K39">
        <v>8.5403890982976335E-2</v>
      </c>
      <c r="L39">
        <v>1.0030517059968036</v>
      </c>
    </row>
    <row r="40" spans="1:12" x14ac:dyDescent="0.2">
      <c r="A40" s="8" t="s">
        <v>12</v>
      </c>
      <c r="B40" t="s">
        <v>11</v>
      </c>
      <c r="C40" t="s">
        <v>48</v>
      </c>
      <c r="D40">
        <v>11</v>
      </c>
      <c r="E40" s="3">
        <v>6.56</v>
      </c>
      <c r="F40">
        <v>0.60216487517344486</v>
      </c>
      <c r="G40">
        <v>2.6982446248963683</v>
      </c>
      <c r="H40">
        <v>0</v>
      </c>
      <c r="I40">
        <v>0.10589952410531134</v>
      </c>
      <c r="J40">
        <v>0.16091281860158116</v>
      </c>
      <c r="K40">
        <v>0</v>
      </c>
      <c r="L40">
        <v>1.6802171441603049</v>
      </c>
    </row>
    <row r="41" spans="1:12" x14ac:dyDescent="0.2">
      <c r="A41" s="9" t="s">
        <v>12</v>
      </c>
      <c r="B41" t="s">
        <v>11</v>
      </c>
      <c r="C41" t="s">
        <v>49</v>
      </c>
      <c r="D41">
        <v>13</v>
      </c>
      <c r="E41" s="3">
        <v>2.2999999999999998</v>
      </c>
      <c r="F41">
        <v>2.9972267331305344</v>
      </c>
      <c r="G41">
        <v>10.246087442265488</v>
      </c>
      <c r="H41">
        <v>0</v>
      </c>
      <c r="I41">
        <v>1.3148765554483473</v>
      </c>
      <c r="J41">
        <v>0</v>
      </c>
      <c r="K41">
        <v>0</v>
      </c>
      <c r="L41">
        <v>0.81971421408902578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17"/>
  <sheetViews>
    <sheetView topLeftCell="I64" workbookViewId="0">
      <selection activeCell="B1" sqref="B1:N5"/>
    </sheetView>
  </sheetViews>
  <sheetFormatPr baseColWidth="10" defaultColWidth="8.83203125" defaultRowHeight="15" x14ac:dyDescent="0.2"/>
  <cols>
    <col min="7" max="7" width="49.6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5</v>
      </c>
      <c r="H1" s="1" t="s">
        <v>3</v>
      </c>
      <c r="I1" s="1" t="s">
        <v>6</v>
      </c>
      <c r="J1" s="1" t="s">
        <v>3</v>
      </c>
      <c r="K1" s="1" t="s">
        <v>7</v>
      </c>
      <c r="L1" s="1" t="s">
        <v>3</v>
      </c>
      <c r="M1" s="1" t="s">
        <v>8</v>
      </c>
      <c r="N1" s="1" t="s">
        <v>3</v>
      </c>
    </row>
    <row r="2" spans="1:14" x14ac:dyDescent="0.2">
      <c r="A2" s="2" t="s">
        <v>9</v>
      </c>
      <c r="B2" s="3" t="s">
        <v>10</v>
      </c>
      <c r="C2">
        <v>2.2755053925307278</v>
      </c>
      <c r="D2">
        <v>1.4061463273159691</v>
      </c>
      <c r="E2">
        <v>0.24736105392285285</v>
      </c>
      <c r="F2">
        <v>7.2124907260983306E-2</v>
      </c>
      <c r="G2">
        <v>0.56364511812795559</v>
      </c>
      <c r="H2">
        <v>0.28828500058445983</v>
      </c>
      <c r="I2">
        <v>0.25778047475494514</v>
      </c>
      <c r="J2">
        <v>8.3193904303490371E-2</v>
      </c>
      <c r="K2">
        <v>0.17497544714902638</v>
      </c>
      <c r="L2">
        <v>0.10900908503493141</v>
      </c>
      <c r="M2">
        <v>0.11487306025443129</v>
      </c>
      <c r="N2">
        <v>3.382785707371995E-2</v>
      </c>
    </row>
    <row r="3" spans="1:14" x14ac:dyDescent="0.2">
      <c r="A3" s="4"/>
      <c r="B3" s="3" t="s">
        <v>11</v>
      </c>
      <c r="C3">
        <v>0.50340511832456303</v>
      </c>
      <c r="D3">
        <v>0.15519050059902359</v>
      </c>
      <c r="E3">
        <v>0.16009908002973142</v>
      </c>
      <c r="F3">
        <v>7.0184325469901165E-2</v>
      </c>
      <c r="G3">
        <v>0.70349453521026273</v>
      </c>
      <c r="H3">
        <v>0.2407865828435353</v>
      </c>
      <c r="I3">
        <v>0.1954198153121447</v>
      </c>
      <c r="J3">
        <v>4.3675008278947984E-2</v>
      </c>
      <c r="K3">
        <v>9.1936284060730594E-2</v>
      </c>
      <c r="L3">
        <v>4.8237503611093267E-2</v>
      </c>
      <c r="M3">
        <v>4.8437958068997221E-2</v>
      </c>
      <c r="N3">
        <v>2.4902179377958505E-2</v>
      </c>
    </row>
    <row r="4" spans="1:14" x14ac:dyDescent="0.2">
      <c r="A4" s="2" t="s">
        <v>12</v>
      </c>
      <c r="B4" s="3" t="s">
        <v>10</v>
      </c>
      <c r="C4">
        <v>1.2379616505897499</v>
      </c>
      <c r="D4">
        <v>0.42441001091006708</v>
      </c>
      <c r="E4">
        <v>0.10027608382363129</v>
      </c>
      <c r="F4">
        <v>4.6594009560016698E-2</v>
      </c>
      <c r="G4">
        <v>2.6669853361654026</v>
      </c>
      <c r="H4">
        <v>1.372996251122325</v>
      </c>
      <c r="I4">
        <v>0.17133326938576793</v>
      </c>
      <c r="J4">
        <v>5.4672747351423523E-2</v>
      </c>
      <c r="K4">
        <v>0.286045484346511</v>
      </c>
      <c r="L4">
        <v>9.3741661358114042E-2</v>
      </c>
      <c r="M4">
        <v>1.105917109886795</v>
      </c>
      <c r="N4">
        <v>0.36827390788926873</v>
      </c>
    </row>
    <row r="5" spans="1:14" x14ac:dyDescent="0.2">
      <c r="A5" s="4"/>
      <c r="B5" s="3" t="s">
        <v>11</v>
      </c>
      <c r="C5">
        <v>0.90820776313872609</v>
      </c>
      <c r="D5">
        <v>0.27410519832078417</v>
      </c>
      <c r="E5">
        <v>1.9409360594107774E-2</v>
      </c>
      <c r="F5">
        <v>1.5476532290746518E-2</v>
      </c>
      <c r="G5">
        <v>0.47817587639358428</v>
      </c>
      <c r="H5">
        <v>0.18579545355708746</v>
      </c>
      <c r="I5">
        <v>5.6805678610534059E-2</v>
      </c>
      <c r="J5">
        <v>2.6628109527753022E-2</v>
      </c>
      <c r="K5">
        <v>2.6867870114368652E-2</v>
      </c>
      <c r="L5">
        <v>1.5554445083049999E-2</v>
      </c>
      <c r="M5">
        <v>0.9439775092870295</v>
      </c>
      <c r="N5">
        <v>0.19824303180855266</v>
      </c>
    </row>
    <row r="104" spans="18:22" x14ac:dyDescent="0.2">
      <c r="R104" t="s">
        <v>78</v>
      </c>
    </row>
    <row r="106" spans="18:22" ht="16" thickBot="1" x14ac:dyDescent="0.25">
      <c r="R106" t="s">
        <v>56</v>
      </c>
    </row>
    <row r="107" spans="18:22" x14ac:dyDescent="0.2">
      <c r="R107" s="11" t="s">
        <v>57</v>
      </c>
      <c r="S107" s="11" t="s">
        <v>58</v>
      </c>
      <c r="T107" s="11" t="s">
        <v>59</v>
      </c>
      <c r="U107" s="11" t="s">
        <v>60</v>
      </c>
      <c r="V107" s="11" t="s">
        <v>61</v>
      </c>
    </row>
    <row r="108" spans="18:22" x14ac:dyDescent="0.2">
      <c r="R108" t="s">
        <v>62</v>
      </c>
      <c r="S108">
        <v>10</v>
      </c>
      <c r="T108">
        <v>2.86045484346511</v>
      </c>
      <c r="U108">
        <v>0.286045484346511</v>
      </c>
      <c r="V108">
        <v>8.7874990741793321E-2</v>
      </c>
    </row>
    <row r="109" spans="18:22" ht="16" thickBot="1" x14ac:dyDescent="0.25">
      <c r="R109" s="10" t="s">
        <v>63</v>
      </c>
      <c r="S109" s="10">
        <v>10</v>
      </c>
      <c r="T109" s="10">
        <v>0.26867870114368653</v>
      </c>
      <c r="U109" s="10">
        <v>2.6867870114368652E-2</v>
      </c>
      <c r="V109" s="10">
        <v>2.4194076184161839E-3</v>
      </c>
    </row>
    <row r="112" spans="18:22" ht="16" thickBot="1" x14ac:dyDescent="0.25">
      <c r="R112" t="s">
        <v>64</v>
      </c>
    </row>
    <row r="113" spans="18:24" x14ac:dyDescent="0.2">
      <c r="R113" s="11" t="s">
        <v>65</v>
      </c>
      <c r="S113" s="11" t="s">
        <v>66</v>
      </c>
      <c r="T113" s="11" t="s">
        <v>67</v>
      </c>
      <c r="U113" s="11" t="s">
        <v>68</v>
      </c>
      <c r="V113" s="11" t="s">
        <v>69</v>
      </c>
      <c r="W113" s="11" t="s">
        <v>70</v>
      </c>
      <c r="X113" s="11" t="s">
        <v>71</v>
      </c>
    </row>
    <row r="114" spans="18:24" x14ac:dyDescent="0.2">
      <c r="R114" t="s">
        <v>72</v>
      </c>
      <c r="S114">
        <v>0.33586517859532616</v>
      </c>
      <c r="T114">
        <v>1</v>
      </c>
      <c r="U114">
        <v>0.33586517859532616</v>
      </c>
      <c r="V114">
        <v>7.4393358767498814</v>
      </c>
      <c r="W114">
        <v>1.381900154401983E-2</v>
      </c>
      <c r="X114">
        <v>4.4138734191705664</v>
      </c>
    </row>
    <row r="115" spans="18:24" x14ac:dyDescent="0.2">
      <c r="R115" t="s">
        <v>73</v>
      </c>
      <c r="S115">
        <v>0.81264958524188557</v>
      </c>
      <c r="T115">
        <v>18</v>
      </c>
      <c r="U115">
        <v>4.5147199180104756E-2</v>
      </c>
    </row>
    <row r="117" spans="18:24" ht="16" thickBot="1" x14ac:dyDescent="0.25">
      <c r="R117" s="10" t="s">
        <v>74</v>
      </c>
      <c r="S117" s="10">
        <v>1.1485147638372117</v>
      </c>
      <c r="T117" s="10">
        <v>19</v>
      </c>
      <c r="U117" s="10"/>
      <c r="V117" s="10"/>
      <c r="W117" s="10"/>
      <c r="X117" s="1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95"/>
  <sheetViews>
    <sheetView tabSelected="1" workbookViewId="0">
      <selection activeCell="H67" sqref="H67"/>
    </sheetView>
  </sheetViews>
  <sheetFormatPr baseColWidth="10" defaultColWidth="8.83203125" defaultRowHeight="15" x14ac:dyDescent="0.2"/>
  <sheetData>
    <row r="1" spans="1:28" x14ac:dyDescent="0.2">
      <c r="A1" s="1" t="s">
        <v>13</v>
      </c>
      <c r="B1" s="1" t="s">
        <v>1</v>
      </c>
      <c r="C1" s="5" t="s">
        <v>2</v>
      </c>
      <c r="D1" s="5"/>
      <c r="E1" s="5" t="s">
        <v>14</v>
      </c>
      <c r="F1" s="5"/>
      <c r="G1" s="5" t="s">
        <v>4</v>
      </c>
      <c r="H1" s="5"/>
      <c r="I1" s="6" t="s">
        <v>5</v>
      </c>
      <c r="J1" s="6"/>
      <c r="K1" s="7" t="s">
        <v>6</v>
      </c>
      <c r="L1" s="7"/>
      <c r="M1" s="6" t="s">
        <v>7</v>
      </c>
      <c r="N1" s="6"/>
      <c r="O1" s="5" t="s">
        <v>8</v>
      </c>
    </row>
    <row r="2" spans="1:28" x14ac:dyDescent="0.2">
      <c r="A2" s="8" t="s">
        <v>9</v>
      </c>
      <c r="B2" t="s">
        <v>10</v>
      </c>
      <c r="C2">
        <v>0.63844772199542388</v>
      </c>
      <c r="D2">
        <v>0.7511074940205883</v>
      </c>
      <c r="E2">
        <v>113.53125071564695</v>
      </c>
      <c r="F2">
        <v>1.4962554849244096</v>
      </c>
      <c r="G2">
        <v>9.2216182772108662E-2</v>
      </c>
      <c r="H2">
        <v>0.16385531796924716</v>
      </c>
      <c r="I2">
        <v>0.18182837655350911</v>
      </c>
      <c r="J2">
        <v>1.0628873007003659</v>
      </c>
      <c r="K2">
        <v>0.28817958743946054</v>
      </c>
      <c r="L2">
        <v>0.13685437369479789</v>
      </c>
      <c r="M2">
        <v>0</v>
      </c>
      <c r="N2">
        <v>0</v>
      </c>
      <c r="O2">
        <v>0</v>
      </c>
      <c r="P2">
        <v>0</v>
      </c>
    </row>
    <row r="3" spans="1:28" ht="16" thickBot="1" x14ac:dyDescent="0.25">
      <c r="A3" s="8" t="s">
        <v>9</v>
      </c>
      <c r="B3" t="s">
        <v>10</v>
      </c>
      <c r="C3">
        <v>0.60539111938013801</v>
      </c>
      <c r="D3">
        <v>0</v>
      </c>
      <c r="E3">
        <v>2.7400202725296263</v>
      </c>
      <c r="F3">
        <v>5.5908181606236527</v>
      </c>
      <c r="G3">
        <v>7.0455626263738788E-2</v>
      </c>
      <c r="H3">
        <v>0.72887684228908378</v>
      </c>
      <c r="I3">
        <v>0.36048308919308714</v>
      </c>
      <c r="J3">
        <v>0</v>
      </c>
      <c r="K3">
        <v>0.11743992391991606</v>
      </c>
      <c r="L3">
        <v>0</v>
      </c>
      <c r="M3">
        <v>0.19843573085716934</v>
      </c>
      <c r="N3">
        <v>0</v>
      </c>
      <c r="O3">
        <v>0.1933920884028118</v>
      </c>
      <c r="P3">
        <v>0.18264475338378294</v>
      </c>
    </row>
    <row r="4" spans="1:28" x14ac:dyDescent="0.2">
      <c r="A4" s="8" t="s">
        <v>9</v>
      </c>
      <c r="B4" t="s">
        <v>10</v>
      </c>
      <c r="C4">
        <v>0.41677557503106777</v>
      </c>
      <c r="D4">
        <v>0</v>
      </c>
      <c r="E4">
        <v>1.0150745123430429</v>
      </c>
      <c r="F4">
        <v>37.251940067485741</v>
      </c>
      <c r="G4">
        <v>6.087073659225415E-2</v>
      </c>
      <c r="H4">
        <v>0</v>
      </c>
      <c r="I4">
        <v>0</v>
      </c>
      <c r="J4">
        <v>0.96707328407240722</v>
      </c>
      <c r="K4">
        <v>0.14063091598852087</v>
      </c>
      <c r="L4">
        <v>0.35385589492654412</v>
      </c>
      <c r="M4">
        <v>0</v>
      </c>
      <c r="N4">
        <v>0.2488757066966843</v>
      </c>
      <c r="O4">
        <v>0</v>
      </c>
      <c r="P4">
        <v>0</v>
      </c>
      <c r="V4" s="11"/>
      <c r="W4" s="11"/>
      <c r="X4" s="11"/>
      <c r="Y4" s="11"/>
      <c r="Z4" s="11"/>
    </row>
    <row r="5" spans="1:28" x14ac:dyDescent="0.2">
      <c r="A5" s="8" t="s">
        <v>9</v>
      </c>
      <c r="B5" t="s">
        <v>10</v>
      </c>
      <c r="C5">
        <v>1.5039874858700646</v>
      </c>
      <c r="D5">
        <v>0</v>
      </c>
      <c r="E5">
        <v>6.965741617001898</v>
      </c>
      <c r="F5">
        <v>0.68115828509882137</v>
      </c>
      <c r="G5">
        <v>0.32668865270902187</v>
      </c>
      <c r="H5">
        <v>0.27750761816582048</v>
      </c>
      <c r="I5">
        <v>0</v>
      </c>
      <c r="J5">
        <v>2.0810365118253498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28" ht="16" thickBot="1" x14ac:dyDescent="0.25">
      <c r="A6" s="8" t="s">
        <v>9</v>
      </c>
      <c r="B6" t="s">
        <v>10</v>
      </c>
      <c r="C6">
        <v>0.82138254369793318</v>
      </c>
      <c r="D6">
        <v>0.82510425438915913</v>
      </c>
      <c r="E6">
        <v>15.142613235796718</v>
      </c>
      <c r="F6">
        <v>0.34974584868278796</v>
      </c>
      <c r="G6">
        <v>0.22022075796583612</v>
      </c>
      <c r="H6">
        <v>0.18477215630038088</v>
      </c>
      <c r="I6">
        <v>3.0015107395623031</v>
      </c>
      <c r="J6">
        <v>0</v>
      </c>
      <c r="K6">
        <v>0.69154412323285774</v>
      </c>
      <c r="L6">
        <v>0.13320924264090217</v>
      </c>
      <c r="M6">
        <v>0.16519275807426897</v>
      </c>
      <c r="N6">
        <v>0</v>
      </c>
      <c r="O6">
        <v>0.28632889930694738</v>
      </c>
      <c r="P6">
        <v>0</v>
      </c>
      <c r="V6" s="10"/>
      <c r="W6" s="10"/>
      <c r="X6" s="10"/>
      <c r="Y6" s="10"/>
      <c r="Z6" s="10"/>
    </row>
    <row r="7" spans="1:28" x14ac:dyDescent="0.2">
      <c r="A7" s="8" t="s">
        <v>9</v>
      </c>
      <c r="B7" t="s">
        <v>10</v>
      </c>
      <c r="C7">
        <v>1.0672487871025875</v>
      </c>
      <c r="D7">
        <v>0.42861341672451192</v>
      </c>
      <c r="E7">
        <v>37.473684772887019</v>
      </c>
      <c r="F7">
        <v>6.3760162509378127</v>
      </c>
      <c r="G7">
        <v>0.28096077532058727</v>
      </c>
      <c r="H7">
        <v>0</v>
      </c>
      <c r="I7">
        <v>0.78218991697085516</v>
      </c>
      <c r="J7">
        <v>1.0682895722274466</v>
      </c>
      <c r="K7">
        <v>0.3098631572365082</v>
      </c>
      <c r="L7">
        <v>0.2926568041357217</v>
      </c>
      <c r="M7">
        <v>0.27575356141924218</v>
      </c>
      <c r="N7">
        <v>0</v>
      </c>
      <c r="O7">
        <v>0.15117122169620731</v>
      </c>
      <c r="P7">
        <v>0.16486682926679908</v>
      </c>
    </row>
    <row r="8" spans="1:28" x14ac:dyDescent="0.2">
      <c r="A8" s="8" t="s">
        <v>9</v>
      </c>
      <c r="B8" t="s">
        <v>10</v>
      </c>
      <c r="C8">
        <v>0.68614839880028011</v>
      </c>
      <c r="D8">
        <v>0.64109833259013094</v>
      </c>
      <c r="E8">
        <v>0</v>
      </c>
      <c r="F8">
        <v>6.7804007904330224</v>
      </c>
      <c r="G8">
        <v>0.25115920165536038</v>
      </c>
      <c r="H8">
        <v>0.1310102657609209</v>
      </c>
      <c r="I8">
        <v>0.57102550725362067</v>
      </c>
      <c r="J8">
        <v>0</v>
      </c>
      <c r="K8">
        <v>0.6966657397410928</v>
      </c>
      <c r="L8">
        <v>0.16184247824152284</v>
      </c>
      <c r="M8">
        <v>0</v>
      </c>
      <c r="N8">
        <v>0.3953447126684364</v>
      </c>
      <c r="O8">
        <v>0.2101056780435944</v>
      </c>
      <c r="P8">
        <v>0.13686799803939023</v>
      </c>
    </row>
    <row r="9" spans="1:28" ht="16" thickBot="1" x14ac:dyDescent="0.25">
      <c r="A9" s="8" t="s">
        <v>9</v>
      </c>
      <c r="B9" t="s">
        <v>10</v>
      </c>
      <c r="C9">
        <v>0.43284246467161941</v>
      </c>
      <c r="D9">
        <v>1.1216676688221068</v>
      </c>
      <c r="E9">
        <v>17.792245057262985</v>
      </c>
      <c r="F9">
        <v>0.63876783333067777</v>
      </c>
      <c r="G9">
        <v>5.9542850861478425E-2</v>
      </c>
      <c r="H9">
        <v>0</v>
      </c>
      <c r="I9">
        <v>0.73941355174618029</v>
      </c>
      <c r="J9">
        <v>0.25387408539689788</v>
      </c>
      <c r="K9">
        <v>0.33348129999109477</v>
      </c>
      <c r="L9">
        <v>0.41642993975195497</v>
      </c>
      <c r="M9">
        <v>1.1103724211395833</v>
      </c>
      <c r="N9">
        <v>0</v>
      </c>
      <c r="O9">
        <v>0.12921106014520581</v>
      </c>
      <c r="P9">
        <v>0</v>
      </c>
    </row>
    <row r="10" spans="1:28" x14ac:dyDescent="0.2">
      <c r="A10" s="8" t="s">
        <v>9</v>
      </c>
      <c r="B10" t="s">
        <v>10</v>
      </c>
      <c r="C10">
        <v>1.712860203275703</v>
      </c>
      <c r="D10">
        <v>0</v>
      </c>
      <c r="E10">
        <v>2.847644527010766</v>
      </c>
      <c r="F10">
        <v>87.633162985912776</v>
      </c>
      <c r="G10">
        <v>0.28706337086086381</v>
      </c>
      <c r="H10">
        <v>0</v>
      </c>
      <c r="I10">
        <v>0</v>
      </c>
      <c r="J10">
        <v>0</v>
      </c>
      <c r="K10">
        <v>0</v>
      </c>
      <c r="L10">
        <v>0.20600019817621007</v>
      </c>
      <c r="M10">
        <v>0</v>
      </c>
      <c r="N10">
        <v>0</v>
      </c>
      <c r="O10">
        <v>0</v>
      </c>
      <c r="P10">
        <v>0</v>
      </c>
      <c r="V10" s="11"/>
      <c r="W10" s="11"/>
      <c r="X10" s="11"/>
      <c r="Y10" s="11"/>
      <c r="Z10" s="11"/>
      <c r="AA10" s="11"/>
      <c r="AB10" s="11"/>
    </row>
    <row r="11" spans="1:28" x14ac:dyDescent="0.2">
      <c r="A11" s="8" t="s">
        <v>9</v>
      </c>
      <c r="B11" t="s">
        <v>10</v>
      </c>
      <c r="C11">
        <v>14.86996962548246</v>
      </c>
      <c r="D11">
        <v>1.2664600166991327</v>
      </c>
      <c r="E11">
        <v>6.0990614154986327</v>
      </c>
      <c r="F11">
        <v>105.39136346345809</v>
      </c>
      <c r="G11">
        <v>0.82443238422727916</v>
      </c>
      <c r="H11">
        <v>0.11496859981186101</v>
      </c>
      <c r="I11">
        <v>0</v>
      </c>
      <c r="J11">
        <v>1.6017845978801601</v>
      </c>
      <c r="K11">
        <v>0</v>
      </c>
      <c r="L11">
        <v>0.25334922155379314</v>
      </c>
      <c r="M11">
        <v>0</v>
      </c>
      <c r="N11">
        <v>0.27514242124218541</v>
      </c>
      <c r="O11">
        <v>0.17852165494954633</v>
      </c>
      <c r="P11">
        <v>0</v>
      </c>
    </row>
    <row r="12" spans="1:28" x14ac:dyDescent="0.2">
      <c r="A12" s="8" t="s">
        <v>9</v>
      </c>
      <c r="B12" t="s">
        <v>11</v>
      </c>
    </row>
    <row r="13" spans="1:28" x14ac:dyDescent="0.2">
      <c r="A13" s="8" t="s">
        <v>9</v>
      </c>
      <c r="B13" t="s">
        <v>11</v>
      </c>
    </row>
    <row r="14" spans="1:28" ht="16" thickBot="1" x14ac:dyDescent="0.25">
      <c r="A14" s="8" t="s">
        <v>9</v>
      </c>
      <c r="B14" t="s">
        <v>11</v>
      </c>
      <c r="V14" s="10"/>
      <c r="W14" s="10"/>
      <c r="X14" s="10"/>
      <c r="Y14" s="10"/>
      <c r="Z14" s="10"/>
      <c r="AA14" s="10"/>
      <c r="AB14" s="10"/>
    </row>
    <row r="15" spans="1:28" x14ac:dyDescent="0.2">
      <c r="A15" s="8" t="s">
        <v>9</v>
      </c>
      <c r="B15" t="s">
        <v>11</v>
      </c>
    </row>
    <row r="16" spans="1:28" x14ac:dyDescent="0.2">
      <c r="A16" s="8" t="s">
        <v>9</v>
      </c>
      <c r="B16" t="s">
        <v>11</v>
      </c>
    </row>
    <row r="17" spans="1:25" x14ac:dyDescent="0.2">
      <c r="A17" s="8" t="s">
        <v>9</v>
      </c>
      <c r="B17" t="s">
        <v>11</v>
      </c>
    </row>
    <row r="18" spans="1:25" x14ac:dyDescent="0.2">
      <c r="A18" s="8" t="s">
        <v>9</v>
      </c>
      <c r="B18" t="s">
        <v>11</v>
      </c>
    </row>
    <row r="19" spans="1:25" x14ac:dyDescent="0.2">
      <c r="A19" s="8" t="s">
        <v>9</v>
      </c>
      <c r="B19" t="s">
        <v>11</v>
      </c>
    </row>
    <row r="20" spans="1:25" x14ac:dyDescent="0.2">
      <c r="A20" s="8" t="s">
        <v>9</v>
      </c>
      <c r="B20" t="s">
        <v>11</v>
      </c>
      <c r="S20" t="s">
        <v>75</v>
      </c>
    </row>
    <row r="21" spans="1:25" x14ac:dyDescent="0.2">
      <c r="A21" s="9" t="s">
        <v>9</v>
      </c>
      <c r="B21" t="s">
        <v>11</v>
      </c>
    </row>
    <row r="22" spans="1:25" ht="16" thickBot="1" x14ac:dyDescent="0.25">
      <c r="A22" s="8" t="s">
        <v>12</v>
      </c>
      <c r="B22" t="s">
        <v>10</v>
      </c>
      <c r="C22">
        <v>0.47928213649826024</v>
      </c>
      <c r="E22">
        <v>34.758001122204917</v>
      </c>
      <c r="G22">
        <v>0</v>
      </c>
      <c r="H22">
        <v>4.0090049594391171E-2</v>
      </c>
      <c r="I22">
        <v>3.9891337168931553</v>
      </c>
      <c r="J22">
        <v>0.25768725870128473</v>
      </c>
      <c r="K22">
        <v>0.21057246652095601</v>
      </c>
      <c r="L22">
        <v>0</v>
      </c>
      <c r="M22" s="5">
        <v>0</v>
      </c>
      <c r="N22" s="5">
        <v>0</v>
      </c>
      <c r="O22">
        <v>1.2839648175084393</v>
      </c>
      <c r="P22">
        <v>0.25463813193871504</v>
      </c>
      <c r="S22" t="s">
        <v>56</v>
      </c>
    </row>
    <row r="23" spans="1:25" x14ac:dyDescent="0.2">
      <c r="A23" s="8" t="s">
        <v>12</v>
      </c>
      <c r="B23" t="s">
        <v>10</v>
      </c>
      <c r="C23">
        <v>0.65595460541600192</v>
      </c>
      <c r="E23">
        <v>0.77688561186974503</v>
      </c>
      <c r="G23">
        <v>0</v>
      </c>
      <c r="H23">
        <v>0</v>
      </c>
      <c r="I23">
        <v>2.8012257062173282</v>
      </c>
      <c r="J23">
        <v>1.7257285850935209</v>
      </c>
      <c r="K23">
        <v>0.2144164535480273</v>
      </c>
      <c r="L23">
        <v>0</v>
      </c>
      <c r="M23" s="5">
        <v>0.36087037156593038</v>
      </c>
      <c r="N23" s="5">
        <v>0</v>
      </c>
      <c r="O23">
        <v>0.94295045735237548</v>
      </c>
      <c r="P23">
        <v>0.65827616888574692</v>
      </c>
      <c r="S23" s="11" t="s">
        <v>57</v>
      </c>
      <c r="T23" s="11" t="s">
        <v>58</v>
      </c>
      <c r="U23" s="11" t="s">
        <v>59</v>
      </c>
      <c r="V23" s="11" t="s">
        <v>60</v>
      </c>
      <c r="W23" s="11" t="s">
        <v>61</v>
      </c>
    </row>
    <row r="24" spans="1:25" x14ac:dyDescent="0.2">
      <c r="A24" s="8" t="s">
        <v>12</v>
      </c>
      <c r="B24" t="s">
        <v>10</v>
      </c>
      <c r="C24">
        <v>1.0465903131542398</v>
      </c>
      <c r="E24">
        <v>7.9654303745629491</v>
      </c>
      <c r="G24">
        <v>0.3454716883335805</v>
      </c>
      <c r="H24">
        <v>0</v>
      </c>
      <c r="I24">
        <v>0.105634313701319</v>
      </c>
      <c r="J24">
        <v>0.51712785480032852</v>
      </c>
      <c r="K24">
        <v>0.27232207743920134</v>
      </c>
      <c r="L24">
        <v>4.4612115424344345E-2</v>
      </c>
      <c r="M24" s="5">
        <v>0.80735343211060728</v>
      </c>
      <c r="N24" s="5">
        <v>4.2115488741136138E-2</v>
      </c>
      <c r="O24">
        <v>4.0456914130821513</v>
      </c>
      <c r="P24">
        <v>0.54616950347288229</v>
      </c>
      <c r="S24" t="s">
        <v>62</v>
      </c>
      <c r="T24">
        <v>10</v>
      </c>
      <c r="U24">
        <v>1.0027608382363129</v>
      </c>
      <c r="V24">
        <v>0.10027608382363129</v>
      </c>
      <c r="W24">
        <v>2.1710017268789281E-2</v>
      </c>
    </row>
    <row r="25" spans="1:25" ht="16" thickBot="1" x14ac:dyDescent="0.25">
      <c r="A25" s="8" t="s">
        <v>12</v>
      </c>
      <c r="B25" t="s">
        <v>10</v>
      </c>
      <c r="C25">
        <v>4.5168126506556581</v>
      </c>
      <c r="E25">
        <v>34.669974055987112</v>
      </c>
      <c r="G25">
        <v>0.3883541289056322</v>
      </c>
      <c r="H25">
        <v>0</v>
      </c>
      <c r="I25">
        <v>0.29031338445169669</v>
      </c>
      <c r="J25">
        <v>0.55122439256950473</v>
      </c>
      <c r="K25">
        <v>0.17512308482518044</v>
      </c>
      <c r="L25">
        <v>0.21652257673860428</v>
      </c>
      <c r="M25" s="5">
        <v>0</v>
      </c>
      <c r="N25" s="5">
        <v>0</v>
      </c>
      <c r="O25">
        <v>0.1856491369250047</v>
      </c>
      <c r="P25">
        <v>2.0172132136707885</v>
      </c>
      <c r="S25" s="10" t="s">
        <v>63</v>
      </c>
      <c r="T25" s="10">
        <v>10</v>
      </c>
      <c r="U25" s="10">
        <v>0.19409360594107775</v>
      </c>
      <c r="V25" s="10">
        <v>1.9409360594107774E-2</v>
      </c>
      <c r="W25" s="10">
        <v>2.3952305174651969E-3</v>
      </c>
    </row>
    <row r="26" spans="1:25" x14ac:dyDescent="0.2">
      <c r="A26" s="8" t="s">
        <v>12</v>
      </c>
      <c r="B26" t="s">
        <v>10</v>
      </c>
      <c r="C26">
        <v>9.1405088615013785E-2</v>
      </c>
      <c r="E26">
        <v>0.44924903369025404</v>
      </c>
      <c r="G26">
        <v>0</v>
      </c>
      <c r="H26">
        <v>0</v>
      </c>
      <c r="I26">
        <v>0.15452573237208894</v>
      </c>
      <c r="J26">
        <v>0</v>
      </c>
      <c r="K26">
        <v>0</v>
      </c>
      <c r="L26">
        <v>0</v>
      </c>
      <c r="M26" s="5">
        <v>0</v>
      </c>
      <c r="N26" s="5">
        <v>0.14115932141957407</v>
      </c>
      <c r="O26">
        <v>0.10275000243621774</v>
      </c>
      <c r="P26">
        <v>1.5336305581975331</v>
      </c>
    </row>
    <row r="27" spans="1:25" x14ac:dyDescent="0.2">
      <c r="A27" s="8" t="s">
        <v>12</v>
      </c>
      <c r="B27" t="s">
        <v>10</v>
      </c>
      <c r="C27">
        <v>2.254772962736812</v>
      </c>
      <c r="E27">
        <v>0</v>
      </c>
      <c r="G27">
        <v>0</v>
      </c>
      <c r="H27">
        <v>0.15400355634668658</v>
      </c>
      <c r="I27">
        <v>5.0738880680562755</v>
      </c>
      <c r="J27">
        <v>0.14562148576000314</v>
      </c>
      <c r="K27">
        <v>0.50373467035225838</v>
      </c>
      <c r="L27">
        <v>0</v>
      </c>
      <c r="M27" s="5">
        <v>0.67917648024053756</v>
      </c>
      <c r="N27" s="5">
        <v>0</v>
      </c>
      <c r="O27">
        <v>1.7848756371428718</v>
      </c>
      <c r="P27">
        <v>7.6386578858096771E-2</v>
      </c>
    </row>
    <row r="28" spans="1:25" ht="16" thickBot="1" x14ac:dyDescent="0.25">
      <c r="A28" s="8" t="s">
        <v>12</v>
      </c>
      <c r="B28" t="s">
        <v>10</v>
      </c>
      <c r="C28">
        <v>0.25826001449011277</v>
      </c>
      <c r="E28">
        <v>0.75233503353621523</v>
      </c>
      <c r="G28">
        <v>6.2163672845997157E-2</v>
      </c>
      <c r="H28">
        <v>0</v>
      </c>
      <c r="I28">
        <v>0.34233364552909989</v>
      </c>
      <c r="J28">
        <v>4.4354721514037458E-2</v>
      </c>
      <c r="K28">
        <v>0</v>
      </c>
      <c r="L28">
        <v>0</v>
      </c>
      <c r="M28" s="5">
        <v>0.32244459977476103</v>
      </c>
      <c r="N28" s="5">
        <v>0</v>
      </c>
      <c r="O28">
        <v>1.0743805919070903</v>
      </c>
      <c r="P28">
        <v>0.85047787360039884</v>
      </c>
      <c r="S28" t="s">
        <v>64</v>
      </c>
    </row>
    <row r="29" spans="1:25" x14ac:dyDescent="0.2">
      <c r="A29" s="8" t="s">
        <v>12</v>
      </c>
      <c r="B29" t="s">
        <v>10</v>
      </c>
      <c r="C29">
        <v>0.850300475614576</v>
      </c>
      <c r="E29">
        <v>0.50899685089238178</v>
      </c>
      <c r="G29">
        <v>0.11969442910497173</v>
      </c>
      <c r="H29">
        <v>0</v>
      </c>
      <c r="I29">
        <v>9.1091618324882648E-2</v>
      </c>
      <c r="J29">
        <v>0.11923838594350418</v>
      </c>
      <c r="K29">
        <v>0</v>
      </c>
      <c r="L29">
        <v>0.14600927534081087</v>
      </c>
      <c r="M29" s="5">
        <v>0</v>
      </c>
      <c r="N29" s="5">
        <v>8.5403890982976335E-2</v>
      </c>
      <c r="O29">
        <v>0.13955195993469313</v>
      </c>
      <c r="P29">
        <v>1.0030517059968036</v>
      </c>
      <c r="S29" s="11" t="s">
        <v>65</v>
      </c>
      <c r="T29" s="11" t="s">
        <v>66</v>
      </c>
      <c r="U29" s="11" t="s">
        <v>67</v>
      </c>
      <c r="V29" s="11" t="s">
        <v>68</v>
      </c>
      <c r="W29" s="11" t="s">
        <v>69</v>
      </c>
      <c r="X29" s="11" t="s">
        <v>70</v>
      </c>
      <c r="Y29" s="11" t="s">
        <v>71</v>
      </c>
    </row>
    <row r="30" spans="1:25" x14ac:dyDescent="0.2">
      <c r="A30" s="8" t="s">
        <v>12</v>
      </c>
      <c r="B30" t="s">
        <v>10</v>
      </c>
      <c r="C30">
        <v>1.8271109011634754</v>
      </c>
      <c r="E30">
        <v>1.8994857065607256</v>
      </c>
      <c r="G30">
        <v>0</v>
      </c>
      <c r="H30">
        <v>0</v>
      </c>
      <c r="I30">
        <v>0</v>
      </c>
      <c r="J30">
        <v>0.10589952410531134</v>
      </c>
      <c r="K30">
        <v>0.33716394117205584</v>
      </c>
      <c r="L30">
        <v>0.16091281860158116</v>
      </c>
      <c r="M30" s="5">
        <v>0.23730995938411895</v>
      </c>
      <c r="N30" s="5">
        <v>0</v>
      </c>
      <c r="O30">
        <v>0.7116766903916657</v>
      </c>
      <c r="P30">
        <v>1.6802171441603049</v>
      </c>
      <c r="S30" t="s">
        <v>72</v>
      </c>
      <c r="T30">
        <v>3.2697134629401742E-2</v>
      </c>
      <c r="U30">
        <v>1</v>
      </c>
      <c r="V30">
        <v>3.2697134629401742E-2</v>
      </c>
      <c r="W30">
        <v>2.7128644284707688</v>
      </c>
      <c r="X30">
        <v>0.11688837264998028</v>
      </c>
      <c r="Y30">
        <v>4.4138734191705664</v>
      </c>
    </row>
    <row r="31" spans="1:25" x14ac:dyDescent="0.2">
      <c r="A31" s="8" t="s">
        <v>12</v>
      </c>
      <c r="B31" t="s">
        <v>10</v>
      </c>
      <c r="C31">
        <v>0.39912735755335033</v>
      </c>
      <c r="E31">
        <v>8.3120557798002448</v>
      </c>
      <c r="G31">
        <v>8.7076919046131407E-2</v>
      </c>
      <c r="H31">
        <v>0</v>
      </c>
      <c r="I31">
        <v>13.82170717610818</v>
      </c>
      <c r="J31">
        <v>1.3148765554483473</v>
      </c>
      <c r="K31">
        <v>0</v>
      </c>
      <c r="L31">
        <v>0</v>
      </c>
      <c r="M31" s="5">
        <v>0.45330000038915491</v>
      </c>
      <c r="N31" s="5">
        <v>0</v>
      </c>
      <c r="O31">
        <v>0.78768039218743979</v>
      </c>
      <c r="P31">
        <v>0.81971421408902578</v>
      </c>
      <c r="S31" t="s">
        <v>73</v>
      </c>
      <c r="T31">
        <v>0.21694723007629019</v>
      </c>
      <c r="U31">
        <v>18</v>
      </c>
      <c r="V31">
        <v>1.2052623893127232E-2</v>
      </c>
    </row>
    <row r="32" spans="1:25" x14ac:dyDescent="0.2">
      <c r="A32" s="8" t="s">
        <v>12</v>
      </c>
      <c r="B32" t="s">
        <v>11</v>
      </c>
      <c r="C32">
        <v>0.18753500712734272</v>
      </c>
      <c r="E32">
        <v>0.34660299585898074</v>
      </c>
    </row>
    <row r="33" spans="1:25" ht="16" thickBot="1" x14ac:dyDescent="0.25">
      <c r="A33" s="8" t="s">
        <v>12</v>
      </c>
      <c r="B33" t="s">
        <v>11</v>
      </c>
      <c r="C33">
        <v>0.39026828741230052</v>
      </c>
      <c r="E33">
        <v>0.58267495249570511</v>
      </c>
      <c r="S33" s="10" t="s">
        <v>74</v>
      </c>
      <c r="T33" s="10">
        <v>0.24964436470569193</v>
      </c>
      <c r="U33" s="10">
        <v>19</v>
      </c>
      <c r="V33" s="10"/>
      <c r="W33" s="10"/>
      <c r="X33" s="10"/>
      <c r="Y33" s="10"/>
    </row>
    <row r="34" spans="1:25" x14ac:dyDescent="0.2">
      <c r="A34" s="8" t="s">
        <v>12</v>
      </c>
      <c r="B34" t="s">
        <v>11</v>
      </c>
      <c r="C34">
        <v>0.13814229881209639</v>
      </c>
      <c r="E34">
        <v>1.0532361876714342</v>
      </c>
    </row>
    <row r="35" spans="1:25" x14ac:dyDescent="0.2">
      <c r="A35" s="8" t="s">
        <v>12</v>
      </c>
      <c r="B35" t="s">
        <v>11</v>
      </c>
      <c r="C35">
        <v>1.1080648804459947</v>
      </c>
      <c r="E35">
        <v>0.77641165893632957</v>
      </c>
    </row>
    <row r="36" spans="1:25" x14ac:dyDescent="0.2">
      <c r="A36" s="8" t="s">
        <v>12</v>
      </c>
      <c r="B36" t="s">
        <v>11</v>
      </c>
      <c r="C36">
        <v>1.6641012534138511</v>
      </c>
      <c r="E36">
        <v>0</v>
      </c>
      <c r="S36" t="s">
        <v>76</v>
      </c>
    </row>
    <row r="37" spans="1:25" x14ac:dyDescent="0.2">
      <c r="A37" s="8" t="s">
        <v>12</v>
      </c>
      <c r="B37" t="s">
        <v>11</v>
      </c>
      <c r="C37">
        <v>0.91654640129700926</v>
      </c>
      <c r="E37">
        <v>2.3756576281986725</v>
      </c>
    </row>
    <row r="38" spans="1:25" ht="16" thickBot="1" x14ac:dyDescent="0.25">
      <c r="A38" s="8" t="s">
        <v>12</v>
      </c>
      <c r="B38" t="s">
        <v>11</v>
      </c>
      <c r="C38">
        <v>0.39805293563715227</v>
      </c>
      <c r="E38">
        <v>4.5301927295373954</v>
      </c>
      <c r="S38" t="s">
        <v>56</v>
      </c>
    </row>
    <row r="39" spans="1:25" x14ac:dyDescent="0.2">
      <c r="A39" s="8" t="s">
        <v>12</v>
      </c>
      <c r="B39" t="s">
        <v>11</v>
      </c>
      <c r="C39">
        <v>0.67997495893753424</v>
      </c>
      <c r="E39">
        <v>11.285148833624401</v>
      </c>
      <c r="S39" s="11" t="s">
        <v>57</v>
      </c>
      <c r="T39" s="11" t="s">
        <v>58</v>
      </c>
      <c r="U39" s="11" t="s">
        <v>59</v>
      </c>
      <c r="V39" s="11" t="s">
        <v>60</v>
      </c>
      <c r="W39" s="11" t="s">
        <v>61</v>
      </c>
    </row>
    <row r="40" spans="1:25" x14ac:dyDescent="0.2">
      <c r="A40" s="8" t="s">
        <v>12</v>
      </c>
      <c r="B40" t="s">
        <v>11</v>
      </c>
      <c r="C40">
        <v>0.60216487517344486</v>
      </c>
      <c r="E40">
        <v>2.6982446248963683</v>
      </c>
      <c r="S40" t="s">
        <v>62</v>
      </c>
      <c r="T40">
        <v>10</v>
      </c>
      <c r="U40">
        <v>26.669853361654027</v>
      </c>
      <c r="V40">
        <v>2.6669853361654026</v>
      </c>
      <c r="W40">
        <v>18.851187055959588</v>
      </c>
    </row>
    <row r="41" spans="1:25" ht="16" thickBot="1" x14ac:dyDescent="0.25">
      <c r="A41" s="9" t="s">
        <v>12</v>
      </c>
      <c r="B41" t="s">
        <v>11</v>
      </c>
      <c r="C41">
        <v>2.9972267331305344</v>
      </c>
      <c r="E41">
        <v>10.246087442265488</v>
      </c>
      <c r="S41" s="10" t="s">
        <v>63</v>
      </c>
      <c r="T41" s="10">
        <v>10</v>
      </c>
      <c r="U41" s="10">
        <v>4.7817587639358425</v>
      </c>
      <c r="V41" s="10">
        <v>0.47817587639358428</v>
      </c>
      <c r="W41" s="10">
        <v>0.34519950562483848</v>
      </c>
    </row>
    <row r="44" spans="1:25" ht="16" thickBot="1" x14ac:dyDescent="0.25">
      <c r="S44" t="s">
        <v>64</v>
      </c>
    </row>
    <row r="45" spans="1:25" x14ac:dyDescent="0.2">
      <c r="S45" s="11" t="s">
        <v>65</v>
      </c>
      <c r="T45" s="11" t="s">
        <v>66</v>
      </c>
      <c r="U45" s="11" t="s">
        <v>67</v>
      </c>
      <c r="V45" s="11" t="s">
        <v>68</v>
      </c>
      <c r="W45" s="11" t="s">
        <v>69</v>
      </c>
      <c r="X45" s="11" t="s">
        <v>70</v>
      </c>
      <c r="Y45" s="11" t="s">
        <v>71</v>
      </c>
    </row>
    <row r="46" spans="1:25" x14ac:dyDescent="0.2">
      <c r="S46" t="s">
        <v>72</v>
      </c>
      <c r="T46">
        <v>23.954434255932995</v>
      </c>
      <c r="U46">
        <v>1</v>
      </c>
      <c r="V46">
        <v>23.954434255932995</v>
      </c>
      <c r="W46">
        <v>2.4957232632385424</v>
      </c>
      <c r="X46">
        <v>0.13156799100330718</v>
      </c>
      <c r="Y46">
        <v>4.4138734191705664</v>
      </c>
    </row>
    <row r="47" spans="1:25" x14ac:dyDescent="0.2">
      <c r="S47" t="s">
        <v>73</v>
      </c>
      <c r="T47">
        <v>172.76747905425984</v>
      </c>
      <c r="U47">
        <v>18</v>
      </c>
      <c r="V47">
        <v>9.5981932807922128</v>
      </c>
    </row>
    <row r="49" spans="19:25" ht="16" thickBot="1" x14ac:dyDescent="0.25">
      <c r="S49" s="10" t="s">
        <v>74</v>
      </c>
      <c r="T49" s="10">
        <v>196.72191331019283</v>
      </c>
      <c r="U49" s="10">
        <v>19</v>
      </c>
      <c r="V49" s="10"/>
      <c r="W49" s="10"/>
      <c r="X49" s="10"/>
      <c r="Y49" s="10"/>
    </row>
    <row r="51" spans="19:25" x14ac:dyDescent="0.2">
      <c r="S51" t="s">
        <v>77</v>
      </c>
    </row>
    <row r="53" spans="19:25" ht="16" thickBot="1" x14ac:dyDescent="0.25">
      <c r="S53" t="s">
        <v>56</v>
      </c>
    </row>
    <row r="54" spans="19:25" x14ac:dyDescent="0.2">
      <c r="S54" s="11" t="s">
        <v>57</v>
      </c>
      <c r="T54" s="11" t="s">
        <v>58</v>
      </c>
      <c r="U54" s="11" t="s">
        <v>59</v>
      </c>
      <c r="V54" s="11" t="s">
        <v>60</v>
      </c>
      <c r="W54" s="11" t="s">
        <v>61</v>
      </c>
    </row>
    <row r="55" spans="19:25" x14ac:dyDescent="0.2">
      <c r="S55" t="s">
        <v>62</v>
      </c>
      <c r="T55">
        <v>10</v>
      </c>
      <c r="U55">
        <v>1.7133326938576792</v>
      </c>
      <c r="V55">
        <v>0.17133326938576793</v>
      </c>
      <c r="W55">
        <v>2.9891093029525886E-2</v>
      </c>
    </row>
    <row r="56" spans="19:25" ht="16" thickBot="1" x14ac:dyDescent="0.25">
      <c r="S56" s="10" t="s">
        <v>63</v>
      </c>
      <c r="T56" s="10">
        <v>10</v>
      </c>
      <c r="U56" s="10">
        <v>0.56805678610534061</v>
      </c>
      <c r="V56" s="10">
        <v>5.6805678610534059E-2</v>
      </c>
      <c r="W56" s="10">
        <v>7.090562170220114E-3</v>
      </c>
    </row>
    <row r="59" spans="19:25" ht="16" thickBot="1" x14ac:dyDescent="0.25">
      <c r="S59" t="s">
        <v>64</v>
      </c>
    </row>
    <row r="60" spans="19:25" x14ac:dyDescent="0.2">
      <c r="S60" s="11" t="s">
        <v>65</v>
      </c>
      <c r="T60" s="11" t="s">
        <v>66</v>
      </c>
      <c r="U60" s="11" t="s">
        <v>67</v>
      </c>
      <c r="V60" s="11" t="s">
        <v>68</v>
      </c>
      <c r="W60" s="11" t="s">
        <v>69</v>
      </c>
      <c r="X60" s="11" t="s">
        <v>70</v>
      </c>
      <c r="Y60" s="11" t="s">
        <v>71</v>
      </c>
    </row>
    <row r="61" spans="19:25" x14ac:dyDescent="0.2">
      <c r="S61" t="s">
        <v>72</v>
      </c>
      <c r="T61">
        <v>6.5582845243896959E-2</v>
      </c>
      <c r="U61">
        <v>1</v>
      </c>
      <c r="V61">
        <v>6.5582845243896959E-2</v>
      </c>
      <c r="W61">
        <v>3.5467771731508329</v>
      </c>
      <c r="X61">
        <v>7.5923205023907009E-2</v>
      </c>
      <c r="Y61">
        <v>4.4138734191705664</v>
      </c>
    </row>
    <row r="62" spans="19:25" x14ac:dyDescent="0.2">
      <c r="S62" t="s">
        <v>73</v>
      </c>
      <c r="T62">
        <v>0.332834896797714</v>
      </c>
      <c r="U62">
        <v>18</v>
      </c>
      <c r="V62">
        <v>1.8490827599873E-2</v>
      </c>
    </row>
    <row r="64" spans="19:25" ht="16" thickBot="1" x14ac:dyDescent="0.25">
      <c r="S64" s="10" t="s">
        <v>74</v>
      </c>
      <c r="T64" s="10">
        <v>0.39841774204161096</v>
      </c>
      <c r="U64" s="10">
        <v>19</v>
      </c>
      <c r="V64" s="10"/>
      <c r="W64" s="10"/>
      <c r="X64" s="10"/>
      <c r="Y64" s="10"/>
    </row>
    <row r="82" spans="19:25" x14ac:dyDescent="0.2">
      <c r="S82" t="s">
        <v>55</v>
      </c>
    </row>
    <row r="84" spans="19:25" ht="16" thickBot="1" x14ac:dyDescent="0.25">
      <c r="S84" t="s">
        <v>56</v>
      </c>
    </row>
    <row r="85" spans="19:25" x14ac:dyDescent="0.2">
      <c r="S85" s="11" t="s">
        <v>57</v>
      </c>
      <c r="T85" s="11" t="s">
        <v>58</v>
      </c>
      <c r="U85" s="11" t="s">
        <v>59</v>
      </c>
      <c r="V85" s="11" t="s">
        <v>60</v>
      </c>
      <c r="W85" s="11" t="s">
        <v>61</v>
      </c>
    </row>
    <row r="86" spans="19:25" x14ac:dyDescent="0.2">
      <c r="S86" t="s">
        <v>62</v>
      </c>
      <c r="T86">
        <v>10</v>
      </c>
      <c r="U86">
        <v>11.059171098867949</v>
      </c>
      <c r="V86">
        <v>1.105917109886795</v>
      </c>
      <c r="W86">
        <v>1.356256712320336</v>
      </c>
    </row>
    <row r="87" spans="19:25" ht="16" thickBot="1" x14ac:dyDescent="0.25">
      <c r="S87" s="10" t="s">
        <v>63</v>
      </c>
      <c r="T87" s="10">
        <v>10</v>
      </c>
      <c r="U87" s="10">
        <v>9.4397750928702955</v>
      </c>
      <c r="V87" s="10">
        <v>0.9439775092870295</v>
      </c>
      <c r="W87" s="10">
        <v>0.39300299660646826</v>
      </c>
    </row>
    <row r="90" spans="19:25" ht="16" thickBot="1" x14ac:dyDescent="0.25">
      <c r="S90" t="s">
        <v>64</v>
      </c>
    </row>
    <row r="91" spans="19:25" x14ac:dyDescent="0.2">
      <c r="S91" s="11" t="s">
        <v>65</v>
      </c>
      <c r="T91" s="11" t="s">
        <v>66</v>
      </c>
      <c r="U91" s="11" t="s">
        <v>67</v>
      </c>
      <c r="V91" s="11" t="s">
        <v>68</v>
      </c>
      <c r="W91" s="11" t="s">
        <v>69</v>
      </c>
      <c r="X91" s="11" t="s">
        <v>70</v>
      </c>
      <c r="Y91" s="11" t="s">
        <v>71</v>
      </c>
    </row>
    <row r="92" spans="19:25" x14ac:dyDescent="0.2">
      <c r="S92" t="s">
        <v>72</v>
      </c>
      <c r="T92">
        <v>0.13112217121205916</v>
      </c>
      <c r="U92">
        <v>1</v>
      </c>
      <c r="V92">
        <v>0.13112217121205916</v>
      </c>
      <c r="W92">
        <v>0.149917328505216</v>
      </c>
      <c r="X92">
        <v>0.70315423579150038</v>
      </c>
      <c r="Y92">
        <v>4.4138734191705664</v>
      </c>
    </row>
    <row r="93" spans="19:25" x14ac:dyDescent="0.2">
      <c r="S93" t="s">
        <v>73</v>
      </c>
      <c r="T93">
        <v>15.743337380341245</v>
      </c>
      <c r="U93">
        <v>18</v>
      </c>
      <c r="V93">
        <v>0.87462985446340247</v>
      </c>
    </row>
    <row r="95" spans="19:25" ht="16" thickBot="1" x14ac:dyDescent="0.25">
      <c r="S95" s="10" t="s">
        <v>74</v>
      </c>
      <c r="T95" s="10">
        <v>15.874459551553304</v>
      </c>
      <c r="U95" s="10">
        <v>19</v>
      </c>
      <c r="V95" s="10"/>
      <c r="W95" s="10"/>
      <c r="X95" s="10"/>
      <c r="Y9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ng per g per hr</vt:lpstr>
      <vt:lpstr>quick charts</vt:lpstr>
      <vt:lpstr>Sheet3</vt:lpstr>
    </vt:vector>
  </TitlesOfParts>
  <Company>Agilent Technologies,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gcms</dc:creator>
  <cp:lastModifiedBy>Strand, Jackson</cp:lastModifiedBy>
  <dcterms:created xsi:type="dcterms:W3CDTF">2019-10-17T19:43:21Z</dcterms:created>
  <dcterms:modified xsi:type="dcterms:W3CDTF">2025-01-07T15:15:13Z</dcterms:modified>
</cp:coreProperties>
</file>