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85b832\Documents\Locoweed\2018\"/>
    </mc:Choice>
  </mc:AlternateContent>
  <bookViews>
    <workbookView xWindow="0" yWindow="0" windowWidth="19200" windowHeight="11460" activeTab="4"/>
  </bookViews>
  <sheets>
    <sheet name="Sheet1" sheetId="2" r:id="rId1"/>
    <sheet name="Locoweed Field Volatiles 2018" sheetId="1" r:id="rId2"/>
    <sheet name="Areas" sheetId="3" r:id="rId3"/>
    <sheet name="Sheet4" sheetId="5" r:id="rId4"/>
    <sheet name="ngpergperhr" sheetId="4" r:id="rId5"/>
    <sheet name="Sheet5" sheetId="6" r:id="rId6"/>
  </sheets>
  <definedNames>
    <definedName name="_xlnm._FilterDatabase" localSheetId="1" hidden="1">'Locoweed Field Volatiles 2018'!$A$1:$H$1603</definedName>
  </definedNames>
  <calcPr calcId="162913" concurrentCalc="0"/>
  <pivotCaches>
    <pivotCache cacheId="0" r:id="rId7"/>
    <pivotCache cacheId="1" r:id="rId8"/>
  </pivotCaches>
</workbook>
</file>

<file path=xl/calcChain.xml><?xml version="1.0" encoding="utf-8"?>
<calcChain xmlns="http://schemas.openxmlformats.org/spreadsheetml/2006/main">
  <c r="D36" i="6" l="1"/>
  <c r="D35" i="6"/>
  <c r="QV3" i="4"/>
  <c r="QV4" i="4"/>
  <c r="QV5" i="4"/>
  <c r="QV6" i="4"/>
  <c r="QV7" i="4"/>
  <c r="QV8" i="4"/>
  <c r="QV9" i="4"/>
  <c r="QV10" i="4"/>
  <c r="QV11" i="4"/>
  <c r="QV12" i="4"/>
  <c r="QV13" i="4"/>
  <c r="QV14" i="4"/>
  <c r="QV15" i="4"/>
  <c r="QV16" i="4"/>
  <c r="QV17" i="4"/>
  <c r="QV18" i="4"/>
  <c r="QV19" i="4"/>
  <c r="QV20" i="4"/>
  <c r="QV21" i="4"/>
  <c r="QV2" i="4"/>
  <c r="PQ3" i="4"/>
  <c r="PQ4" i="4"/>
  <c r="PQ5" i="4"/>
  <c r="PQ6" i="4"/>
  <c r="PQ7" i="4"/>
  <c r="PQ8" i="4"/>
  <c r="PQ9" i="4"/>
  <c r="PQ10" i="4"/>
  <c r="PQ11" i="4"/>
  <c r="PQ12" i="4"/>
  <c r="PQ13" i="4"/>
  <c r="PQ14" i="4"/>
  <c r="PQ15" i="4"/>
  <c r="PQ16" i="4"/>
  <c r="PQ17" i="4"/>
  <c r="PQ18" i="4"/>
  <c r="PQ19" i="4"/>
  <c r="PQ20" i="4"/>
  <c r="PQ21" i="4"/>
  <c r="PQ2" i="4"/>
  <c r="OM3" i="4"/>
  <c r="OM4" i="4"/>
  <c r="OM5" i="4"/>
  <c r="OM6" i="4"/>
  <c r="OM7" i="4"/>
  <c r="OM8" i="4"/>
  <c r="OM9" i="4"/>
  <c r="OM10" i="4"/>
  <c r="OM11" i="4"/>
  <c r="OM12" i="4"/>
  <c r="OM13" i="4"/>
  <c r="OM14" i="4"/>
  <c r="OM15" i="4"/>
  <c r="OM16" i="4"/>
  <c r="OM17" i="4"/>
  <c r="OM18" i="4"/>
  <c r="OM19" i="4"/>
  <c r="OM20" i="4"/>
  <c r="OM21" i="4"/>
  <c r="OM2" i="4"/>
  <c r="E32" i="6"/>
  <c r="E31" i="6"/>
  <c r="OH3" i="4"/>
  <c r="OH4" i="4"/>
  <c r="OH5" i="4"/>
  <c r="OH6" i="4"/>
  <c r="OH7" i="4"/>
  <c r="OH8" i="4"/>
  <c r="OH9" i="4"/>
  <c r="OH10" i="4"/>
  <c r="OH11" i="4"/>
  <c r="OH12" i="4"/>
  <c r="OH13" i="4"/>
  <c r="OH14" i="4"/>
  <c r="OH15" i="4"/>
  <c r="OH16" i="4"/>
  <c r="OH17" i="4"/>
  <c r="OH18" i="4"/>
  <c r="OH19" i="4"/>
  <c r="OH20" i="4"/>
  <c r="OH21" i="4"/>
  <c r="OH2" i="4"/>
  <c r="OE3" i="4"/>
  <c r="OE4" i="4"/>
  <c r="OE5" i="4"/>
  <c r="OE6" i="4"/>
  <c r="OE7" i="4"/>
  <c r="OE8" i="4"/>
  <c r="OE9" i="4"/>
  <c r="OE10" i="4"/>
  <c r="OE11" i="4"/>
  <c r="OE12" i="4"/>
  <c r="OE13" i="4"/>
  <c r="OE14" i="4"/>
  <c r="OE15" i="4"/>
  <c r="OE16" i="4"/>
  <c r="OE17" i="4"/>
  <c r="OE18" i="4"/>
  <c r="OE19" i="4"/>
  <c r="OE20" i="4"/>
  <c r="OE21" i="4"/>
  <c r="OE2" i="4"/>
  <c r="NR3" i="4"/>
  <c r="NR4" i="4"/>
  <c r="NR5" i="4"/>
  <c r="NR6" i="4"/>
  <c r="NR7" i="4"/>
  <c r="NR8" i="4"/>
  <c r="NR9" i="4"/>
  <c r="NR10" i="4"/>
  <c r="NR11" i="4"/>
  <c r="NR12" i="4"/>
  <c r="NR13" i="4"/>
  <c r="NR14" i="4"/>
  <c r="NR15" i="4"/>
  <c r="NR16" i="4"/>
  <c r="NR17" i="4"/>
  <c r="NR18" i="4"/>
  <c r="NR19" i="4"/>
  <c r="NR20" i="4"/>
  <c r="NR21" i="4"/>
  <c r="NR2" i="4"/>
  <c r="NI3" i="4"/>
  <c r="NI4" i="4"/>
  <c r="NI5" i="4"/>
  <c r="NI6" i="4"/>
  <c r="NI7" i="4"/>
  <c r="NI8" i="4"/>
  <c r="NI9" i="4"/>
  <c r="NI10" i="4"/>
  <c r="NI11" i="4"/>
  <c r="NI12" i="4"/>
  <c r="NI13" i="4"/>
  <c r="NI14" i="4"/>
  <c r="NI15" i="4"/>
  <c r="NI16" i="4"/>
  <c r="NI17" i="4"/>
  <c r="NI18" i="4"/>
  <c r="NI19" i="4"/>
  <c r="NI20" i="4"/>
  <c r="NI21" i="4"/>
  <c r="NI2" i="4"/>
  <c r="MV3" i="4"/>
  <c r="MV4" i="4"/>
  <c r="MV5" i="4"/>
  <c r="MV6" i="4"/>
  <c r="MV7" i="4"/>
  <c r="MV8" i="4"/>
  <c r="MV9" i="4"/>
  <c r="MV10" i="4"/>
  <c r="MV11" i="4"/>
  <c r="MV12" i="4"/>
  <c r="MV13" i="4"/>
  <c r="MV14" i="4"/>
  <c r="MV15" i="4"/>
  <c r="MV16" i="4"/>
  <c r="MV17" i="4"/>
  <c r="MV18" i="4"/>
  <c r="MV19" i="4"/>
  <c r="MV20" i="4"/>
  <c r="MV21" i="4"/>
  <c r="MV2" i="4"/>
  <c r="MJ3" i="4"/>
  <c r="MJ4" i="4"/>
  <c r="MJ5" i="4"/>
  <c r="MJ6" i="4"/>
  <c r="MJ7" i="4"/>
  <c r="MJ8" i="4"/>
  <c r="MJ9" i="4"/>
  <c r="MJ10" i="4"/>
  <c r="MJ11" i="4"/>
  <c r="MJ12" i="4"/>
  <c r="MJ13" i="4"/>
  <c r="MJ14" i="4"/>
  <c r="MJ15" i="4"/>
  <c r="MJ16" i="4"/>
  <c r="MJ17" i="4"/>
  <c r="MJ18" i="4"/>
  <c r="MJ19" i="4"/>
  <c r="MJ20" i="4"/>
  <c r="MJ21" i="4"/>
  <c r="MJ2" i="4"/>
  <c r="E25" i="6"/>
  <c r="E24" i="6"/>
  <c r="KG3" i="4"/>
  <c r="KG4" i="4"/>
  <c r="KG5" i="4"/>
  <c r="KG6" i="4"/>
  <c r="KG7" i="4"/>
  <c r="KG8" i="4"/>
  <c r="KG9" i="4"/>
  <c r="KG10" i="4"/>
  <c r="KG11" i="4"/>
  <c r="KG12" i="4"/>
  <c r="KG13" i="4"/>
  <c r="KG14" i="4"/>
  <c r="KG15" i="4"/>
  <c r="KG16" i="4"/>
  <c r="KG17" i="4"/>
  <c r="KG18" i="4"/>
  <c r="KG19" i="4"/>
  <c r="KG20" i="4"/>
  <c r="KG21" i="4"/>
  <c r="KG2" i="4"/>
  <c r="KD3" i="4"/>
  <c r="KD4" i="4"/>
  <c r="KD5" i="4"/>
  <c r="KD6" i="4"/>
  <c r="KD7" i="4"/>
  <c r="KD8" i="4"/>
  <c r="KD9" i="4"/>
  <c r="KD10" i="4"/>
  <c r="KD11" i="4"/>
  <c r="KD12" i="4"/>
  <c r="KD13" i="4"/>
  <c r="KD14" i="4"/>
  <c r="KD15" i="4"/>
  <c r="KD16" i="4"/>
  <c r="KD17" i="4"/>
  <c r="KD18" i="4"/>
  <c r="KD19" i="4"/>
  <c r="KD20" i="4"/>
  <c r="KD21" i="4"/>
  <c r="KD2" i="4"/>
  <c r="JV3" i="4"/>
  <c r="JV4" i="4"/>
  <c r="JV5" i="4"/>
  <c r="JV6" i="4"/>
  <c r="JV7" i="4"/>
  <c r="JV8" i="4"/>
  <c r="JV9" i="4"/>
  <c r="JV10" i="4"/>
  <c r="JV11" i="4"/>
  <c r="JV12" i="4"/>
  <c r="JV13" i="4"/>
  <c r="JV14" i="4"/>
  <c r="JV15" i="4"/>
  <c r="JV16" i="4"/>
  <c r="JV17" i="4"/>
  <c r="JV18" i="4"/>
  <c r="JV19" i="4"/>
  <c r="JV20" i="4"/>
  <c r="JV21" i="4"/>
  <c r="JV2" i="4"/>
  <c r="E14" i="6"/>
  <c r="E13" i="6"/>
  <c r="HG3" i="4"/>
  <c r="HG4" i="4"/>
  <c r="HG5" i="4"/>
  <c r="HG6" i="4"/>
  <c r="HG7" i="4"/>
  <c r="HG8" i="4"/>
  <c r="HG9" i="4"/>
  <c r="HG10" i="4"/>
  <c r="HG11" i="4"/>
  <c r="HG12" i="4"/>
  <c r="HG13" i="4"/>
  <c r="HG14" i="4"/>
  <c r="HG15" i="4"/>
  <c r="HG16" i="4"/>
  <c r="HG17" i="4"/>
  <c r="HG18" i="4"/>
  <c r="HG19" i="4"/>
  <c r="HG20" i="4"/>
  <c r="HG21" i="4"/>
  <c r="HG2" i="4"/>
  <c r="E9" i="6"/>
  <c r="E8" i="6"/>
  <c r="GV3" i="4"/>
  <c r="GV4" i="4"/>
  <c r="GV5" i="4"/>
  <c r="GV6" i="4"/>
  <c r="GV7" i="4"/>
  <c r="GV8" i="4"/>
  <c r="GV9" i="4"/>
  <c r="GV10" i="4"/>
  <c r="GV11" i="4"/>
  <c r="GV12" i="4"/>
  <c r="GV13" i="4"/>
  <c r="GV14" i="4"/>
  <c r="GV15" i="4"/>
  <c r="GV16" i="4"/>
  <c r="GV17" i="4"/>
  <c r="GV18" i="4"/>
  <c r="GV19" i="4"/>
  <c r="GV20" i="4"/>
  <c r="GV21" i="4"/>
  <c r="GV2" i="4"/>
  <c r="DZ3" i="4"/>
  <c r="DZ4" i="4"/>
  <c r="DZ5" i="4"/>
  <c r="DZ6" i="4"/>
  <c r="DZ7" i="4"/>
  <c r="DZ8" i="4"/>
  <c r="DZ9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" i="4"/>
  <c r="DL3" i="4"/>
  <c r="DL4" i="4"/>
  <c r="DL5" i="4"/>
  <c r="DL6" i="4"/>
  <c r="DL7" i="4"/>
  <c r="DL8" i="4"/>
  <c r="DL9" i="4"/>
  <c r="DL10" i="4"/>
  <c r="DL11" i="4"/>
  <c r="DL12" i="4"/>
  <c r="DL13" i="4"/>
  <c r="DL14" i="4"/>
  <c r="DL15" i="4"/>
  <c r="DL16" i="4"/>
  <c r="DL17" i="4"/>
  <c r="DL18" i="4"/>
  <c r="DL19" i="4"/>
  <c r="DL20" i="4"/>
  <c r="DL21" i="4"/>
  <c r="DL2" i="4"/>
  <c r="DB3" i="4"/>
  <c r="DB4" i="4"/>
  <c r="DB5" i="4"/>
  <c r="DB6" i="4"/>
  <c r="DB7" i="4"/>
  <c r="DB8" i="4"/>
  <c r="DB9" i="4"/>
  <c r="DB10" i="4"/>
  <c r="DB11" i="4"/>
  <c r="DB12" i="4"/>
  <c r="DB13" i="4"/>
  <c r="DB14" i="4"/>
  <c r="DB15" i="4"/>
  <c r="DB16" i="4"/>
  <c r="DB17" i="4"/>
  <c r="DB18" i="4"/>
  <c r="DB19" i="4"/>
  <c r="DB20" i="4"/>
  <c r="DB21" i="4"/>
  <c r="DB2" i="4"/>
  <c r="E3" i="6"/>
  <c r="E2" i="6"/>
  <c r="CX3" i="4"/>
  <c r="CX4" i="4"/>
  <c r="CX5" i="4"/>
  <c r="CX6" i="4"/>
  <c r="CX7" i="4"/>
  <c r="CX8" i="4"/>
  <c r="CX9" i="4"/>
  <c r="CX10" i="4"/>
  <c r="CX11" i="4"/>
  <c r="CX12" i="4"/>
  <c r="CX13" i="4"/>
  <c r="CX14" i="4"/>
  <c r="CX15" i="4"/>
  <c r="CX16" i="4"/>
  <c r="CX17" i="4"/>
  <c r="CX18" i="4"/>
  <c r="CX19" i="4"/>
  <c r="CX20" i="4"/>
  <c r="CX21" i="4"/>
  <c r="CX2" i="4"/>
  <c r="BL3" i="4"/>
  <c r="BL4" i="4"/>
  <c r="BL5" i="4"/>
  <c r="BL6" i="4"/>
  <c r="BL7" i="4"/>
  <c r="BL8" i="4"/>
  <c r="BL9" i="4"/>
  <c r="BL10" i="4"/>
  <c r="BL11" i="4"/>
  <c r="BL12" i="4"/>
  <c r="BL13" i="4"/>
  <c r="BL14" i="4"/>
  <c r="BL15" i="4"/>
  <c r="BL16" i="4"/>
  <c r="BL17" i="4"/>
  <c r="BL18" i="4"/>
  <c r="BL19" i="4"/>
  <c r="BL20" i="4"/>
  <c r="BL21" i="4"/>
  <c r="BL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" i="4"/>
  <c r="LI3" i="4"/>
  <c r="LI4" i="4"/>
  <c r="LI5" i="4"/>
  <c r="LI6" i="4"/>
  <c r="LI7" i="4"/>
  <c r="LI8" i="4"/>
  <c r="LI9" i="4"/>
  <c r="LI10" i="4"/>
  <c r="LI11" i="4"/>
  <c r="LI12" i="4"/>
  <c r="LI13" i="4"/>
  <c r="LI14" i="4"/>
  <c r="LI15" i="4"/>
  <c r="LI16" i="4"/>
  <c r="LI17" i="4"/>
  <c r="LI18" i="4"/>
  <c r="LI19" i="4"/>
  <c r="LI20" i="4"/>
  <c r="LI21" i="4"/>
  <c r="LI2" i="4"/>
  <c r="GY3" i="4"/>
  <c r="GY4" i="4"/>
  <c r="GY5" i="4"/>
  <c r="GY6" i="4"/>
  <c r="GY7" i="4"/>
  <c r="GY8" i="4"/>
  <c r="GY9" i="4"/>
  <c r="GY10" i="4"/>
  <c r="GY11" i="4"/>
  <c r="GY12" i="4"/>
  <c r="GY13" i="4"/>
  <c r="GY14" i="4"/>
  <c r="GY15" i="4"/>
  <c r="GY16" i="4"/>
  <c r="GY17" i="4"/>
  <c r="GY18" i="4"/>
  <c r="GY19" i="4"/>
  <c r="GY20" i="4"/>
  <c r="GY21" i="4"/>
  <c r="GY2" i="4"/>
  <c r="DP3" i="4"/>
  <c r="DP4" i="4"/>
  <c r="DP5" i="4"/>
  <c r="DP6" i="4"/>
  <c r="DP7" i="4"/>
  <c r="DP8" i="4"/>
  <c r="DP9" i="4"/>
  <c r="DP10" i="4"/>
  <c r="DP11" i="4"/>
  <c r="DP12" i="4"/>
  <c r="DP13" i="4"/>
  <c r="DP14" i="4"/>
  <c r="DP15" i="4"/>
  <c r="DP16" i="4"/>
  <c r="DP17" i="4"/>
  <c r="DP18" i="4"/>
  <c r="DP19" i="4"/>
  <c r="DP20" i="4"/>
  <c r="DP21" i="4"/>
  <c r="DP2" i="4"/>
</calcChain>
</file>

<file path=xl/sharedStrings.xml><?xml version="1.0" encoding="utf-8"?>
<sst xmlns="http://schemas.openxmlformats.org/spreadsheetml/2006/main" count="3178" uniqueCount="1506">
  <si>
    <t>-  -------</t>
  </si>
  <si>
    <t>-------</t>
  </si>
  <si>
    <t>------</t>
  </si>
  <si>
    <t>8  110444</t>
  </si>
  <si>
    <t>7   40203</t>
  </si>
  <si>
    <t>10   83902</t>
  </si>
  <si>
    <t>4  111125</t>
  </si>
  <si>
    <t>9  275965</t>
  </si>
  <si>
    <t>6  114705</t>
  </si>
  <si>
    <t>6   57003</t>
  </si>
  <si>
    <t>6  115998</t>
  </si>
  <si>
    <t>10   68719</t>
  </si>
  <si>
    <t>10   47851</t>
  </si>
  <si>
    <t>10   41775</t>
  </si>
  <si>
    <t>10   94717</t>
  </si>
  <si>
    <t>3  289860</t>
  </si>
  <si>
    <t>4  271996</t>
  </si>
  <si>
    <t>4   67650</t>
  </si>
  <si>
    <t>6   82631</t>
  </si>
  <si>
    <t>7   60390</t>
  </si>
  <si>
    <t>2   94343</t>
  </si>
  <si>
    <t>10   97326</t>
  </si>
  <si>
    <t>10   26463</t>
  </si>
  <si>
    <t>10   41622</t>
  </si>
  <si>
    <t>8   52661</t>
  </si>
  <si>
    <t>8   60530</t>
  </si>
  <si>
    <t>6  154386</t>
  </si>
  <si>
    <t>9  131169</t>
  </si>
  <si>
    <t>9   53403</t>
  </si>
  <si>
    <t>9   31642</t>
  </si>
  <si>
    <t>4  738848</t>
  </si>
  <si>
    <t>6   69637</t>
  </si>
  <si>
    <t>3  340682</t>
  </si>
  <si>
    <t>8   76374</t>
  </si>
  <si>
    <t>6  146009</t>
  </si>
  <si>
    <t>6   88487</t>
  </si>
  <si>
    <t>6  220961</t>
  </si>
  <si>
    <t>3  197798</t>
  </si>
  <si>
    <t>10  122179</t>
  </si>
  <si>
    <t>10   69540</t>
  </si>
  <si>
    <t>9   77515</t>
  </si>
  <si>
    <t>4  103781</t>
  </si>
  <si>
    <t>8   55493</t>
  </si>
  <si>
    <t>8   64616</t>
  </si>
  <si>
    <t>8   50480</t>
  </si>
  <si>
    <t>8   68669</t>
  </si>
  <si>
    <t>5  124180</t>
  </si>
  <si>
    <t>5   63149</t>
  </si>
  <si>
    <t>7   50710</t>
  </si>
  <si>
    <t>9   63698</t>
  </si>
  <si>
    <t>10   83366</t>
  </si>
  <si>
    <t>10   75734</t>
  </si>
  <si>
    <t>10   85314</t>
  </si>
  <si>
    <t>2 3090254</t>
  </si>
  <si>
    <t>2  959067</t>
  </si>
  <si>
    <t>2   39211</t>
  </si>
  <si>
    <t>2   81001</t>
  </si>
  <si>
    <t>8   40309</t>
  </si>
  <si>
    <t>10   32293</t>
  </si>
  <si>
    <t>10   27834</t>
  </si>
  <si>
    <t>9   36483</t>
  </si>
  <si>
    <t>9   42979</t>
  </si>
  <si>
    <t>8   99641</t>
  </si>
  <si>
    <t>9   86648</t>
  </si>
  <si>
    <t>10   38729</t>
  </si>
  <si>
    <t>10   40619</t>
  </si>
  <si>
    <t>10   47114</t>
  </si>
  <si>
    <t>4  117984</t>
  </si>
  <si>
    <t>3  144634</t>
  </si>
  <si>
    <t>10   34038</t>
  </si>
  <si>
    <t>5  409679</t>
  </si>
  <si>
    <t>10   49548</t>
  </si>
  <si>
    <t>3  120666</t>
  </si>
  <si>
    <t>7   42198</t>
  </si>
  <si>
    <t>2 1736425</t>
  </si>
  <si>
    <t>10   49587</t>
  </si>
  <si>
    <t>10   45273</t>
  </si>
  <si>
    <t>6  453293</t>
  </si>
  <si>
    <t>10   62998</t>
  </si>
  <si>
    <t>8  107945</t>
  </si>
  <si>
    <t>8   80279</t>
  </si>
  <si>
    <t>9   49755</t>
  </si>
  <si>
    <t>3  133017</t>
  </si>
  <si>
    <t>10   75428</t>
  </si>
  <si>
    <t>10   33759</t>
  </si>
  <si>
    <t>8   97185</t>
  </si>
  <si>
    <t>6  194017</t>
  </si>
  <si>
    <t>6   22463</t>
  </si>
  <si>
    <t>6   91283</t>
  </si>
  <si>
    <t>6   54322</t>
  </si>
  <si>
    <t>6   50806</t>
  </si>
  <si>
    <t>10   39880</t>
  </si>
  <si>
    <t>9   36623</t>
  </si>
  <si>
    <t>3   29087</t>
  </si>
  <si>
    <t>8  103812</t>
  </si>
  <si>
    <t>8   44214</t>
  </si>
  <si>
    <t>10   34836</t>
  </si>
  <si>
    <t>3  124875</t>
  </si>
  <si>
    <t>7   77469</t>
  </si>
  <si>
    <t>4   46457</t>
  </si>
  <si>
    <t>9   48410</t>
  </si>
  <si>
    <t>3  138402</t>
  </si>
  <si>
    <t>6  155529</t>
  </si>
  <si>
    <t>5  104894</t>
  </si>
  <si>
    <t>3  314476</t>
  </si>
  <si>
    <t>7   73908</t>
  </si>
  <si>
    <t>8  135747</t>
  </si>
  <si>
    <t>8   61931</t>
  </si>
  <si>
    <t>8   71361</t>
  </si>
  <si>
    <t>5   84820</t>
  </si>
  <si>
    <t>6   89556</t>
  </si>
  <si>
    <t>6   48793</t>
  </si>
  <si>
    <t>9   58964</t>
  </si>
  <si>
    <t>5  101649</t>
  </si>
  <si>
    <t>3  111362</t>
  </si>
  <si>
    <t>8   48711</t>
  </si>
  <si>
    <t>2  164625</t>
  </si>
  <si>
    <t>9   67770</t>
  </si>
  <si>
    <t>9   46310</t>
  </si>
  <si>
    <t>9   40239</t>
  </si>
  <si>
    <t>9   37755</t>
  </si>
  <si>
    <t>8   27356</t>
  </si>
  <si>
    <t>8  140427</t>
  </si>
  <si>
    <t>8   89201</t>
  </si>
  <si>
    <t>10   31795</t>
  </si>
  <si>
    <t>3  297198</t>
  </si>
  <si>
    <t>6  372461</t>
  </si>
  <si>
    <t>6  661398</t>
  </si>
  <si>
    <t>10   95219</t>
  </si>
  <si>
    <t>10   64857</t>
  </si>
  <si>
    <t>10   44820</t>
  </si>
  <si>
    <t>10   32323</t>
  </si>
  <si>
    <t>10   56729</t>
  </si>
  <si>
    <t>4  242927</t>
  </si>
  <si>
    <t>6   40385</t>
  </si>
  <si>
    <t>8   40997</t>
  </si>
  <si>
    <t>6   95926</t>
  </si>
  <si>
    <t>6   43700</t>
  </si>
  <si>
    <t>6   34460</t>
  </si>
  <si>
    <t>6   50578</t>
  </si>
  <si>
    <t>6  179415</t>
  </si>
  <si>
    <t>4  900928</t>
  </si>
  <si>
    <t>3   60669</t>
  </si>
  <si>
    <t>3   23754</t>
  </si>
  <si>
    <t>10   44247</t>
  </si>
  <si>
    <t>10   56789</t>
  </si>
  <si>
    <t>10   38570</t>
  </si>
  <si>
    <t>2 1743011</t>
  </si>
  <si>
    <t>2  309845</t>
  </si>
  <si>
    <t>2   35499</t>
  </si>
  <si>
    <t>10   49517</t>
  </si>
  <si>
    <t>9  123978</t>
  </si>
  <si>
    <t>6   50475</t>
  </si>
  <si>
    <t>4  161823</t>
  </si>
  <si>
    <t>8   51056</t>
  </si>
  <si>
    <t>2  107947</t>
  </si>
  <si>
    <t>10   75849</t>
  </si>
  <si>
    <t>10   26137</t>
  </si>
  <si>
    <t>4  312950</t>
  </si>
  <si>
    <t>2  205307</t>
  </si>
  <si>
    <t>10  197218</t>
  </si>
  <si>
    <t>2 1424488</t>
  </si>
  <si>
    <t>6  673290</t>
  </si>
  <si>
    <t>8   45695</t>
  </si>
  <si>
    <t>9   52180</t>
  </si>
  <si>
    <t>9   30548</t>
  </si>
  <si>
    <t>4   42047</t>
  </si>
  <si>
    <t>2   42628</t>
  </si>
  <si>
    <t>2   84437</t>
  </si>
  <si>
    <t>2   33402</t>
  </si>
  <si>
    <t>2   29938</t>
  </si>
  <si>
    <t>7  107652</t>
  </si>
  <si>
    <t>5  185854</t>
  </si>
  <si>
    <t>5   34312</t>
  </si>
  <si>
    <t>5  149873</t>
  </si>
  <si>
    <t>10   78096</t>
  </si>
  <si>
    <t>10   43241</t>
  </si>
  <si>
    <t>7  155885</t>
  </si>
  <si>
    <t>10   62528</t>
  </si>
  <si>
    <t>10   48880</t>
  </si>
  <si>
    <t>9   80197</t>
  </si>
  <si>
    <t>3  163298</t>
  </si>
  <si>
    <t>3   59612</t>
  </si>
  <si>
    <t>7  109658</t>
  </si>
  <si>
    <t>5  102082</t>
  </si>
  <si>
    <t>2  307096</t>
  </si>
  <si>
    <t>4   72044</t>
  </si>
  <si>
    <t>10   72356</t>
  </si>
  <si>
    <t>5   99752</t>
  </si>
  <si>
    <t>3   59698</t>
  </si>
  <si>
    <t>7   52132</t>
  </si>
  <si>
    <t>7   65264</t>
  </si>
  <si>
    <t>7   28848</t>
  </si>
  <si>
    <t>7   53593</t>
  </si>
  <si>
    <t>3   88614</t>
  </si>
  <si>
    <t>8  340293</t>
  </si>
  <si>
    <t>8 1008101</t>
  </si>
  <si>
    <t>8   44579</t>
  </si>
  <si>
    <t>8   32152</t>
  </si>
  <si>
    <t>8   71544</t>
  </si>
  <si>
    <t>3   44052</t>
  </si>
  <si>
    <t>4  224346</t>
  </si>
  <si>
    <t>5   64740</t>
  </si>
  <si>
    <t>6   97939</t>
  </si>
  <si>
    <t>10   36756</t>
  </si>
  <si>
    <t>5  138004</t>
  </si>
  <si>
    <t>5   65986</t>
  </si>
  <si>
    <t>5   30656</t>
  </si>
  <si>
    <t>4  872830</t>
  </si>
  <si>
    <t>3   95588</t>
  </si>
  <si>
    <t>9   42628</t>
  </si>
  <si>
    <t>9   49344</t>
  </si>
  <si>
    <t>9  260103</t>
  </si>
  <si>
    <t>2 1741315</t>
  </si>
  <si>
    <t>2  369356</t>
  </si>
  <si>
    <t>2   39497</t>
  </si>
  <si>
    <t>2  164092</t>
  </si>
  <si>
    <t>10   36436</t>
  </si>
  <si>
    <t>4   73425</t>
  </si>
  <si>
    <t>4   40129</t>
  </si>
  <si>
    <t>4   41003</t>
  </si>
  <si>
    <t>4   57728</t>
  </si>
  <si>
    <t>4  501744</t>
  </si>
  <si>
    <t>2  152337</t>
  </si>
  <si>
    <t>9  296182</t>
  </si>
  <si>
    <t>2 1560117</t>
  </si>
  <si>
    <t>6  850244</t>
  </si>
  <si>
    <t>6   54446</t>
  </si>
  <si>
    <t>8   41218</t>
  </si>
  <si>
    <t>8   45076</t>
  </si>
  <si>
    <t>8   42513</t>
  </si>
  <si>
    <t>3   84871</t>
  </si>
  <si>
    <t>3  107792</t>
  </si>
  <si>
    <t>3  118956</t>
  </si>
  <si>
    <t>8   89509</t>
  </si>
  <si>
    <t>6  175367</t>
  </si>
  <si>
    <t>6  229998</t>
  </si>
  <si>
    <t>6   94835</t>
  </si>
  <si>
    <t>6   55699</t>
  </si>
  <si>
    <t>6   59742</t>
  </si>
  <si>
    <t>6   56918</t>
  </si>
  <si>
    <t>6  190924</t>
  </si>
  <si>
    <t>6  147481</t>
  </si>
  <si>
    <t>10   47050</t>
  </si>
  <si>
    <t>10   30867</t>
  </si>
  <si>
    <t>10   60679</t>
  </si>
  <si>
    <t>9   44446</t>
  </si>
  <si>
    <t>10   48092</t>
  </si>
  <si>
    <t>9   75905</t>
  </si>
  <si>
    <t>4  163166</t>
  </si>
  <si>
    <t>9   49583</t>
  </si>
  <si>
    <t>4   44339</t>
  </si>
  <si>
    <t>2  194462</t>
  </si>
  <si>
    <t>7   79273</t>
  </si>
  <si>
    <t>7  129015</t>
  </si>
  <si>
    <t>7   52658</t>
  </si>
  <si>
    <t>7   62836</t>
  </si>
  <si>
    <t>2  112197</t>
  </si>
  <si>
    <t>5   69065</t>
  </si>
  <si>
    <t>5   48145</t>
  </si>
  <si>
    <t>6  126373</t>
  </si>
  <si>
    <t>4   53292</t>
  </si>
  <si>
    <t>2   72681</t>
  </si>
  <si>
    <t>3   54101</t>
  </si>
  <si>
    <t>3   29903</t>
  </si>
  <si>
    <t>6   54149</t>
  </si>
  <si>
    <t>5   45545</t>
  </si>
  <si>
    <t>7  727183</t>
  </si>
  <si>
    <t>7   85844</t>
  </si>
  <si>
    <t>3   47580</t>
  </si>
  <si>
    <t>9   53905</t>
  </si>
  <si>
    <t>4  180305</t>
  </si>
  <si>
    <t>2   41553</t>
  </si>
  <si>
    <t>5   67581</t>
  </si>
  <si>
    <t>10   38151</t>
  </si>
  <si>
    <t>9   71970</t>
  </si>
  <si>
    <t>6   85276</t>
  </si>
  <si>
    <t>6   78839</t>
  </si>
  <si>
    <t>10   47988</t>
  </si>
  <si>
    <t>6   68415</t>
  </si>
  <si>
    <t>6  198671</t>
  </si>
  <si>
    <t>6   59348</t>
  </si>
  <si>
    <t>3  746298</t>
  </si>
  <si>
    <t>6  226376</t>
  </si>
  <si>
    <t>3  183413</t>
  </si>
  <si>
    <t>3   59813</t>
  </si>
  <si>
    <t>7   88104</t>
  </si>
  <si>
    <t>5   32378</t>
  </si>
  <si>
    <t>5   28564</t>
  </si>
  <si>
    <t>10   94062</t>
  </si>
  <si>
    <t>9   42998</t>
  </si>
  <si>
    <t>7   78393</t>
  </si>
  <si>
    <t>4   57356</t>
  </si>
  <si>
    <t>4   31082</t>
  </si>
  <si>
    <t>4   52863</t>
  </si>
  <si>
    <t>4   26022</t>
  </si>
  <si>
    <t>5   62930</t>
  </si>
  <si>
    <t>5   48397</t>
  </si>
  <si>
    <t>5   48471</t>
  </si>
  <si>
    <t>5   65713</t>
  </si>
  <si>
    <t>5   74460</t>
  </si>
  <si>
    <t>5  100526</t>
  </si>
  <si>
    <t>2 1563831</t>
  </si>
  <si>
    <t>2   26790</t>
  </si>
  <si>
    <t>2   95432</t>
  </si>
  <si>
    <t>2   30196</t>
  </si>
  <si>
    <t>6   54367</t>
  </si>
  <si>
    <t>8   35255</t>
  </si>
  <si>
    <t>8   30010</t>
  </si>
  <si>
    <t>8   39003</t>
  </si>
  <si>
    <t>8  109732</t>
  </si>
  <si>
    <t>7   48081</t>
  </si>
  <si>
    <t>7   43079</t>
  </si>
  <si>
    <t>4   47947</t>
  </si>
  <si>
    <t>9   90895</t>
  </si>
  <si>
    <t>2   69448</t>
  </si>
  <si>
    <t>10   45475</t>
  </si>
  <si>
    <t>10  109317</t>
  </si>
  <si>
    <t>4  362487</t>
  </si>
  <si>
    <t>10   31840</t>
  </si>
  <si>
    <t>3  198084</t>
  </si>
  <si>
    <t>10   96316</t>
  </si>
  <si>
    <t>2 2179431</t>
  </si>
  <si>
    <t>2   63438</t>
  </si>
  <si>
    <t>9   49193</t>
  </si>
  <si>
    <t>6  606749</t>
  </si>
  <si>
    <t>9   62292</t>
  </si>
  <si>
    <t>8   44333</t>
  </si>
  <si>
    <t>9   67235</t>
  </si>
  <si>
    <t>9   33692</t>
  </si>
  <si>
    <t>2   58279</t>
  </si>
  <si>
    <t>2  137736</t>
  </si>
  <si>
    <t>2   37819</t>
  </si>
  <si>
    <t>2   40612</t>
  </si>
  <si>
    <t>8   78759</t>
  </si>
  <si>
    <t>6  171245</t>
  </si>
  <si>
    <t>6  147453</t>
  </si>
  <si>
    <t>6   51842</t>
  </si>
  <si>
    <t>10   32196</t>
  </si>
  <si>
    <t>10  145498</t>
  </si>
  <si>
    <t>10   82312</t>
  </si>
  <si>
    <t>10   46709</t>
  </si>
  <si>
    <t>10   25102</t>
  </si>
  <si>
    <t>7  270087</t>
  </si>
  <si>
    <t>7   91202</t>
  </si>
  <si>
    <t>7   54824</t>
  </si>
  <si>
    <t>9   34685</t>
  </si>
  <si>
    <t>2   62590</t>
  </si>
  <si>
    <t>9   58973</t>
  </si>
  <si>
    <t>9   78549</t>
  </si>
  <si>
    <t>9   41228</t>
  </si>
  <si>
    <t>8   52164</t>
  </si>
  <si>
    <t>10   97494</t>
  </si>
  <si>
    <t>3  153461</t>
  </si>
  <si>
    <t>7   54323</t>
  </si>
  <si>
    <t>6   72468</t>
  </si>
  <si>
    <t>4   79046</t>
  </si>
  <si>
    <t>2  444250</t>
  </si>
  <si>
    <t>5   82865</t>
  </si>
  <si>
    <t>9   58345</t>
  </si>
  <si>
    <t>8   79012</t>
  </si>
  <si>
    <t>8   39963</t>
  </si>
  <si>
    <t>10   48095</t>
  </si>
  <si>
    <t>7   73451</t>
  </si>
  <si>
    <t>4  686530</t>
  </si>
  <si>
    <t>3   28835</t>
  </si>
  <si>
    <t>3   45482</t>
  </si>
  <si>
    <t>7  678671</t>
  </si>
  <si>
    <t>7  255570</t>
  </si>
  <si>
    <t>10   69401</t>
  </si>
  <si>
    <t>10   57327</t>
  </si>
  <si>
    <t>10   34812</t>
  </si>
  <si>
    <t>10   57039</t>
  </si>
  <si>
    <t>3   45009</t>
  </si>
  <si>
    <t>9   46406</t>
  </si>
  <si>
    <t>4  264343</t>
  </si>
  <si>
    <t>8   40518</t>
  </si>
  <si>
    <t>6   64889</t>
  </si>
  <si>
    <t>10   35811</t>
  </si>
  <si>
    <t>8   54353</t>
  </si>
  <si>
    <t>5  168573</t>
  </si>
  <si>
    <t>9   91468</t>
  </si>
  <si>
    <t>4 1041982</t>
  </si>
  <si>
    <t>3   28635</t>
  </si>
  <si>
    <t>10   29898</t>
  </si>
  <si>
    <t>10   29107</t>
  </si>
  <si>
    <t>2 2409135</t>
  </si>
  <si>
    <t>2   79518</t>
  </si>
  <si>
    <t>2   90516</t>
  </si>
  <si>
    <t>2  128237</t>
  </si>
  <si>
    <t>2   41266</t>
  </si>
  <si>
    <t>4   98772</t>
  </si>
  <si>
    <t>4   66997</t>
  </si>
  <si>
    <t>7   52014</t>
  </si>
  <si>
    <t>7   28455</t>
  </si>
  <si>
    <t>4  643108</t>
  </si>
  <si>
    <t>3  153050</t>
  </si>
  <si>
    <t>10   97042</t>
  </si>
  <si>
    <t>2  596473</t>
  </si>
  <si>
    <t>2   71385</t>
  </si>
  <si>
    <t>6  562901</t>
  </si>
  <si>
    <t>7   35297</t>
  </si>
  <si>
    <t>9   95817</t>
  </si>
  <si>
    <t>9   43578</t>
  </si>
  <si>
    <t>3   30800</t>
  </si>
  <si>
    <t>9   47213</t>
  </si>
  <si>
    <t>7   79253</t>
  </si>
  <si>
    <t>4  259627</t>
  </si>
  <si>
    <t>4  141479</t>
  </si>
  <si>
    <t>4   40422</t>
  </si>
  <si>
    <t>10   28959</t>
  </si>
  <si>
    <t>10   59337</t>
  </si>
  <si>
    <t>10   32379</t>
  </si>
  <si>
    <t>10   78622</t>
  </si>
  <si>
    <t>7   75831</t>
  </si>
  <si>
    <t>9   65939</t>
  </si>
  <si>
    <t>10   44470</t>
  </si>
  <si>
    <t>5  119447</t>
  </si>
  <si>
    <t>10   58161</t>
  </si>
  <si>
    <t>3  211899</t>
  </si>
  <si>
    <t>10   44561</t>
  </si>
  <si>
    <t>7  865217</t>
  </si>
  <si>
    <t>5  178688</t>
  </si>
  <si>
    <t>7  175305</t>
  </si>
  <si>
    <t>7  153230</t>
  </si>
  <si>
    <t>2  278386</t>
  </si>
  <si>
    <t>10  100807</t>
  </si>
  <si>
    <t>9   83419</t>
  </si>
  <si>
    <t>8   60339</t>
  </si>
  <si>
    <t>8  139891</t>
  </si>
  <si>
    <t>4  117389</t>
  </si>
  <si>
    <t>5  120723</t>
  </si>
  <si>
    <t>10   62794</t>
  </si>
  <si>
    <t>9   65909</t>
  </si>
  <si>
    <t>8 1521992</t>
  </si>
  <si>
    <t>7   66615</t>
  </si>
  <si>
    <t>6   69261</t>
  </si>
  <si>
    <t>6   64892</t>
  </si>
  <si>
    <t>6   44492</t>
  </si>
  <si>
    <t>4 8131645</t>
  </si>
  <si>
    <t>A  3707082</t>
  </si>
  <si>
    <t>9  430167</t>
  </si>
  <si>
    <t>9   38638</t>
  </si>
  <si>
    <t>4  147082</t>
  </si>
  <si>
    <t>10   52006</t>
  </si>
  <si>
    <t>6   52564</t>
  </si>
  <si>
    <t>6   38921</t>
  </si>
  <si>
    <t>5   93255</t>
  </si>
  <si>
    <t>5   35425</t>
  </si>
  <si>
    <t>3  581555</t>
  </si>
  <si>
    <t>6   31379</t>
  </si>
  <si>
    <t>3   22793</t>
  </si>
  <si>
    <t>9   25452</t>
  </si>
  <si>
    <t>9   33714</t>
  </si>
  <si>
    <t>9   30826</t>
  </si>
  <si>
    <t>2 1312299</t>
  </si>
  <si>
    <t>2   50197</t>
  </si>
  <si>
    <t>2   72745</t>
  </si>
  <si>
    <t>10  100173</t>
  </si>
  <si>
    <t>10   42612</t>
  </si>
  <si>
    <t>3   31630</t>
  </si>
  <si>
    <t>10   39921</t>
  </si>
  <si>
    <t>5  772632</t>
  </si>
  <si>
    <t>3   70701</t>
  </si>
  <si>
    <t>9   41857</t>
  </si>
  <si>
    <t>2 1221536</t>
  </si>
  <si>
    <t>6  640136</t>
  </si>
  <si>
    <t>6   59992</t>
  </si>
  <si>
    <t>8   32330</t>
  </si>
  <si>
    <t>8   57143</t>
  </si>
  <si>
    <t>8   58645</t>
  </si>
  <si>
    <t>4   38289</t>
  </si>
  <si>
    <t>9   43285</t>
  </si>
  <si>
    <t>9   26038</t>
  </si>
  <si>
    <t>8  118156</t>
  </si>
  <si>
    <t>6  173255</t>
  </si>
  <si>
    <t>6   42220</t>
  </si>
  <si>
    <t>6   32110</t>
  </si>
  <si>
    <t>6  242739</t>
  </si>
  <si>
    <t>10   58840</t>
  </si>
  <si>
    <t>10   76138</t>
  </si>
  <si>
    <t>10   35639</t>
  </si>
  <si>
    <t>6   44896</t>
  </si>
  <si>
    <t>8   52761</t>
  </si>
  <si>
    <t>9   53025</t>
  </si>
  <si>
    <t>9   38856</t>
  </si>
  <si>
    <t>4   68384</t>
  </si>
  <si>
    <t>9   37712</t>
  </si>
  <si>
    <t>7   68958</t>
  </si>
  <si>
    <t>2  375892</t>
  </si>
  <si>
    <t>8   77245</t>
  </si>
  <si>
    <t>8   68308</t>
  </si>
  <si>
    <t>8   40520</t>
  </si>
  <si>
    <t>4   49641</t>
  </si>
  <si>
    <t>4  475132</t>
  </si>
  <si>
    <t>3   62598</t>
  </si>
  <si>
    <t>3  116439</t>
  </si>
  <si>
    <t>3  856191</t>
  </si>
  <si>
    <t>3   71983</t>
  </si>
  <si>
    <t>9   52520</t>
  </si>
  <si>
    <t>10   46111</t>
  </si>
  <si>
    <t>7   45627</t>
  </si>
  <si>
    <t>6   49731</t>
  </si>
  <si>
    <t>6   63439</t>
  </si>
  <si>
    <t>3   58595</t>
  </si>
  <si>
    <t>9  775598</t>
  </si>
  <si>
    <t>9   66162</t>
  </si>
  <si>
    <t>9   41951</t>
  </si>
  <si>
    <t>9   28825</t>
  </si>
  <si>
    <t>9   41608</t>
  </si>
  <si>
    <t>4  134246</t>
  </si>
  <si>
    <t>4   71480</t>
  </si>
  <si>
    <t>10   36647</t>
  </si>
  <si>
    <t>5   83505</t>
  </si>
  <si>
    <t>10   62809</t>
  </si>
  <si>
    <t>10   30578</t>
  </si>
  <si>
    <t>4  519883</t>
  </si>
  <si>
    <t>7   33613</t>
  </si>
  <si>
    <t>6   30920</t>
  </si>
  <si>
    <t>3   31937</t>
  </si>
  <si>
    <t>9   43350</t>
  </si>
  <si>
    <t>9   38942</t>
  </si>
  <si>
    <t>9   29705</t>
  </si>
  <si>
    <t>4   44310</t>
  </si>
  <si>
    <t>4   33281</t>
  </si>
  <si>
    <t>2 1136720</t>
  </si>
  <si>
    <t>2   41510</t>
  </si>
  <si>
    <t>8   82199</t>
  </si>
  <si>
    <t>6   94689</t>
  </si>
  <si>
    <t>6   34610</t>
  </si>
  <si>
    <t>6   37368</t>
  </si>
  <si>
    <t>4  120276</t>
  </si>
  <si>
    <t>8   37888</t>
  </si>
  <si>
    <t>8   47264</t>
  </si>
  <si>
    <t>4  337338</t>
  </si>
  <si>
    <t>2  265313</t>
  </si>
  <si>
    <t>9  147880</t>
  </si>
  <si>
    <t>2 1721451</t>
  </si>
  <si>
    <t>6  408055</t>
  </si>
  <si>
    <t>7   38706</t>
  </si>
  <si>
    <t>10   81797</t>
  </si>
  <si>
    <t>2  102457</t>
  </si>
  <si>
    <t>9   79897</t>
  </si>
  <si>
    <t>7   60094</t>
  </si>
  <si>
    <t>4  185706</t>
  </si>
  <si>
    <t>10   92483</t>
  </si>
  <si>
    <t>10   26634</t>
  </si>
  <si>
    <t>10   79166</t>
  </si>
  <si>
    <t>10   39250</t>
  </si>
  <si>
    <t>10   61666</t>
  </si>
  <si>
    <t>10   40002</t>
  </si>
  <si>
    <t>6  153900</t>
  </si>
  <si>
    <t>6   84746</t>
  </si>
  <si>
    <t>10   48905</t>
  </si>
  <si>
    <t>3   76859</t>
  </si>
  <si>
    <t>8   59638</t>
  </si>
  <si>
    <t>8   39669</t>
  </si>
  <si>
    <t>8   63099</t>
  </si>
  <si>
    <t>8   41337</t>
  </si>
  <si>
    <t>9   39625</t>
  </si>
  <si>
    <t>8   33216</t>
  </si>
  <si>
    <t>10   73924</t>
  </si>
  <si>
    <t>2  206972</t>
  </si>
  <si>
    <t>9   85153</t>
  </si>
  <si>
    <t>7   82856</t>
  </si>
  <si>
    <t>3  481262</t>
  </si>
  <si>
    <t>10  125665</t>
  </si>
  <si>
    <t>9  158942</t>
  </si>
  <si>
    <t>9   66370</t>
  </si>
  <si>
    <t>6   91669</t>
  </si>
  <si>
    <t>6   53917</t>
  </si>
  <si>
    <t>7 1212201</t>
  </si>
  <si>
    <t>3  113876</t>
  </si>
  <si>
    <t>6   78037</t>
  </si>
  <si>
    <t>2   57167</t>
  </si>
  <si>
    <t>10   58978</t>
  </si>
  <si>
    <t>5   41547</t>
  </si>
  <si>
    <t>3   72368</t>
  </si>
  <si>
    <t>8  321720</t>
  </si>
  <si>
    <t>8   54138</t>
  </si>
  <si>
    <t>8   46451</t>
  </si>
  <si>
    <t>3   32669</t>
  </si>
  <si>
    <t>4  117081</t>
  </si>
  <si>
    <t>3   26808</t>
  </si>
  <si>
    <t>2  128806</t>
  </si>
  <si>
    <t>9  210652</t>
  </si>
  <si>
    <t>9   94060</t>
  </si>
  <si>
    <t>9   49947</t>
  </si>
  <si>
    <t>9  108347</t>
  </si>
  <si>
    <t>8  317007</t>
  </si>
  <si>
    <t>8  101459</t>
  </si>
  <si>
    <t>8  119208</t>
  </si>
  <si>
    <t>6   94266</t>
  </si>
  <si>
    <t>5  461113</t>
  </si>
  <si>
    <t>6  528042</t>
  </si>
  <si>
    <t>4  110713</t>
  </si>
  <si>
    <t>6 1197360</t>
  </si>
  <si>
    <t>5  553309</t>
  </si>
  <si>
    <t>5  316075</t>
  </si>
  <si>
    <t>10  256304</t>
  </si>
  <si>
    <t>4  331849</t>
  </si>
  <si>
    <t>10  745823</t>
  </si>
  <si>
    <t>10  303390</t>
  </si>
  <si>
    <t>10  249428</t>
  </si>
  <si>
    <t>6  716132</t>
  </si>
  <si>
    <t>5  671694</t>
  </si>
  <si>
    <t>5  290920</t>
  </si>
  <si>
    <t>5  453077</t>
  </si>
  <si>
    <t>5  308595</t>
  </si>
  <si>
    <t>5  228682</t>
  </si>
  <si>
    <t>5  245090</t>
  </si>
  <si>
    <t>7 1855091</t>
  </si>
  <si>
    <t>9  165617</t>
  </si>
  <si>
    <t>10  190454</t>
  </si>
  <si>
    <t>2  160016</t>
  </si>
  <si>
    <t>2  205593</t>
  </si>
  <si>
    <t>2  441919</t>
  </si>
  <si>
    <t>2 3666334</t>
  </si>
  <si>
    <t>2  118246</t>
  </si>
  <si>
    <t>2  161810</t>
  </si>
  <si>
    <t>7  146929</t>
  </si>
  <si>
    <t>7  283231</t>
  </si>
  <si>
    <t>7  256173</t>
  </si>
  <si>
    <t>10  167694</t>
  </si>
  <si>
    <t>9  127296</t>
  </si>
  <si>
    <t>9  159275</t>
  </si>
  <si>
    <t>9   93040</t>
  </si>
  <si>
    <t>9   73288</t>
  </si>
  <si>
    <t>9   93533</t>
  </si>
  <si>
    <t>9   85747</t>
  </si>
  <si>
    <t>9  161903</t>
  </si>
  <si>
    <t>8  168678</t>
  </si>
  <si>
    <t>6  100596</t>
  </si>
  <si>
    <t>6  229159</t>
  </si>
  <si>
    <t>6  178721</t>
  </si>
  <si>
    <t>6   85281</t>
  </si>
  <si>
    <t>8   58453</t>
  </si>
  <si>
    <t>7   56768</t>
  </si>
  <si>
    <t>6   70755</t>
  </si>
  <si>
    <t>5   97263</t>
  </si>
  <si>
    <t>5   56627</t>
  </si>
  <si>
    <t>3   82126</t>
  </si>
  <si>
    <t>3  229071</t>
  </si>
  <si>
    <t>4  526805</t>
  </si>
  <si>
    <t>10  151025</t>
  </si>
  <si>
    <t>5   35352</t>
  </si>
  <si>
    <t>10   39993</t>
  </si>
  <si>
    <t>2   77570</t>
  </si>
  <si>
    <t>4  612140</t>
  </si>
  <si>
    <t>2  772390</t>
  </si>
  <si>
    <t>2  140422</t>
  </si>
  <si>
    <t>6  128714</t>
  </si>
  <si>
    <t>9   71017</t>
  </si>
  <si>
    <t>10  347450</t>
  </si>
  <si>
    <t>10   46016</t>
  </si>
  <si>
    <t>10  180641</t>
  </si>
  <si>
    <t>7   82677</t>
  </si>
  <si>
    <t>5  168853</t>
  </si>
  <si>
    <t>5   26361</t>
  </si>
  <si>
    <t>5   40339</t>
  </si>
  <si>
    <t>5   76297</t>
  </si>
  <si>
    <t>5   47629</t>
  </si>
  <si>
    <t>8  136281</t>
  </si>
  <si>
    <t>2  134616</t>
  </si>
  <si>
    <t>7   54933</t>
  </si>
  <si>
    <t>4  374139</t>
  </si>
  <si>
    <t>3   58026</t>
  </si>
  <si>
    <t>7   50498</t>
  </si>
  <si>
    <t>7   28362</t>
  </si>
  <si>
    <t>7   26277</t>
  </si>
  <si>
    <t>10   30735</t>
  </si>
  <si>
    <t>10   32365</t>
  </si>
  <si>
    <t>10   40072</t>
  </si>
  <si>
    <t>9   41446</t>
  </si>
  <si>
    <t>9  787786</t>
  </si>
  <si>
    <t>4   94239</t>
  </si>
  <si>
    <t>6  112467</t>
  </si>
  <si>
    <t>3   61532</t>
  </si>
  <si>
    <t>4   52967</t>
  </si>
  <si>
    <t>2   70572</t>
  </si>
  <si>
    <t>10   40349</t>
  </si>
  <si>
    <t>10   40607</t>
  </si>
  <si>
    <t>8   22793</t>
  </si>
  <si>
    <t>3  102743</t>
  </si>
  <si>
    <t>6   43786</t>
  </si>
  <si>
    <t>8  155732</t>
  </si>
  <si>
    <t>5   65783</t>
  </si>
  <si>
    <t>3   49629</t>
  </si>
  <si>
    <t>10   94214</t>
  </si>
  <si>
    <t>7   68051</t>
  </si>
  <si>
    <t>4   52232</t>
  </si>
  <si>
    <t>4   41520</t>
  </si>
  <si>
    <t>4   50156</t>
  </si>
  <si>
    <t>4   35148</t>
  </si>
  <si>
    <t>4   41709</t>
  </si>
  <si>
    <t>5   86958</t>
  </si>
  <si>
    <t>5   38121</t>
  </si>
  <si>
    <t>5   28629</t>
  </si>
  <si>
    <t>5   35903</t>
  </si>
  <si>
    <t>2  868134</t>
  </si>
  <si>
    <t>10   39263</t>
  </si>
  <si>
    <t>5   28432</t>
  </si>
  <si>
    <t>5  212260</t>
  </si>
  <si>
    <t>3  216468</t>
  </si>
  <si>
    <t>4   33945</t>
  </si>
  <si>
    <t>5  151367</t>
  </si>
  <si>
    <t>3   50332</t>
  </si>
  <si>
    <t>3   32556</t>
  </si>
  <si>
    <t>4   60663</t>
  </si>
  <si>
    <t>10  243424</t>
  </si>
  <si>
    <t>4   43618</t>
  </si>
  <si>
    <t>4   23860</t>
  </si>
  <si>
    <t>3  140793</t>
  </si>
  <si>
    <t>3   27265</t>
  </si>
  <si>
    <t>2  685885</t>
  </si>
  <si>
    <t>4  238159</t>
  </si>
  <si>
    <t>7   40334</t>
  </si>
  <si>
    <t>7   39725</t>
  </si>
  <si>
    <t>5  126572</t>
  </si>
  <si>
    <t>6   37427</t>
  </si>
  <si>
    <t>3   31870</t>
  </si>
  <si>
    <t>3   47568</t>
  </si>
  <si>
    <t>3   32840</t>
  </si>
  <si>
    <t>8   29887</t>
  </si>
  <si>
    <t>8   34878</t>
  </si>
  <si>
    <t>8   45797</t>
  </si>
  <si>
    <t>3  100821</t>
  </si>
  <si>
    <t>7  178194</t>
  </si>
  <si>
    <t>7  108956</t>
  </si>
  <si>
    <t>10   43367</t>
  </si>
  <si>
    <t>10   35592</t>
  </si>
  <si>
    <t>3   59274</t>
  </si>
  <si>
    <t>4  119536</t>
  </si>
  <si>
    <t>6   26370</t>
  </si>
  <si>
    <t>7  142046</t>
  </si>
  <si>
    <t>7   37591</t>
  </si>
  <si>
    <t>3  489797</t>
  </si>
  <si>
    <t>9   23229</t>
  </si>
  <si>
    <t>9   21695</t>
  </si>
  <si>
    <t>2 1874724</t>
  </si>
  <si>
    <t>2   65378</t>
  </si>
  <si>
    <t>2   46665</t>
  </si>
  <si>
    <t>3   72021</t>
  </si>
  <si>
    <t>4   34161</t>
  </si>
  <si>
    <t>4  683633</t>
  </si>
  <si>
    <t>2   66497</t>
  </si>
  <si>
    <t>10  187670</t>
  </si>
  <si>
    <t>2 1595933</t>
  </si>
  <si>
    <t>2   33131</t>
  </si>
  <si>
    <t>6  237829</t>
  </si>
  <si>
    <t>6   28389</t>
  </si>
  <si>
    <t>8   42111</t>
  </si>
  <si>
    <t>8   38788</t>
  </si>
  <si>
    <t>8   53656</t>
  </si>
  <si>
    <t>8   63696</t>
  </si>
  <si>
    <t>5  173375</t>
  </si>
  <si>
    <t>5   58719</t>
  </si>
  <si>
    <t>5   43233</t>
  </si>
  <si>
    <t>3   37727</t>
  </si>
  <si>
    <t>9   36652</t>
  </si>
  <si>
    <t>3   48670</t>
  </si>
  <si>
    <t>3   19183</t>
  </si>
  <si>
    <t>3   25483</t>
  </si>
  <si>
    <t>10   23634</t>
  </si>
  <si>
    <t>10   24446</t>
  </si>
  <si>
    <t>3   58281</t>
  </si>
  <si>
    <t>10  112581</t>
  </si>
  <si>
    <t>10   66213</t>
  </si>
  <si>
    <t>7  108037</t>
  </si>
  <si>
    <t>6  555618</t>
  </si>
  <si>
    <t>6  136876</t>
  </si>
  <si>
    <t>6 2109656</t>
  </si>
  <si>
    <t>6   99621</t>
  </si>
  <si>
    <t>9   87666</t>
  </si>
  <si>
    <t>3  125466</t>
  </si>
  <si>
    <t>10   53257</t>
  </si>
  <si>
    <t>4  242663</t>
  </si>
  <si>
    <t>4   23798</t>
  </si>
  <si>
    <t>2   63591</t>
  </si>
  <si>
    <t>5   28712</t>
  </si>
  <si>
    <t>2  285908</t>
  </si>
  <si>
    <t>9  251998</t>
  </si>
  <si>
    <t>10  136116</t>
  </si>
  <si>
    <t>10   78927</t>
  </si>
  <si>
    <t>10   96023</t>
  </si>
  <si>
    <t>10  126748</t>
  </si>
  <si>
    <t>5  136035</t>
  </si>
  <si>
    <t>5  137898</t>
  </si>
  <si>
    <t>5   50834</t>
  </si>
  <si>
    <t>4  524128</t>
  </si>
  <si>
    <t>5  134362</t>
  </si>
  <si>
    <t>3   71304</t>
  </si>
  <si>
    <t>3 1030613</t>
  </si>
  <si>
    <t>8 2054786</t>
  </si>
  <si>
    <t>8  239543</t>
  </si>
  <si>
    <t>4  174343</t>
  </si>
  <si>
    <t>3  259569</t>
  </si>
  <si>
    <t>9  215584</t>
  </si>
  <si>
    <t>10  301952</t>
  </si>
  <si>
    <t>7  198021</t>
  </si>
  <si>
    <t>4  272109</t>
  </si>
  <si>
    <t>4  116616</t>
  </si>
  <si>
    <t>4  144889</t>
  </si>
  <si>
    <t>4  113223</t>
  </si>
  <si>
    <t>4  103184</t>
  </si>
  <si>
    <t>6  313446</t>
  </si>
  <si>
    <t>6  149034</t>
  </si>
  <si>
    <t>6  136162</t>
  </si>
  <si>
    <t>9   85267</t>
  </si>
  <si>
    <t>9  110084</t>
  </si>
  <si>
    <t>2 3937512</t>
  </si>
  <si>
    <t>2   51717</t>
  </si>
  <si>
    <t>2  376238</t>
  </si>
  <si>
    <t>2   64368</t>
  </si>
  <si>
    <t>2   63453</t>
  </si>
  <si>
    <t>10   47183</t>
  </si>
  <si>
    <t>9   40309</t>
  </si>
  <si>
    <t>10   51076</t>
  </si>
  <si>
    <t>10   41264</t>
  </si>
  <si>
    <t>10   52449</t>
  </si>
  <si>
    <t>10   49013</t>
  </si>
  <si>
    <t>10   79385</t>
  </si>
  <si>
    <t>10   56646</t>
  </si>
  <si>
    <t>10   61651</t>
  </si>
  <si>
    <t>10   33109</t>
  </si>
  <si>
    <t>10   30480</t>
  </si>
  <si>
    <t>10   42382</t>
  </si>
  <si>
    <t>4  170416</t>
  </si>
  <si>
    <t>5   58534</t>
  </si>
  <si>
    <t>3  246106</t>
  </si>
  <si>
    <t>3   55885</t>
  </si>
  <si>
    <t>5  414744</t>
  </si>
  <si>
    <t>5   27061</t>
  </si>
  <si>
    <t>2  142723</t>
  </si>
  <si>
    <t>7  791210</t>
  </si>
  <si>
    <t>2 1172182</t>
  </si>
  <si>
    <t>2   44910</t>
  </si>
  <si>
    <t>2   42929</t>
  </si>
  <si>
    <t>6  205916</t>
  </si>
  <si>
    <t>6   39665</t>
  </si>
  <si>
    <t>6   60029</t>
  </si>
  <si>
    <t>8   48505</t>
  </si>
  <si>
    <t>9   63621</t>
  </si>
  <si>
    <t>9   42793</t>
  </si>
  <si>
    <t>8   84033</t>
  </si>
  <si>
    <t>6  208288</t>
  </si>
  <si>
    <t>8   45722</t>
  </si>
  <si>
    <t>8   46953</t>
  </si>
  <si>
    <t>10   71221</t>
  </si>
  <si>
    <t>10   30021</t>
  </si>
  <si>
    <t>9   50826</t>
  </si>
  <si>
    <t>9  127018</t>
  </si>
  <si>
    <t>9   28353</t>
  </si>
  <si>
    <t>7  108940</t>
  </si>
  <si>
    <t>10   50122</t>
  </si>
  <si>
    <t>10   40654</t>
  </si>
  <si>
    <t>3   48586</t>
  </si>
  <si>
    <t>9   67170</t>
  </si>
  <si>
    <t>8   69275</t>
  </si>
  <si>
    <t>4   43067</t>
  </si>
  <si>
    <t>3   96026</t>
  </si>
  <si>
    <t>10   51514</t>
  </si>
  <si>
    <t>6  421597</t>
  </si>
  <si>
    <t>8  171888</t>
  </si>
  <si>
    <t>7  113502</t>
  </si>
  <si>
    <t>2  280382</t>
  </si>
  <si>
    <t>4  120589</t>
  </si>
  <si>
    <t>7   63427</t>
  </si>
  <si>
    <t>7  795232</t>
  </si>
  <si>
    <t>3  265572</t>
  </si>
  <si>
    <t>2  396970</t>
  </si>
  <si>
    <t>5   66793</t>
  </si>
  <si>
    <t>5  413901</t>
  </si>
  <si>
    <t>5   37945</t>
  </si>
  <si>
    <t>5   37642</t>
  </si>
  <si>
    <t>5  207033</t>
  </si>
  <si>
    <t>5  157488</t>
  </si>
  <si>
    <t>5   43366</t>
  </si>
  <si>
    <t>10   40367</t>
  </si>
  <si>
    <t>10   29534</t>
  </si>
  <si>
    <t>10  106286</t>
  </si>
  <si>
    <t>10   56928</t>
  </si>
  <si>
    <t>4 1953133</t>
  </si>
  <si>
    <t>A  1741218</t>
  </si>
  <si>
    <t>6  380156</t>
  </si>
  <si>
    <t>4   34270</t>
  </si>
  <si>
    <t>5   28141</t>
  </si>
  <si>
    <t>5   78586</t>
  </si>
  <si>
    <t>5   54916</t>
  </si>
  <si>
    <t>4  138395</t>
  </si>
  <si>
    <t>7   35770</t>
  </si>
  <si>
    <t>3   95497</t>
  </si>
  <si>
    <t>3   31031</t>
  </si>
  <si>
    <t>5   60679</t>
  </si>
  <si>
    <t>3   73799</t>
  </si>
  <si>
    <t>7   34518</t>
  </si>
  <si>
    <t>2  556844</t>
  </si>
  <si>
    <t>2  326383</t>
  </si>
  <si>
    <t>2   90814</t>
  </si>
  <si>
    <t>3   46813</t>
  </si>
  <si>
    <t>4  213344</t>
  </si>
  <si>
    <t>2   57895</t>
  </si>
  <si>
    <t>10   61736</t>
  </si>
  <si>
    <t>4  527814</t>
  </si>
  <si>
    <t>6   60749</t>
  </si>
  <si>
    <t>8   46763</t>
  </si>
  <si>
    <t>4   20496</t>
  </si>
  <si>
    <t>4   40003</t>
  </si>
  <si>
    <t>6   36984</t>
  </si>
  <si>
    <t>5  171966</t>
  </si>
  <si>
    <t>9   28362</t>
  </si>
  <si>
    <t>6   58533</t>
  </si>
  <si>
    <t>6   40375</t>
  </si>
  <si>
    <t>3   39904</t>
  </si>
  <si>
    <t>8   36805</t>
  </si>
  <si>
    <t>2   75104</t>
  </si>
  <si>
    <t>7   61688</t>
  </si>
  <si>
    <t>7  102865</t>
  </si>
  <si>
    <t>3  375431</t>
  </si>
  <si>
    <t>7   58003</t>
  </si>
  <si>
    <t>9   54796</t>
  </si>
  <si>
    <t>9   36451</t>
  </si>
  <si>
    <t>5   41220</t>
  </si>
  <si>
    <t>6  106462</t>
  </si>
  <si>
    <t>5  192481</t>
  </si>
  <si>
    <t>3  113116</t>
  </si>
  <si>
    <t>8   74407</t>
  </si>
  <si>
    <t>8   68713</t>
  </si>
  <si>
    <t>8   63825</t>
  </si>
  <si>
    <t>8   65652</t>
  </si>
  <si>
    <t>3  307158</t>
  </si>
  <si>
    <t>3   28450</t>
  </si>
  <si>
    <t>6   52480</t>
  </si>
  <si>
    <t>7   31683</t>
  </si>
  <si>
    <t>4   55216</t>
  </si>
  <si>
    <t>6  349586</t>
  </si>
  <si>
    <t>8   72527</t>
  </si>
  <si>
    <t>6   41000</t>
  </si>
  <si>
    <t>10   47715</t>
  </si>
  <si>
    <t>3   56665</t>
  </si>
  <si>
    <t>4   93919</t>
  </si>
  <si>
    <t>3   39130</t>
  </si>
  <si>
    <t>5   29466</t>
  </si>
  <si>
    <t>9   74436</t>
  </si>
  <si>
    <t>9   44971</t>
  </si>
  <si>
    <t>7   92461</t>
  </si>
  <si>
    <t>10   85806</t>
  </si>
  <si>
    <t>4  340826</t>
  </si>
  <si>
    <t>5   46638</t>
  </si>
  <si>
    <t>3   49697</t>
  </si>
  <si>
    <t>5   86164</t>
  </si>
  <si>
    <t>3   96544</t>
  </si>
  <si>
    <t>3   30900</t>
  </si>
  <si>
    <t>3   19469</t>
  </si>
  <si>
    <t>4   27129</t>
  </si>
  <si>
    <t>4  181611</t>
  </si>
  <si>
    <t>2  737107</t>
  </si>
  <si>
    <t>2  460891</t>
  </si>
  <si>
    <t>2   22351</t>
  </si>
  <si>
    <t>2   42802</t>
  </si>
  <si>
    <t>9   62274</t>
  </si>
  <si>
    <t>3   46391</t>
  </si>
  <si>
    <t>10   62156</t>
  </si>
  <si>
    <t>3   57539</t>
  </si>
  <si>
    <t>3   33610</t>
  </si>
  <si>
    <t>4  258490</t>
  </si>
  <si>
    <t>2  125448</t>
  </si>
  <si>
    <t>9  102699</t>
  </si>
  <si>
    <t>2 1293827</t>
  </si>
  <si>
    <t>6  350964</t>
  </si>
  <si>
    <t>7   34627</t>
  </si>
  <si>
    <t>8   84703</t>
  </si>
  <si>
    <t>4   49543</t>
  </si>
  <si>
    <t>5   89965</t>
  </si>
  <si>
    <t>8   59791</t>
  </si>
  <si>
    <t>6  171872</t>
  </si>
  <si>
    <t>6   70742</t>
  </si>
  <si>
    <t>6   79437</t>
  </si>
  <si>
    <t>10   40183</t>
  </si>
  <si>
    <t>10   43465</t>
  </si>
  <si>
    <t>10   36791</t>
  </si>
  <si>
    <t>6  154439</t>
  </si>
  <si>
    <t>8   63928</t>
  </si>
  <si>
    <t>8   34690</t>
  </si>
  <si>
    <t>10   45245</t>
  </si>
  <si>
    <t>9   30825</t>
  </si>
  <si>
    <t>10   66003</t>
  </si>
  <si>
    <t>4  110337</t>
  </si>
  <si>
    <t>6  103936</t>
  </si>
  <si>
    <t>4   90733</t>
  </si>
  <si>
    <t>3  485824</t>
  </si>
  <si>
    <t>7  123953</t>
  </si>
  <si>
    <t>7  113489</t>
  </si>
  <si>
    <t>7   61143</t>
  </si>
  <si>
    <t>7   77979</t>
  </si>
  <si>
    <t>2   63731</t>
  </si>
  <si>
    <t>6  101224</t>
  </si>
  <si>
    <t>6   52670</t>
  </si>
  <si>
    <t>9   58163</t>
  </si>
  <si>
    <t>6  372374</t>
  </si>
  <si>
    <t>8   51420</t>
  </si>
  <si>
    <t>8   31890</t>
  </si>
  <si>
    <t>8   31137</t>
  </si>
  <si>
    <t>4   83464</t>
  </si>
  <si>
    <t>4  105125</t>
  </si>
  <si>
    <t>10   55064</t>
  </si>
  <si>
    <t>10   61961</t>
  </si>
  <si>
    <t>4  140533</t>
  </si>
  <si>
    <t>6   64296</t>
  </si>
  <si>
    <t>6  122177</t>
  </si>
  <si>
    <t>6   56416</t>
  </si>
  <si>
    <t>10   58905</t>
  </si>
  <si>
    <t>3  659513</t>
  </si>
  <si>
    <t>3   48992</t>
  </si>
  <si>
    <t>3   44857</t>
  </si>
  <si>
    <t>3   24143</t>
  </si>
  <si>
    <t>3   65391</t>
  </si>
  <si>
    <t>3   34064</t>
  </si>
  <si>
    <t>2 1172584</t>
  </si>
  <si>
    <t>2   36306</t>
  </si>
  <si>
    <t>2   38876</t>
  </si>
  <si>
    <t>2  245431</t>
  </si>
  <si>
    <t>10   34300</t>
  </si>
  <si>
    <t>10   70526</t>
  </si>
  <si>
    <t>10   59565</t>
  </si>
  <si>
    <t>3  111482</t>
  </si>
  <si>
    <t>4  298873</t>
  </si>
  <si>
    <t>3  114712</t>
  </si>
  <si>
    <t>6  270113</t>
  </si>
  <si>
    <t>2  565079</t>
  </si>
  <si>
    <t>2   61812</t>
  </si>
  <si>
    <t>7  373324</t>
  </si>
  <si>
    <t>10  244090</t>
  </si>
  <si>
    <t>10   37192</t>
  </si>
  <si>
    <t>7   57219</t>
  </si>
  <si>
    <t>2   91705</t>
  </si>
  <si>
    <t>2   40182</t>
  </si>
  <si>
    <t>9   99965</t>
  </si>
  <si>
    <t>8   68512</t>
  </si>
  <si>
    <t>4  168270</t>
  </si>
  <si>
    <t>9   50761</t>
  </si>
  <si>
    <t>9   77628</t>
  </si>
  <si>
    <t>9   35965</t>
  </si>
  <si>
    <t>5   37857</t>
  </si>
  <si>
    <t>5   35178</t>
  </si>
  <si>
    <t>5   87161</t>
  </si>
  <si>
    <t>5   40385</t>
  </si>
  <si>
    <t>10   48577</t>
  </si>
  <si>
    <t>10   66038</t>
  </si>
  <si>
    <t>10   41467</t>
  </si>
  <si>
    <t>10   26564</t>
  </si>
  <si>
    <t>5   31215</t>
  </si>
  <si>
    <t>6  169481</t>
  </si>
  <si>
    <t>8   73183</t>
  </si>
  <si>
    <t>8   46362</t>
  </si>
  <si>
    <t>10   45774</t>
  </si>
  <si>
    <t>2   58010</t>
  </si>
  <si>
    <t>8   52135</t>
  </si>
  <si>
    <t>8   61580</t>
  </si>
  <si>
    <t>8   27566</t>
  </si>
  <si>
    <t>8   54824</t>
  </si>
  <si>
    <t>3   60648</t>
  </si>
  <si>
    <t>10   46372</t>
  </si>
  <si>
    <t>4  139007</t>
  </si>
  <si>
    <t>7   43470</t>
  </si>
  <si>
    <t>8   36007</t>
  </si>
  <si>
    <t>10   68605</t>
  </si>
  <si>
    <t>2  205328</t>
  </si>
  <si>
    <t>9   49597</t>
  </si>
  <si>
    <t>6   41993</t>
  </si>
  <si>
    <t>7   56830</t>
  </si>
  <si>
    <t>2  457918</t>
  </si>
  <si>
    <t>5   41255</t>
  </si>
  <si>
    <t>7   67064</t>
  </si>
  <si>
    <t>7  131503</t>
  </si>
  <si>
    <t>10   50322</t>
  </si>
  <si>
    <t>10   79444</t>
  </si>
  <si>
    <t>4   87168</t>
  </si>
  <si>
    <t>5   79335</t>
  </si>
  <si>
    <t>10   46995</t>
  </si>
  <si>
    <t>5   75653</t>
  </si>
  <si>
    <t>2   56446</t>
  </si>
  <si>
    <t>2   49001</t>
  </si>
  <si>
    <t>2   20409</t>
  </si>
  <si>
    <t>7   30825</t>
  </si>
  <si>
    <t>7   27315</t>
  </si>
  <si>
    <t>7   54690</t>
  </si>
  <si>
    <t>4   65355</t>
  </si>
  <si>
    <t>4   33578</t>
  </si>
  <si>
    <t>A    24345</t>
  </si>
  <si>
    <t>8  477362</t>
  </si>
  <si>
    <t>3   39376</t>
  </si>
  <si>
    <t>4  117510</t>
  </si>
  <si>
    <t>3   40704</t>
  </si>
  <si>
    <t>8   39385</t>
  </si>
  <si>
    <t>5   39405</t>
  </si>
  <si>
    <t>5   35069</t>
  </si>
  <si>
    <t>10   45413</t>
  </si>
  <si>
    <t>9   41073</t>
  </si>
  <si>
    <t>9   72661</t>
  </si>
  <si>
    <t>5  339321</t>
  </si>
  <si>
    <t>5   38970</t>
  </si>
  <si>
    <t>8  146969</t>
  </si>
  <si>
    <t>6   64655</t>
  </si>
  <si>
    <t>6   36555</t>
  </si>
  <si>
    <t>3   28849</t>
  </si>
  <si>
    <t>9   58935</t>
  </si>
  <si>
    <t>7   35089</t>
  </si>
  <si>
    <t>5   36842</t>
  </si>
  <si>
    <t>5  108616</t>
  </si>
  <si>
    <t>5   83183</t>
  </si>
  <si>
    <t>2 1323688</t>
  </si>
  <si>
    <t>2  146140</t>
  </si>
  <si>
    <t>2   26517</t>
  </si>
  <si>
    <t>7   50180</t>
  </si>
  <si>
    <t>6   54596</t>
  </si>
  <si>
    <t>3   27041</t>
  </si>
  <si>
    <t>3   21164</t>
  </si>
  <si>
    <t>4  208322</t>
  </si>
  <si>
    <t>2   75857</t>
  </si>
  <si>
    <t>7   38811</t>
  </si>
  <si>
    <t>5  836270</t>
  </si>
  <si>
    <t>2   46553</t>
  </si>
  <si>
    <t>6  176249</t>
  </si>
  <si>
    <t>9   42934</t>
  </si>
  <si>
    <t>9   31504</t>
  </si>
  <si>
    <t>8   34503</t>
  </si>
  <si>
    <t>5  162434</t>
  </si>
  <si>
    <t>5   30340</t>
  </si>
  <si>
    <t>5   77077</t>
  </si>
  <si>
    <t>7   64338</t>
  </si>
  <si>
    <t>9  121922</t>
  </si>
  <si>
    <t>3   50490</t>
  </si>
  <si>
    <t>3  136758</t>
  </si>
  <si>
    <t>4   55192</t>
  </si>
  <si>
    <t>5   48680</t>
  </si>
  <si>
    <t>5  237084</t>
  </si>
  <si>
    <t>3   62228</t>
  </si>
  <si>
    <t>2  165455</t>
  </si>
  <si>
    <t>10  126189</t>
  </si>
  <si>
    <t>10   49149</t>
  </si>
  <si>
    <t>10   75930</t>
  </si>
  <si>
    <t>10   20422</t>
  </si>
  <si>
    <t>10   48028</t>
  </si>
  <si>
    <t>10   19572</t>
  </si>
  <si>
    <t>10   49391</t>
  </si>
  <si>
    <t>10   29216</t>
  </si>
  <si>
    <t>4  652709</t>
  </si>
  <si>
    <t>A   551066</t>
  </si>
  <si>
    <t>8  360039</t>
  </si>
  <si>
    <t>8   40924</t>
  </si>
  <si>
    <t>4  112619</t>
  </si>
  <si>
    <t>8   25260</t>
  </si>
  <si>
    <t>5   63205</t>
  </si>
  <si>
    <t>5   55174</t>
  </si>
  <si>
    <t>4  491053</t>
  </si>
  <si>
    <t>2 2286600</t>
  </si>
  <si>
    <t>2   57942</t>
  </si>
  <si>
    <t>8   53466</t>
  </si>
  <si>
    <t>5   44475</t>
  </si>
  <si>
    <t>5   54053</t>
  </si>
  <si>
    <t>4  929678</t>
  </si>
  <si>
    <t>4   67784</t>
  </si>
  <si>
    <t>2  634512</t>
  </si>
  <si>
    <t>2   43473</t>
  </si>
  <si>
    <t>6  146930</t>
  </si>
  <si>
    <t>6   69770</t>
  </si>
  <si>
    <t>3   26005</t>
  </si>
  <si>
    <t>7  126916</t>
  </si>
  <si>
    <t>5  189859</t>
  </si>
  <si>
    <t>10   32204</t>
  </si>
  <si>
    <t>10   56216</t>
  </si>
  <si>
    <t>2  442692</t>
  </si>
  <si>
    <t>6   92734</t>
  </si>
  <si>
    <t>5   89699</t>
  </si>
  <si>
    <t>2  103017</t>
  </si>
  <si>
    <t>9   52457</t>
  </si>
  <si>
    <t>9   50401</t>
  </si>
  <si>
    <t>9   39593</t>
  </si>
  <si>
    <t>6   62634</t>
  </si>
  <si>
    <t>5  151431</t>
  </si>
  <si>
    <t>3   84272</t>
  </si>
  <si>
    <t>2   71449</t>
  </si>
  <si>
    <t>2  196810</t>
  </si>
  <si>
    <t>8   41649</t>
  </si>
  <si>
    <t>8   89745</t>
  </si>
  <si>
    <t>4  481278</t>
  </si>
  <si>
    <t>A   117418</t>
  </si>
  <si>
    <t>6   31704</t>
  </si>
  <si>
    <t>6  396923</t>
  </si>
  <si>
    <t>6   54510</t>
  </si>
  <si>
    <t>6   37330</t>
  </si>
  <si>
    <t>6   34113</t>
  </si>
  <si>
    <t>4   46315</t>
  </si>
  <si>
    <t>4   64373</t>
  </si>
  <si>
    <t>4   36679</t>
  </si>
  <si>
    <t>5   50611</t>
  </si>
  <si>
    <t>5   30206</t>
  </si>
  <si>
    <t>4  206995</t>
  </si>
  <si>
    <t>6   22422</t>
  </si>
  <si>
    <t>8   30621</t>
  </si>
  <si>
    <t>8   91111</t>
  </si>
  <si>
    <t>2  644034</t>
  </si>
  <si>
    <t>2   28165</t>
  </si>
  <si>
    <t>2   81168</t>
  </si>
  <si>
    <t>8   42723</t>
  </si>
  <si>
    <t>8   46424</t>
  </si>
  <si>
    <t>3   60433</t>
  </si>
  <si>
    <t>5  264907</t>
  </si>
  <si>
    <t>3   52314</t>
  </si>
  <si>
    <t>2 1031023</t>
  </si>
  <si>
    <t>6  132463</t>
  </si>
  <si>
    <t>7   27911</t>
  </si>
  <si>
    <t>8   46139</t>
  </si>
  <si>
    <t>3   28591</t>
  </si>
  <si>
    <t>9   41504</t>
  </si>
  <si>
    <t>7   46754</t>
  </si>
  <si>
    <t>5  188709</t>
  </si>
  <si>
    <t>10   43911</t>
  </si>
  <si>
    <t>10   34157</t>
  </si>
  <si>
    <t>10   32257</t>
  </si>
  <si>
    <t>6   60732</t>
  </si>
  <si>
    <t>10   30059</t>
  </si>
  <si>
    <t>2  267756</t>
  </si>
  <si>
    <t>9   51983</t>
  </si>
  <si>
    <t>9   76023</t>
  </si>
  <si>
    <t>7  326222</t>
  </si>
  <si>
    <t>3  104309</t>
  </si>
  <si>
    <t>3   50997</t>
  </si>
  <si>
    <t>3   34517</t>
  </si>
  <si>
    <t>3   52202</t>
  </si>
  <si>
    <t>3   31348</t>
  </si>
  <si>
    <t>7  252842</t>
  </si>
  <si>
    <t>7  120130</t>
  </si>
  <si>
    <t>5   58774</t>
  </si>
  <si>
    <t>5   68808</t>
  </si>
  <si>
    <t>5   60375</t>
  </si>
  <si>
    <t>4   81892</t>
  </si>
  <si>
    <t>4   43536</t>
  </si>
  <si>
    <t>9  697354</t>
  </si>
  <si>
    <t>6   50349</t>
  </si>
  <si>
    <t>6 4785348</t>
  </si>
  <si>
    <t>6  230150</t>
  </si>
  <si>
    <t>4  126257</t>
  </si>
  <si>
    <t>6  118921</t>
  </si>
  <si>
    <t>6  120599</t>
  </si>
  <si>
    <t>6   84999</t>
  </si>
  <si>
    <t>6   48318</t>
  </si>
  <si>
    <t>4  194274</t>
  </si>
  <si>
    <t>7   52842</t>
  </si>
  <si>
    <t>6  113611</t>
  </si>
  <si>
    <t>6   79123</t>
  </si>
  <si>
    <t>6   62817</t>
  </si>
  <si>
    <t>6   43337</t>
  </si>
  <si>
    <t>6   24066</t>
  </si>
  <si>
    <t>6  269738</t>
  </si>
  <si>
    <t>9  210956</t>
  </si>
  <si>
    <t>9   62302</t>
  </si>
  <si>
    <t>9   32397</t>
  </si>
  <si>
    <t>4  736714</t>
  </si>
  <si>
    <t>5   47906</t>
  </si>
  <si>
    <t>3   76829</t>
  </si>
  <si>
    <t>5   43578</t>
  </si>
  <si>
    <t>5   30366</t>
  </si>
  <si>
    <t>3   74898</t>
  </si>
  <si>
    <t>10   72778</t>
  </si>
  <si>
    <t>10   42442</t>
  </si>
  <si>
    <t>8   32947</t>
  </si>
  <si>
    <t>5   30803</t>
  </si>
  <si>
    <t>5   30305</t>
  </si>
  <si>
    <t>5   30537</t>
  </si>
  <si>
    <t>5   35291</t>
  </si>
  <si>
    <t>5   40206</t>
  </si>
  <si>
    <t>5   51297</t>
  </si>
  <si>
    <t>2 1283933</t>
  </si>
  <si>
    <t>2   27684</t>
  </si>
  <si>
    <t>2   94154</t>
  </si>
  <si>
    <t>2   49193</t>
  </si>
  <si>
    <t>2   40373</t>
  </si>
  <si>
    <t>2  141174</t>
  </si>
  <si>
    <t>2   25766</t>
  </si>
  <si>
    <t>2   41391</t>
  </si>
  <si>
    <t>10   52487</t>
  </si>
  <si>
    <t>4 1043514</t>
  </si>
  <si>
    <t>8   62536</t>
  </si>
  <si>
    <t>8   36877</t>
  </si>
  <si>
    <t>8   45105</t>
  </si>
  <si>
    <t>5  453706</t>
  </si>
  <si>
    <t>2  185322</t>
  </si>
  <si>
    <t>9  929155</t>
  </si>
  <si>
    <t>3  686699</t>
  </si>
  <si>
    <t>2   53513</t>
  </si>
  <si>
    <t>6  488612</t>
  </si>
  <si>
    <t>7   24410</t>
  </si>
  <si>
    <t>9  125661</t>
  </si>
  <si>
    <t>10   36573</t>
  </si>
  <si>
    <t>3   54995</t>
  </si>
  <si>
    <t>10  110913</t>
  </si>
  <si>
    <t>10   27197</t>
  </si>
  <si>
    <t>10   48056</t>
  </si>
  <si>
    <t>7   74649</t>
  </si>
  <si>
    <t>5  172515</t>
  </si>
  <si>
    <t>8   38455</t>
  </si>
  <si>
    <t>8   28873</t>
  </si>
  <si>
    <t>8  102798</t>
  </si>
  <si>
    <t>9  107619</t>
  </si>
  <si>
    <t>9   58477</t>
  </si>
  <si>
    <t>10   69307</t>
  </si>
  <si>
    <t>10  376149</t>
  </si>
  <si>
    <t>10  111410</t>
  </si>
  <si>
    <t>6  190648</t>
  </si>
  <si>
    <t>10  112566</t>
  </si>
  <si>
    <t>10   69217</t>
  </si>
  <si>
    <t>10   27487</t>
  </si>
  <si>
    <t>10   77376</t>
  </si>
  <si>
    <t>10   62462</t>
  </si>
  <si>
    <t>10   43259</t>
  </si>
  <si>
    <t>10   28258</t>
  </si>
  <si>
    <t>7   28656</t>
  </si>
  <si>
    <t>10   66346</t>
  </si>
  <si>
    <t>3  205335</t>
  </si>
  <si>
    <t>9   41236</t>
  </si>
  <si>
    <t>7   37287</t>
  </si>
  <si>
    <t>3  239221</t>
  </si>
  <si>
    <t>9   83811</t>
  </si>
  <si>
    <t>9   67041</t>
  </si>
  <si>
    <t>2   59998</t>
  </si>
  <si>
    <t>7  106734</t>
  </si>
  <si>
    <t>7   42648</t>
  </si>
  <si>
    <t>7   68300</t>
  </si>
  <si>
    <t>2   79748</t>
  </si>
  <si>
    <t>7   82331</t>
  </si>
  <si>
    <t>2   43491</t>
  </si>
  <si>
    <t>2   36358</t>
  </si>
  <si>
    <t>2   31715</t>
  </si>
  <si>
    <t>2   34325</t>
  </si>
  <si>
    <t>3   97490</t>
  </si>
  <si>
    <t>8  114172</t>
  </si>
  <si>
    <t>9   86099</t>
  </si>
  <si>
    <t>4  122955</t>
  </si>
  <si>
    <t>9  234895</t>
  </si>
  <si>
    <t>8  134581</t>
  </si>
  <si>
    <t>7   75340</t>
  </si>
  <si>
    <t>7   66875</t>
  </si>
  <si>
    <t>7   36148</t>
  </si>
  <si>
    <t>7   63871</t>
  </si>
  <si>
    <t>3  131404</t>
  </si>
  <si>
    <t>8   40038</t>
  </si>
  <si>
    <t>4  199767</t>
  </si>
  <si>
    <t>2   71443</t>
  </si>
  <si>
    <t>9   67521</t>
  </si>
  <si>
    <t>7   74301</t>
  </si>
  <si>
    <t>9   51052</t>
  </si>
  <si>
    <t>5   75636</t>
  </si>
  <si>
    <t>5   51733</t>
  </si>
  <si>
    <t>5   25256</t>
  </si>
  <si>
    <t>4  707363</t>
  </si>
  <si>
    <t>6   31965</t>
  </si>
  <si>
    <t>5   28802</t>
  </si>
  <si>
    <t>3   28362</t>
  </si>
  <si>
    <t>7   32890</t>
  </si>
  <si>
    <t>7   45261</t>
  </si>
  <si>
    <t>7   47977</t>
  </si>
  <si>
    <t>10   26392</t>
  </si>
  <si>
    <t>2 1628625</t>
  </si>
  <si>
    <t>9  127479</t>
  </si>
  <si>
    <t>8   80064</t>
  </si>
  <si>
    <t>8   27336</t>
  </si>
  <si>
    <t>4   22721</t>
  </si>
  <si>
    <t>3   33419</t>
  </si>
  <si>
    <t>4  417193</t>
  </si>
  <si>
    <t>3   86628</t>
  </si>
  <si>
    <t>4  784531</t>
  </si>
  <si>
    <t>2  103598</t>
  </si>
  <si>
    <t>6  761141</t>
  </si>
  <si>
    <t>6   63965</t>
  </si>
  <si>
    <t>7   31244</t>
  </si>
  <si>
    <t>7   74924</t>
  </si>
  <si>
    <t>7   36659</t>
  </si>
  <si>
    <t>4   55780</t>
  </si>
  <si>
    <t>9   61995</t>
  </si>
  <si>
    <t>7   80470</t>
  </si>
  <si>
    <t>6  195757</t>
  </si>
  <si>
    <t>6  172519</t>
  </si>
  <si>
    <t>6   42324</t>
  </si>
  <si>
    <t>6   49102</t>
  </si>
  <si>
    <t>8   77444</t>
  </si>
  <si>
    <t>8   29328</t>
  </si>
  <si>
    <t>2   78036</t>
  </si>
  <si>
    <t>8   82388</t>
  </si>
  <si>
    <t>8   53094</t>
  </si>
  <si>
    <t>2  296300</t>
  </si>
  <si>
    <t>7   63722</t>
  </si>
  <si>
    <t>9   86069</t>
  </si>
  <si>
    <t>9   60816</t>
  </si>
  <si>
    <t>4   83141</t>
  </si>
  <si>
    <t>6   50284</t>
  </si>
  <si>
    <t>6   46137</t>
  </si>
  <si>
    <t>6   44519</t>
  </si>
  <si>
    <t>4   54965</t>
  </si>
  <si>
    <t>3  200261</t>
  </si>
  <si>
    <t>2   66729</t>
  </si>
  <si>
    <t>2   16131</t>
  </si>
  <si>
    <t>2  107612</t>
  </si>
  <si>
    <t>2   57411</t>
  </si>
  <si>
    <t>4 1900477</t>
  </si>
  <si>
    <t>Concat</t>
  </si>
  <si>
    <t>Peak#</t>
  </si>
  <si>
    <t>RT</t>
  </si>
  <si>
    <t>Area</t>
  </si>
  <si>
    <t>E- 204C</t>
  </si>
  <si>
    <t>E- 212C</t>
  </si>
  <si>
    <t>E- 218A</t>
  </si>
  <si>
    <t>E- 223E</t>
  </si>
  <si>
    <t>E- 223G</t>
  </si>
  <si>
    <t>E- 223H</t>
  </si>
  <si>
    <t>E- 223I</t>
  </si>
  <si>
    <t>E- 226G</t>
  </si>
  <si>
    <t>E- 227H</t>
  </si>
  <si>
    <t>E- 462B</t>
  </si>
  <si>
    <t>E+ 254C</t>
  </si>
  <si>
    <t>E+ 254G</t>
  </si>
  <si>
    <t>E+ 254I</t>
  </si>
  <si>
    <t>E+ 256J</t>
  </si>
  <si>
    <t>E+ 256K</t>
  </si>
  <si>
    <t>E+ 270C</t>
  </si>
  <si>
    <t>E+ 297F</t>
  </si>
  <si>
    <t>E+ 297G</t>
  </si>
  <si>
    <t>E+ 309A</t>
  </si>
  <si>
    <t>E+ 309B</t>
  </si>
  <si>
    <t>RT2</t>
  </si>
  <si>
    <t>Row Labels</t>
  </si>
  <si>
    <t>Grand Total</t>
  </si>
  <si>
    <t>Column Labels</t>
  </si>
  <si>
    <t>Sum of Area</t>
  </si>
  <si>
    <t>IS - 18.84</t>
  </si>
  <si>
    <t>E-</t>
  </si>
  <si>
    <t>204C</t>
  </si>
  <si>
    <t>212C</t>
  </si>
  <si>
    <t>218A</t>
  </si>
  <si>
    <t>223E</t>
  </si>
  <si>
    <t>223G</t>
  </si>
  <si>
    <t>223H</t>
  </si>
  <si>
    <t>223I</t>
  </si>
  <si>
    <t>226G</t>
  </si>
  <si>
    <t>227H</t>
  </si>
  <si>
    <t>462B</t>
  </si>
  <si>
    <t>E+</t>
  </si>
  <si>
    <t>254C</t>
  </si>
  <si>
    <t>254G</t>
  </si>
  <si>
    <t>254I</t>
  </si>
  <si>
    <t>256J</t>
  </si>
  <si>
    <t>256K</t>
  </si>
  <si>
    <t>270C</t>
  </si>
  <si>
    <t>297F</t>
  </si>
  <si>
    <t>297G</t>
  </si>
  <si>
    <t>309A</t>
  </si>
  <si>
    <t>309B</t>
  </si>
  <si>
    <t>Endophyte</t>
  </si>
  <si>
    <t>Plant ID</t>
  </si>
  <si>
    <t>Biomass</t>
  </si>
  <si>
    <t>z3hexace - 9.82</t>
  </si>
  <si>
    <t>Nonanal - 12.84</t>
  </si>
  <si>
    <t>trans-2-Decenal - 17.47</t>
  </si>
  <si>
    <t>? - 4.91</t>
  </si>
  <si>
    <t>Heptanal - 6.5</t>
  </si>
  <si>
    <t>6-methyl - 9.19</t>
  </si>
  <si>
    <t>Average of 6-methyl - 9.19</t>
  </si>
  <si>
    <t>Count of 6-methyl - 9.19</t>
  </si>
  <si>
    <t>StdDev of 6-methyl - 9.19</t>
  </si>
  <si>
    <t>SE</t>
  </si>
  <si>
    <t>b-pinene - 9.26</t>
  </si>
  <si>
    <t>Ocatanal - 9.66</t>
  </si>
  <si>
    <t>Limonene - 10.4</t>
  </si>
  <si>
    <t>Linalool</t>
  </si>
  <si>
    <t>Average of Linalool</t>
  </si>
  <si>
    <t>Count of Linalool</t>
  </si>
  <si>
    <t>StdDev of Linalool</t>
  </si>
  <si>
    <t>1,1-Dimethyl-3-methylene-2-vinylcyclohexane 13.22</t>
  </si>
  <si>
    <t>Average of 1,1-Dimethyl-3-methylene-2-vinylcyclohexane 13.22</t>
  </si>
  <si>
    <t>Count of 1,1-Dimethyl-3-methylene-2-vinylcyclohexane 13.22</t>
  </si>
  <si>
    <t>StdDev of 1,1-Dimethyl-3-methylene-2-vinylcyclohexane 13.22</t>
  </si>
  <si>
    <t>Decanal</t>
  </si>
  <si>
    <t>Octyl iodide - 16.67</t>
  </si>
  <si>
    <t>cis-3-Hexenyl isovalerate</t>
  </si>
  <si>
    <t>Average of cis-3-Hexenyl isovalerate</t>
  </si>
  <si>
    <t>Count of cis-3-Hexenyl isovalerate</t>
  </si>
  <si>
    <t>StdDev of cis-3-Hexenyl isovalerate2</t>
  </si>
  <si>
    <t>.Z-6-Tridecene - 18.3</t>
  </si>
  <si>
    <t>? - 20.23</t>
  </si>
  <si>
    <t>Tridecene - 20.97</t>
  </si>
  <si>
    <t>Hexadecene - 23.48</t>
  </si>
  <si>
    <t>Average of Farnesan - 23.66</t>
  </si>
  <si>
    <t>Count of Farnesan - 23.66</t>
  </si>
  <si>
    <t>StdDev of Farnesan - 23.66</t>
  </si>
  <si>
    <t>tridecanal - 23.92</t>
  </si>
  <si>
    <t>Hexadecanol - 27.43</t>
  </si>
  <si>
    <t>2-Ethylhexyl salicylate</t>
  </si>
  <si>
    <t>Hexahydrofarnesyl acetone - 28.73</t>
  </si>
  <si>
    <t>Homosalate - 28.89</t>
  </si>
  <si>
    <t>Homosalate2 -29.05</t>
  </si>
  <si>
    <t>isopropyl palmitate - 29.74</t>
  </si>
  <si>
    <t>Average of isopropyl palmitate - 29.74</t>
  </si>
  <si>
    <t>StdDev of isopropyl palmitate - 29.74</t>
  </si>
  <si>
    <t>Undecanal</t>
  </si>
  <si>
    <t>Farnesene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</si>
</sst>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theme="4" tint="0.79998168889431442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applyNumberFormat="1"/>
    <xf numFmtId="0" fontId="16" fillId="34" borderId="10" xfId="0" applyFont="1" applyFill="1" applyBorder="1"/>
    <xf numFmtId="0" fontId="0" fillId="35" borderId="0" xfId="0" applyNumberFormat="1" applyFill="1"/>
    <xf numFmtId="0" fontId="0" fillId="35" borderId="0" xfId="0" applyFill="1"/>
    <xf numFmtId="0" fontId="0" fillId="0" borderId="11" xfId="0" applyBorder="1" applyAlignment="1">
      <alignment horizontal="left"/>
    </xf>
    <xf numFmtId="0" fontId="0" fillId="0" borderId="11" xfId="0" applyBorder="1"/>
    <xf numFmtId="0" fontId="0" fillId="35" borderId="11" xfId="0" applyFill="1" applyBorder="1"/>
    <xf numFmtId="0" fontId="16" fillId="33" borderId="0" xfId="0" applyFont="1" applyFill="1" applyBorder="1"/>
    <xf numFmtId="0" fontId="16" fillId="36" borderId="10" xfId="0" applyFont="1" applyFill="1" applyBorder="1"/>
    <xf numFmtId="0" fontId="0" fillId="37" borderId="0" xfId="0" applyFill="1"/>
    <xf numFmtId="0" fontId="0" fillId="37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Locoweed Field Volatiles 2018.xlsx]Sheet4!PivotTable2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Average of isopropyl palmitate - 29.74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E-</c:v>
                </c:pt>
                <c:pt idx="1">
                  <c:v>E+</c:v>
                </c:pt>
              </c:strCache>
            </c:strRef>
          </c:cat>
          <c:val>
            <c:numRef>
              <c:f>Sheet4!$B$4:$B$6</c:f>
              <c:numCache>
                <c:formatCode>General</c:formatCode>
                <c:ptCount val="2"/>
                <c:pt idx="0">
                  <c:v>3.4807784392867731</c:v>
                </c:pt>
                <c:pt idx="1">
                  <c:v>2.6729310463612812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D25-47DC-9AD8-1394FD298699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StdDev of isopropyl palmitate - 29.74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Sheet4!$A$4:$A$6</c:f>
              <c:strCache>
                <c:ptCount val="2"/>
                <c:pt idx="0">
                  <c:v>E-</c:v>
                </c:pt>
                <c:pt idx="1">
                  <c:v>E+</c:v>
                </c:pt>
              </c:strCache>
            </c:strRef>
          </c:cat>
          <c:val>
            <c:numRef>
              <c:f>Sheet4!$C$4:$C$6</c:f>
              <c:numCache>
                <c:formatCode>General</c:formatCode>
                <c:ptCount val="2"/>
                <c:pt idx="0">
                  <c:v>2.6085637212407486</c:v>
                </c:pt>
                <c:pt idx="1">
                  <c:v>1.7877034358432513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8D25-47DC-9AD8-1394FD298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657264"/>
        <c:axId val="294656432"/>
      </c:barChart>
      <c:catAx>
        <c:axId val="29465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656432"/>
        <c:crosses val="autoZero"/>
        <c:auto val="1"/>
        <c:lblAlgn val="ctr"/>
        <c:lblOffset val="100"/>
        <c:noMultiLvlLbl val="0"/>
      </c:catAx>
      <c:valAx>
        <c:axId val="2946564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657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6-methyl-5-hepten-2-one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Sheet5!$E$2:$E$3</c:f>
                <c:numCache>
                  <c:formatCode>General</c:formatCode>
                  <c:ptCount val="2"/>
                  <c:pt idx="0">
                    <c:v>0.57453851658395516</c:v>
                  </c:pt>
                  <c:pt idx="1">
                    <c:v>0.21660042272684737</c:v>
                  </c:pt>
                </c:numCache>
              </c:numRef>
            </c:plus>
            <c:minus>
              <c:numRef>
                <c:f>Sheet5!$E$2:$E$3</c:f>
                <c:numCache>
                  <c:formatCode>General</c:formatCode>
                  <c:ptCount val="2"/>
                  <c:pt idx="0">
                    <c:v>0.57453851658395516</c:v>
                  </c:pt>
                  <c:pt idx="1">
                    <c:v>0.21660042272684737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Sheet5!$B$2:$B$3</c:f>
              <c:numCache>
                <c:formatCode>General</c:formatCode>
                <c:ptCount val="2"/>
                <c:pt idx="0">
                  <c:v>1.2846135314902107</c:v>
                </c:pt>
                <c:pt idx="1">
                  <c:v>0.93471881174039684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4-4DB6-8B88-2AC6C5D0B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795376"/>
        <c:axId val="191794960"/>
      </c:barChart>
      <c:catAx>
        <c:axId val="191795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94960"/>
        <c:crosses val="autoZero"/>
        <c:auto val="1"/>
        <c:lblAlgn val="ctr"/>
        <c:lblOffset val="100"/>
        <c:noMultiLvlLbl val="0"/>
      </c:catAx>
      <c:valAx>
        <c:axId val="191794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9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linalool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Sheet5!$E$8:$E$9</c:f>
                <c:numCache>
                  <c:formatCode>General</c:formatCode>
                  <c:ptCount val="2"/>
                  <c:pt idx="0">
                    <c:v>0.52735421634136781</c:v>
                  </c:pt>
                  <c:pt idx="1">
                    <c:v>0.12962246068358443</c:v>
                  </c:pt>
                </c:numCache>
              </c:numRef>
            </c:plus>
            <c:minus>
              <c:numRef>
                <c:f>Sheet5!$E$8:$E$9</c:f>
                <c:numCache>
                  <c:formatCode>General</c:formatCode>
                  <c:ptCount val="2"/>
                  <c:pt idx="0">
                    <c:v>0.52735421634136781</c:v>
                  </c:pt>
                  <c:pt idx="1">
                    <c:v>0.12962246068358443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Sheet5!$A$8:$A$9</c:f>
              <c:strCache>
                <c:ptCount val="2"/>
                <c:pt idx="0">
                  <c:v>E-</c:v>
                </c:pt>
                <c:pt idx="1">
                  <c:v>E+</c:v>
                </c:pt>
              </c:strCache>
            </c:strRef>
          </c:cat>
          <c:val>
            <c:numRef>
              <c:f>Sheet5!$B$8:$B$9</c:f>
              <c:numCache>
                <c:formatCode>General</c:formatCode>
                <c:ptCount val="2"/>
                <c:pt idx="0">
                  <c:v>1.2929445550640808</c:v>
                </c:pt>
                <c:pt idx="1">
                  <c:v>0.59285760771470941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E0-46E5-8A65-E8238D5E2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5047504"/>
        <c:axId val="885048752"/>
      </c:barChart>
      <c:catAx>
        <c:axId val="88504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048752"/>
        <c:crosses val="autoZero"/>
        <c:auto val="1"/>
        <c:lblAlgn val="ctr"/>
        <c:lblOffset val="100"/>
        <c:noMultiLvlLbl val="0"/>
      </c:catAx>
      <c:valAx>
        <c:axId val="88504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04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1,1-Dimethyl-3-methylene-2-vinylcyclohexane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Sheet5!$E$13:$E$14</c:f>
                <c:numCache>
                  <c:formatCode>General</c:formatCode>
                  <c:ptCount val="2"/>
                  <c:pt idx="0">
                    <c:v>0.69947228950114881</c:v>
                  </c:pt>
                  <c:pt idx="1">
                    <c:v>0.34927011010140008</c:v>
                  </c:pt>
                </c:numCache>
              </c:numRef>
            </c:plus>
            <c:minus>
              <c:numRef>
                <c:f>Sheet5!$E$13:$E$14</c:f>
                <c:numCache>
                  <c:formatCode>General</c:formatCode>
                  <c:ptCount val="2"/>
                  <c:pt idx="0">
                    <c:v>0.69947228950114881</c:v>
                  </c:pt>
                  <c:pt idx="1">
                    <c:v>0.34927011010140008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Sheet5!$A$13:$A$14</c:f>
              <c:strCache>
                <c:ptCount val="2"/>
                <c:pt idx="0">
                  <c:v>E-</c:v>
                </c:pt>
                <c:pt idx="1">
                  <c:v>E+</c:v>
                </c:pt>
              </c:strCache>
            </c:strRef>
          </c:cat>
          <c:val>
            <c:numRef>
              <c:f>Sheet5!$B$13:$B$14</c:f>
              <c:numCache>
                <c:formatCode>General</c:formatCode>
                <c:ptCount val="2"/>
                <c:pt idx="0">
                  <c:v>1.6191289796135824</c:v>
                </c:pt>
                <c:pt idx="1">
                  <c:v>0.92307072404626034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3-4D4C-B5A7-A76D91D38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7717296"/>
        <c:axId val="287716464"/>
      </c:barChart>
      <c:catAx>
        <c:axId val="28771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16464"/>
        <c:crosses val="autoZero"/>
        <c:auto val="1"/>
        <c:lblAlgn val="ctr"/>
        <c:lblOffset val="100"/>
        <c:noMultiLvlLbl val="0"/>
      </c:catAx>
      <c:valAx>
        <c:axId val="28771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1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isovalerate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Sheet5!$E$24:$E$25</c:f>
                <c:numCache>
                  <c:formatCode>General</c:formatCode>
                  <c:ptCount val="2"/>
                  <c:pt idx="0">
                    <c:v>0.317845081753241</c:v>
                  </c:pt>
                  <c:pt idx="1">
                    <c:v>0.55757446043642267</c:v>
                  </c:pt>
                </c:numCache>
              </c:numRef>
            </c:plus>
            <c:minus>
              <c:numRef>
                <c:f>Sheet5!$E$24:$E$25</c:f>
                <c:numCache>
                  <c:formatCode>General</c:formatCode>
                  <c:ptCount val="2"/>
                  <c:pt idx="0">
                    <c:v>0.317845081753241</c:v>
                  </c:pt>
                  <c:pt idx="1">
                    <c:v>0.55757446043642267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Sheet5!$A$24:$A$25</c:f>
              <c:strCache>
                <c:ptCount val="2"/>
                <c:pt idx="0">
                  <c:v>E-</c:v>
                </c:pt>
                <c:pt idx="1">
                  <c:v>E+</c:v>
                </c:pt>
              </c:strCache>
            </c:strRef>
          </c:cat>
          <c:val>
            <c:numRef>
              <c:f>Sheet5!$B$24:$B$25</c:f>
              <c:numCache>
                <c:formatCode>General</c:formatCode>
                <c:ptCount val="2"/>
                <c:pt idx="0">
                  <c:v>0.7647465251595762</c:v>
                </c:pt>
                <c:pt idx="1">
                  <c:v>1.4278160966860589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08-4846-B372-DCCE680E4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965648"/>
        <c:axId val="284678672"/>
      </c:barChart>
      <c:catAx>
        <c:axId val="878965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678672"/>
        <c:crosses val="autoZero"/>
        <c:auto val="1"/>
        <c:lblAlgn val="ctr"/>
        <c:lblOffset val="100"/>
        <c:noMultiLvlLbl val="0"/>
      </c:catAx>
      <c:valAx>
        <c:axId val="28467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896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farnesene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Sheet5!$E$31:$E$32</c:f>
                <c:numCache>
                  <c:formatCode>General</c:formatCode>
                  <c:ptCount val="2"/>
                  <c:pt idx="0">
                    <c:v>0.16014535196900626</c:v>
                  </c:pt>
                  <c:pt idx="1">
                    <c:v>8.2590924410810201E-2</c:v>
                  </c:pt>
                </c:numCache>
              </c:numRef>
            </c:plus>
            <c:minus>
              <c:numRef>
                <c:f>Sheet5!$E$31:$E$32</c:f>
                <c:numCache>
                  <c:formatCode>General</c:formatCode>
                  <c:ptCount val="2"/>
                  <c:pt idx="0">
                    <c:v>0.16014535196900626</c:v>
                  </c:pt>
                  <c:pt idx="1">
                    <c:v>8.2590924410810201E-2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Sheet5!$A$31:$A$32</c:f>
              <c:strCache>
                <c:ptCount val="2"/>
                <c:pt idx="0">
                  <c:v>E-</c:v>
                </c:pt>
                <c:pt idx="1">
                  <c:v>E+</c:v>
                </c:pt>
              </c:strCache>
            </c:strRef>
          </c:cat>
          <c:val>
            <c:numRef>
              <c:f>Sheet5!$B$31:$B$32</c:f>
              <c:numCache>
                <c:formatCode>General</c:formatCode>
                <c:ptCount val="2"/>
                <c:pt idx="0">
                  <c:v>0.45515656457674247</c:v>
                </c:pt>
                <c:pt idx="1">
                  <c:v>0.20718814140887779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D9-4EEB-B2C8-7A7BBDCEC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2745776"/>
        <c:axId val="282744944"/>
      </c:barChart>
      <c:catAx>
        <c:axId val="28274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44944"/>
        <c:crosses val="autoZero"/>
        <c:auto val="1"/>
        <c:lblAlgn val="ctr"/>
        <c:lblOffset val="100"/>
        <c:noMultiLvlLbl val="0"/>
      </c:catAx>
      <c:valAx>
        <c:axId val="28274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4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isopropyl palmitate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Sheet5!$D$35:$D$36</c:f>
                <c:numCache>
                  <c:formatCode>General</c:formatCode>
                  <c:ptCount val="2"/>
                  <c:pt idx="0">
                    <c:v>0.82490027808053146</c:v>
                  </c:pt>
                  <c:pt idx="1">
                    <c:v>0.56532146381733683</c:v>
                  </c:pt>
                </c:numCache>
              </c:numRef>
            </c:plus>
            <c:minus>
              <c:numRef>
                <c:f>Sheet5!$D$35:$D$36</c:f>
                <c:numCache>
                  <c:formatCode>General</c:formatCode>
                  <c:ptCount val="2"/>
                  <c:pt idx="0">
                    <c:v>0.82490027808053146</c:v>
                  </c:pt>
                  <c:pt idx="1">
                    <c:v>0.56532146381733683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Sheet5!$A$35:$A$36</c:f>
              <c:strCache>
                <c:ptCount val="2"/>
                <c:pt idx="0">
                  <c:v>E-</c:v>
                </c:pt>
                <c:pt idx="1">
                  <c:v>E+</c:v>
                </c:pt>
              </c:strCache>
            </c:strRef>
          </c:cat>
          <c:val>
            <c:numRef>
              <c:f>Sheet5!$B$35:$B$36</c:f>
              <c:numCache>
                <c:formatCode>General</c:formatCode>
                <c:ptCount val="2"/>
                <c:pt idx="0">
                  <c:v>3.4807784392867731</c:v>
                </c:pt>
                <c:pt idx="1">
                  <c:v>2.6729310463612812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4D-4435-87DE-45F9479F9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9258864"/>
        <c:axId val="889259696"/>
      </c:barChart>
      <c:catAx>
        <c:axId val="88925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259696"/>
        <c:crosses val="autoZero"/>
        <c:auto val="1"/>
        <c:lblAlgn val="ctr"/>
        <c:lblOffset val="100"/>
        <c:noMultiLvlLbl val="0"/>
      </c:catAx>
      <c:valAx>
        <c:axId val="88925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925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</xdr:colOff>
      <xdr:row>10</xdr:row>
      <xdr:rowOff>76200</xdr:rowOff>
    </xdr:from>
    <xdr:to>
      <xdr:col>8</xdr:col>
      <xdr:colOff>233362</xdr:colOff>
      <xdr:row>24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52387</xdr:colOff>
      <xdr:row>9</xdr:row>
      <xdr:rowOff>152400</xdr:rowOff>
    </xdr:from>
    <xdr:to>
      <xdr:col>23</xdr:col>
      <xdr:colOff>357187</xdr:colOff>
      <xdr:row>24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433387</xdr:colOff>
      <xdr:row>0</xdr:row>
      <xdr:rowOff>114300</xdr:rowOff>
    </xdr:from>
    <xdr:to>
      <xdr:col>14</xdr:col>
      <xdr:colOff>128587</xdr:colOff>
      <xdr:row>15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461962</xdr:colOff>
      <xdr:row>16</xdr:row>
      <xdr:rowOff>171450</xdr:rowOff>
    </xdr:from>
    <xdr:to>
      <xdr:col>15</xdr:col>
      <xdr:colOff>157162</xdr:colOff>
      <xdr:row>31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80962</xdr:colOff>
      <xdr:row>25</xdr:row>
      <xdr:rowOff>85725</xdr:rowOff>
    </xdr:from>
    <xdr:to>
      <xdr:col>23</xdr:col>
      <xdr:colOff>385762</xdr:colOff>
      <xdr:row>39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90487</xdr:colOff>
      <xdr:row>32</xdr:row>
      <xdr:rowOff>114300</xdr:rowOff>
    </xdr:from>
    <xdr:to>
      <xdr:col>15</xdr:col>
      <xdr:colOff>395287</xdr:colOff>
      <xdr:row>47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242887</xdr:colOff>
      <xdr:row>40</xdr:row>
      <xdr:rowOff>38100</xdr:rowOff>
    </xdr:from>
    <xdr:to>
      <xdr:col>23</xdr:col>
      <xdr:colOff>547687</xdr:colOff>
      <xdr:row>54</xdr:row>
      <xdr:rowOff>114300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cms" refreshedDate="43322.528970833337" createdVersion="6" refreshedVersion="6" minRefreshableVersion="3" recordCount="20">
  <cacheSource type="worksheet">
    <worksheetSource ref="A1:UN21" sheet="ngpergperhr"/>
  </cacheSource>
  <cacheFields count="560">
    <cacheField name="Endophyte" numFmtId="0">
      <sharedItems count="2">
        <s v="E-"/>
        <s v="E+"/>
      </sharedItems>
    </cacheField>
    <cacheField name="Plant ID" numFmtId="0">
      <sharedItems/>
    </cacheField>
    <cacheField name="Biomass" numFmtId="0">
      <sharedItems containsSemiMixedTypes="0" containsString="0" containsNumber="1" minValue="3.25" maxValue="26.75"/>
    </cacheField>
    <cacheField name="4.32" numFmtId="0">
      <sharedItems containsSemiMixedTypes="0" containsString="0" containsNumber="1" minValue="0" maxValue="0.69445343764592837"/>
    </cacheField>
    <cacheField name="4.49" numFmtId="0">
      <sharedItems containsSemiMixedTypes="0" containsString="0" containsNumber="1" minValue="0" maxValue="3.8412411169608234"/>
    </cacheField>
    <cacheField name="4.5" numFmtId="0">
      <sharedItems containsSemiMixedTypes="0" containsString="0" containsNumber="1" minValue="0" maxValue="0.38532352898886912"/>
    </cacheField>
    <cacheField name="4.53" numFmtId="0">
      <sharedItems containsSemiMixedTypes="0" containsString="0" containsNumber="1" minValue="0" maxValue="0.75956624256950944"/>
    </cacheField>
    <cacheField name="4.55" numFmtId="0">
      <sharedItems containsSemiMixedTypes="0" containsString="0" containsNumber="1" minValue="0" maxValue="0.24475741041514174"/>
    </cacheField>
    <cacheField name="4.71" numFmtId="0">
      <sharedItems containsSemiMixedTypes="0" containsString="0" containsNumber="1" minValue="0" maxValue="2.0769500895125974"/>
    </cacheField>
    <cacheField name="4.73" numFmtId="0">
      <sharedItems containsSemiMixedTypes="0" containsString="0" containsNumber="1" minValue="0" maxValue="0.23118204784123994"/>
    </cacheField>
    <cacheField name="4.75" numFmtId="0">
      <sharedItems containsSemiMixedTypes="0" containsString="0" containsNumber="1" minValue="0" maxValue="0.4084493128009557"/>
    </cacheField>
    <cacheField name="4.8" numFmtId="0">
      <sharedItems containsSemiMixedTypes="0" containsString="0" containsNumber="1" minValue="0" maxValue="2.687471081793146"/>
    </cacheField>
    <cacheField name="4.81" numFmtId="0">
      <sharedItems containsSemiMixedTypes="0" containsString="0" containsNumber="1" minValue="0" maxValue="0.60747428805089709"/>
    </cacheField>
    <cacheField name="4.82" numFmtId="0">
      <sharedItems containsSemiMixedTypes="0" containsString="0" containsNumber="1" minValue="0" maxValue="0.33718954788994876"/>
    </cacheField>
    <cacheField name="4.84" numFmtId="0">
      <sharedItems containsSemiMixedTypes="0" containsString="0" containsNumber="1" minValue="0" maxValue="0.5211482476136946"/>
    </cacheField>
    <cacheField name="4.85" numFmtId="0">
      <sharedItems containsSemiMixedTypes="0" containsString="0" containsNumber="1" minValue="0" maxValue="0.14667507268821248"/>
    </cacheField>
    <cacheField name="4.88" numFmtId="0">
      <sharedItems containsSemiMixedTypes="0" containsString="0" containsNumber="1" minValue="0" maxValue="3.0664868698773735"/>
    </cacheField>
    <cacheField name="4.89" numFmtId="0">
      <sharedItems containsSemiMixedTypes="0" containsString="0" containsNumber="1" minValue="0" maxValue="9.0730343665867927"/>
    </cacheField>
    <cacheField name="4.9" numFmtId="0">
      <sharedItems containsSemiMixedTypes="0" containsString="0" containsNumber="1" minValue="0" maxValue="5.4668178405590844"/>
    </cacheField>
    <cacheField name="4.91" numFmtId="0">
      <sharedItems containsSemiMixedTypes="0" containsString="0" containsNumber="1" minValue="0" maxValue="1.1015304012641625"/>
    </cacheField>
    <cacheField name="? - 4.91" numFmtId="0">
      <sharedItems containsSemiMixedTypes="0" containsString="0" containsNumber="1" minValue="1.032707257612" maxValue="9.0730343665867927"/>
    </cacheField>
    <cacheField name="4.98" numFmtId="0">
      <sharedItems containsSemiMixedTypes="0" containsString="0" containsNumber="1" minValue="0" maxValue="4.8378555532095646"/>
    </cacheField>
    <cacheField name="4.99" numFmtId="0">
      <sharedItems containsSemiMixedTypes="0" containsString="0" containsNumber="1" minValue="0" maxValue="0.47925126321740574"/>
    </cacheField>
    <cacheField name="5.01" numFmtId="0">
      <sharedItems containsSemiMixedTypes="0" containsString="0" containsNumber="1" minValue="0" maxValue="0.89468951106218275"/>
    </cacheField>
    <cacheField name="5.11" numFmtId="0">
      <sharedItems containsSemiMixedTypes="0" containsString="0" containsNumber="1" minValue="0" maxValue="0.21912116478874435"/>
    </cacheField>
    <cacheField name="5.12" numFmtId="0">
      <sharedItems containsSemiMixedTypes="0" containsString="0" containsNumber="1" minValue="0" maxValue="1.7701871505988334"/>
    </cacheField>
    <cacheField name="5.14" numFmtId="0">
      <sharedItems containsSemiMixedTypes="0" containsString="0" containsNumber="1" minValue="0" maxValue="0.22625163463875506"/>
    </cacheField>
    <cacheField name="5.19" numFmtId="0">
      <sharedItems containsSemiMixedTypes="0" containsString="0" containsNumber="1" minValue="0" maxValue="33.095360431800131"/>
    </cacheField>
    <cacheField name="5.2" numFmtId="0">
      <sharedItems containsSemiMixedTypes="0" containsString="0" containsNumber="1" minValue="0" maxValue="17.04491920770889"/>
    </cacheField>
    <cacheField name="5.21" numFmtId="0">
      <sharedItems containsSemiMixedTypes="0" containsString="0" containsNumber="1" minValue="0" maxValue="0.652458730005403"/>
    </cacheField>
    <cacheField name="5.22" numFmtId="0">
      <sharedItems containsSemiMixedTypes="0" containsString="0" containsNumber="1" minValue="0" maxValue="2.2298837521479147"/>
    </cacheField>
    <cacheField name="5.23" numFmtId="0">
      <sharedItems containsSemiMixedTypes="0" containsString="0" containsNumber="1" minValue="0" maxValue="0.58334124175294355"/>
    </cacheField>
    <cacheField name="5.28" numFmtId="0">
      <sharedItems containsSemiMixedTypes="0" containsString="0" containsNumber="1" minValue="0" maxValue="0.75009557050013176"/>
    </cacheField>
    <cacheField name="5.29" numFmtId="0">
      <sharedItems containsSemiMixedTypes="0" containsString="0" containsNumber="1" minValue="0" maxValue="0.61164202317836469"/>
    </cacheField>
    <cacheField name="5.3" numFmtId="0">
      <sharedItems containsSemiMixedTypes="0" containsString="0" containsNumber="1" minValue="0" maxValue="0.30200652677362988"/>
    </cacheField>
    <cacheField name="5.31" numFmtId="0">
      <sharedItems containsSemiMixedTypes="0" containsString="0" containsNumber="1" minValue="0" maxValue="0.71701322866812434"/>
    </cacheField>
    <cacheField name="5.35" numFmtId="0">
      <sharedItems containsSemiMixedTypes="0" containsString="0" containsNumber="1" minValue="0" maxValue="0.97251700171330657"/>
    </cacheField>
    <cacheField name="5.36" numFmtId="0">
      <sharedItems containsSemiMixedTypes="0" containsString="0" containsNumber="1" minValue="0" maxValue="0.59656751831293964"/>
    </cacheField>
    <cacheField name="5.38" numFmtId="0">
      <sharedItems containsSemiMixedTypes="0" containsString="0" containsNumber="1" minValue="0" maxValue="1.4424341150431841"/>
    </cacheField>
    <cacheField name="5.39" numFmtId="0">
      <sharedItems containsSemiMixedTypes="0" containsString="0" containsNumber="1" minValue="0" maxValue="0.99770875624828692"/>
    </cacheField>
    <cacheField name="5.4" numFmtId="0">
      <sharedItems containsSemiMixedTypes="0" containsString="0" containsNumber="1" minValue="0" maxValue="1.6947006746626143"/>
    </cacheField>
    <cacheField name="5.48" numFmtId="0">
      <sharedItems containsSemiMixedTypes="0" containsString="0" containsNumber="1" minValue="0" maxValue="0.35265968939751502"/>
    </cacheField>
    <cacheField name="5.51" numFmtId="0">
      <sharedItems containsSemiMixedTypes="0" containsString="0" containsNumber="1" minValue="0" maxValue="1.1951033687558861"/>
    </cacheField>
    <cacheField name="5.52" numFmtId="0">
      <sharedItems containsSemiMixedTypes="0" containsString="0" containsNumber="1" minValue="0" maxValue="0.36124545954465681"/>
    </cacheField>
    <cacheField name="5.54" numFmtId="0">
      <sharedItems containsSemiMixedTypes="0" containsString="0" containsNumber="1" minValue="0" maxValue="1.0500643311246185"/>
    </cacheField>
    <cacheField name="5.62" numFmtId="0">
      <sharedItems containsSemiMixedTypes="0" containsString="0" containsNumber="1" minValue="0" maxValue="0.17199090228482139"/>
    </cacheField>
    <cacheField name="5.65" numFmtId="0">
      <sharedItems containsSemiMixedTypes="0" containsString="0" containsNumber="1" minValue="0" maxValue="0.82363161275368579"/>
    </cacheField>
    <cacheField name="5.66" numFmtId="0">
      <sharedItems containsSemiMixedTypes="0" containsString="0" containsNumber="1" minValue="0" maxValue="0.54735178373162097"/>
    </cacheField>
    <cacheField name="5.67" numFmtId="0">
      <sharedItems containsSemiMixedTypes="0" containsString="0" containsNumber="1" minValue="0" maxValue="0.29982523138311795"/>
    </cacheField>
    <cacheField name="5.94" numFmtId="0">
      <sharedItems containsSemiMixedTypes="0" containsString="0" containsNumber="1" minValue="0" maxValue="0.69937302629997378"/>
    </cacheField>
    <cacheField name="6.1" numFmtId="0">
      <sharedItems containsSemiMixedTypes="0" containsString="0" containsNumber="1" minValue="0" maxValue="1.7067546358289474"/>
    </cacheField>
    <cacheField name="6.11" numFmtId="0">
      <sharedItems containsSemiMixedTypes="0" containsString="0" containsNumber="1" minValue="0" maxValue="0.83595806923060645"/>
    </cacheField>
    <cacheField name="6.12" numFmtId="0">
      <sharedItems containsSemiMixedTypes="0" containsString="0" containsNumber="1" minValue="0" maxValue="0.65377642983566908"/>
    </cacheField>
    <cacheField name="6.25" numFmtId="0">
      <sharedItems containsSemiMixedTypes="0" containsString="0" containsNumber="1" minValue="0" maxValue="3.8489242268027906"/>
    </cacheField>
    <cacheField name="6.26" numFmtId="0">
      <sharedItems containsSemiMixedTypes="0" containsString="0" containsNumber="1" minValue="0" maxValue="0.83380541452159629"/>
    </cacheField>
    <cacheField name="6.27" numFmtId="0">
      <sharedItems containsSemiMixedTypes="0" containsString="0" containsNumber="1" minValue="0" maxValue="0.87098271598210952"/>
    </cacheField>
    <cacheField name="6.33" numFmtId="0">
      <sharedItems containsSemiMixedTypes="0" containsString="0" containsNumber="1" minValue="0" maxValue="1.0346805604387184"/>
    </cacheField>
    <cacheField name="6.34" numFmtId="0">
      <sharedItems containsSemiMixedTypes="0" containsString="0" containsNumber="1" minValue="0" maxValue="0.48389200703802859"/>
    </cacheField>
    <cacheField name="6.35" numFmtId="0">
      <sharedItems containsSemiMixedTypes="0" containsString="0" containsNumber="1" minValue="0" maxValue="0.5166802398160274"/>
    </cacheField>
    <cacheField name="6.36" numFmtId="0">
      <sharedItems containsSemiMixedTypes="0" containsString="0" containsNumber="1" minValue="0" maxValue="0.416206071341572"/>
    </cacheField>
    <cacheField name="6.49" numFmtId="0">
      <sharedItems containsSemiMixedTypes="0" containsString="0" containsNumber="1" minValue="0" maxValue="5.5978346165444179"/>
    </cacheField>
    <cacheField name="6.5" numFmtId="0">
      <sharedItems containsSemiMixedTypes="0" containsString="0" containsNumber="1" minValue="0" maxValue="2.0093772746789078"/>
    </cacheField>
    <cacheField name="6.51" numFmtId="0">
      <sharedItems containsSemiMixedTypes="0" containsString="0" containsNumber="1" minValue="0" maxValue="0.14621992540529144"/>
    </cacheField>
    <cacheField name="Heptanal - 6.5" numFmtId="0">
      <sharedItems containsSemiMixedTypes="0" containsString="0" containsNumber="1" minValue="0.14621992540529144" maxValue="5.5978346165444179"/>
    </cacheField>
    <cacheField name="7.02" numFmtId="0">
      <sharedItems containsSemiMixedTypes="0" containsString="0" containsNumber="1" minValue="0" maxValue="0.22413206333224589"/>
    </cacheField>
    <cacheField name="7.12" numFmtId="0">
      <sharedItems containsSemiMixedTypes="0" containsString="0" containsNumber="1" minValue="0" maxValue="1.9694798448128854"/>
    </cacheField>
    <cacheField name="7.13" numFmtId="0">
      <sharedItems containsSemiMixedTypes="0" containsString="0" containsNumber="1" minValue="0" maxValue="0.34183435028485404"/>
    </cacheField>
    <cacheField name="7.35" numFmtId="0">
      <sharedItems containsSemiMixedTypes="0" containsString="0" containsNumber="1" minValue="0" maxValue="0.58737540645161934"/>
    </cacheField>
    <cacheField name="7.36" numFmtId="0">
      <sharedItems containsSemiMixedTypes="0" containsString="0" containsNumber="1" minValue="0" maxValue="0.61750940395318388"/>
    </cacheField>
    <cacheField name="7.37" numFmtId="0">
      <sharedItems containsSemiMixedTypes="0" containsString="0" containsNumber="1" minValue="0" maxValue="0.21432117022980324"/>
    </cacheField>
    <cacheField name="7.58" numFmtId="0">
      <sharedItems containsSemiMixedTypes="0" containsString="0" containsNumber="1" minValue="0" maxValue="0.44316380995989418"/>
    </cacheField>
    <cacheField name="7.81" numFmtId="0">
      <sharedItems containsSemiMixedTypes="0" containsString="0" containsNumber="1" minValue="0" maxValue="0.33156343486437373"/>
    </cacheField>
    <cacheField name="8.12" numFmtId="0">
      <sharedItems containsSemiMixedTypes="0" containsString="0" containsNumber="1" minValue="0" maxValue="1.7291926911828741"/>
    </cacheField>
    <cacheField name="8.2" numFmtId="0">
      <sharedItems containsSemiMixedTypes="0" containsString="0" containsNumber="1" minValue="0" maxValue="1.0714048849587288"/>
    </cacheField>
    <cacheField name="8.21" numFmtId="0">
      <sharedItems containsSemiMixedTypes="0" containsString="0" containsNumber="1" minValue="0" maxValue="2.011997745530127"/>
    </cacheField>
    <cacheField name="8.22" numFmtId="0">
      <sharedItems containsSemiMixedTypes="0" containsString="0" containsNumber="1" minValue="0" maxValue="0.65285011943171323"/>
    </cacheField>
    <cacheField name="8.23" numFmtId="0">
      <sharedItems containsSemiMixedTypes="0" containsString="0" containsNumber="1" minValue="0" maxValue="2.3547880099007861"/>
    </cacheField>
    <cacheField name="8.24" numFmtId="0">
      <sharedItems containsSemiMixedTypes="0" containsString="0" containsNumber="1" minValue="0" maxValue="0.63057966130087351"/>
    </cacheField>
    <cacheField name="8.26" numFmtId="0">
      <sharedItems containsSemiMixedTypes="0" containsString="0" containsNumber="1" minValue="0" maxValue="2.1901611976543136"/>
    </cacheField>
    <cacheField name="8.27" numFmtId="0">
      <sharedItems containsSemiMixedTypes="0" containsString="0" containsNumber="1" minValue="0" maxValue="3.0724424643504848"/>
    </cacheField>
    <cacheField name="8.28" numFmtId="0">
      <sharedItems containsSemiMixedTypes="0" containsString="0" containsNumber="1" minValue="0" maxValue="0.85910987340123857"/>
    </cacheField>
    <cacheField name="8.29" numFmtId="0">
      <sharedItems containsSemiMixedTypes="0" containsString="0" containsNumber="1" minValue="0" maxValue="0.67403104352065413"/>
    </cacheField>
    <cacheField name="8.34" numFmtId="0">
      <sharedItems containsSemiMixedTypes="0" containsString="0" containsNumber="1" minValue="0" maxValue="1.0523201447051629"/>
    </cacheField>
    <cacheField name="8.35" numFmtId="0">
      <sharedItems containsSemiMixedTypes="0" containsString="0" containsNumber="1" minValue="0" maxValue="0.67613802067755613"/>
    </cacheField>
    <cacheField name="8.57" numFmtId="0">
      <sharedItems containsSemiMixedTypes="0" containsString="0" containsNumber="1" minValue="0" maxValue="0.22789981879201754"/>
    </cacheField>
    <cacheField name="8.64" numFmtId="0">
      <sharedItems containsSemiMixedTypes="0" containsString="0" containsNumber="1" minValue="0" maxValue="1.0085521254815082"/>
    </cacheField>
    <cacheField name="8.65" numFmtId="0">
      <sharedItems containsSemiMixedTypes="0" containsString="0" containsNumber="1" minValue="0" maxValue="1.124640702152665"/>
    </cacheField>
    <cacheField name="8.77" numFmtId="0">
      <sharedItems containsSemiMixedTypes="0" containsString="0" containsNumber="1" minValue="0" maxValue="0.59212170789786089"/>
    </cacheField>
    <cacheField name="8.91" numFmtId="0">
      <sharedItems containsSemiMixedTypes="0" containsString="0" containsNumber="1" minValue="0" maxValue="0.2618436163644704"/>
    </cacheField>
    <cacheField name="8.92" numFmtId="0">
      <sharedItems containsSemiMixedTypes="0" containsString="0" containsNumber="1" minValue="0" maxValue="1.4411893538648077"/>
    </cacheField>
    <cacheField name="8.93" numFmtId="0">
      <sharedItems containsSemiMixedTypes="0" containsString="0" containsNumber="1" minValue="0" maxValue="0.43460976012078212"/>
    </cacheField>
    <cacheField name="8.94" numFmtId="0">
      <sharedItems containsSemiMixedTypes="0" containsString="0" containsNumber="1" minValue="0" maxValue="0.67388303698434016"/>
    </cacheField>
    <cacheField name="8.95" numFmtId="0">
      <sharedItems containsSemiMixedTypes="0" containsString="0" containsNumber="1" minValue="0" maxValue="2.3128297884150935"/>
    </cacheField>
    <cacheField name="8.96" numFmtId="0">
      <sharedItems containsSemiMixedTypes="0" containsString="0" containsNumber="1" minValue="0" maxValue="0.90664443869598543"/>
    </cacheField>
    <cacheField name="8.97" numFmtId="0">
      <sharedItems containsSemiMixedTypes="0" containsString="0" containsNumber="1" minValue="0" maxValue="0.47207692733985357"/>
    </cacheField>
    <cacheField name="9" numFmtId="0">
      <sharedItems containsSemiMixedTypes="0" containsString="0" containsNumber="1" minValue="0" maxValue="1.5540181291740842"/>
    </cacheField>
    <cacheField name="9.06" numFmtId="0">
      <sharedItems containsSemiMixedTypes="0" containsString="0" containsNumber="1" minValue="0" maxValue="2.8380396265148602"/>
    </cacheField>
    <cacheField name="9.11" numFmtId="0">
      <sharedItems containsSemiMixedTypes="0" containsString="0" containsNumber="1" minValue="0" maxValue="0.20837513292551599"/>
    </cacheField>
    <cacheField name="9.18" numFmtId="0">
      <sharedItems containsSemiMixedTypes="0" containsString="0" containsNumber="1" minValue="0" maxValue="2.0203466287715801"/>
    </cacheField>
    <cacheField name="9.19" numFmtId="0">
      <sharedItems containsSemiMixedTypes="0" containsString="0" containsNumber="1" minValue="0" maxValue="1.9936181213231889"/>
    </cacheField>
    <cacheField name="9.2" numFmtId="0">
      <sharedItems containsSemiMixedTypes="0" containsString="0" containsNumber="1" minValue="0" maxValue="6.2490267375631117"/>
    </cacheField>
    <cacheField name="6-methyl - 9.19" numFmtId="0">
      <sharedItems containsSemiMixedTypes="0" containsString="0" containsNumber="1" minValue="0" maxValue="6.2490267375631117"/>
    </cacheField>
    <cacheField name="9.25" numFmtId="0">
      <sharedItems containsSemiMixedTypes="0" containsString="0" containsNumber="1" minValue="0" maxValue="2.9395761449065558"/>
    </cacheField>
    <cacheField name="9.26" numFmtId="0">
      <sharedItems containsSemiMixedTypes="0" containsString="0" containsNumber="1" minValue="0" maxValue="2.668144042803108"/>
    </cacheField>
    <cacheField name="9.28" numFmtId="0">
      <sharedItems containsSemiMixedTypes="0" containsString="0" containsNumber="1" minValue="0" maxValue="0.46834779908668078"/>
    </cacheField>
    <cacheField name="b-pinene - 9.26" numFmtId="0">
      <sharedItems containsSemiMixedTypes="0" containsString="0" containsNumber="1" minValue="0" maxValue="2.9395761449065558"/>
    </cacheField>
    <cacheField name="9.31" numFmtId="0">
      <sharedItems containsSemiMixedTypes="0" containsString="0" containsNumber="1" minValue="0" maxValue="1.9138726972312612"/>
    </cacheField>
    <cacheField name="9.35" numFmtId="0">
      <sharedItems containsSemiMixedTypes="0" containsString="0" containsNumber="1" minValue="0" maxValue="0.43142455347606751"/>
    </cacheField>
    <cacheField name="9.36" numFmtId="0">
      <sharedItems containsSemiMixedTypes="0" containsString="0" containsNumber="1" minValue="0" maxValue="0.36488762873318831"/>
    </cacheField>
    <cacheField name="9.51" numFmtId="0">
      <sharedItems containsSemiMixedTypes="0" containsString="0" containsNumber="1" minValue="0" maxValue="1.4488372786926402"/>
    </cacheField>
    <cacheField name="9.52" numFmtId="0">
      <sharedItems containsSemiMixedTypes="0" containsString="0" containsNumber="1" minValue="0" maxValue="0.80930894809193565"/>
    </cacheField>
    <cacheField name="9.58" numFmtId="0">
      <sharedItems containsSemiMixedTypes="0" containsString="0" containsNumber="1" minValue="0" maxValue="0.69341294727960689"/>
    </cacheField>
    <cacheField name="9.65" numFmtId="0">
      <sharedItems containsSemiMixedTypes="0" containsString="0" containsNumber="1" minValue="0" maxValue="19.494265803965696"/>
    </cacheField>
    <cacheField name="9.66" numFmtId="0">
      <sharedItems containsSemiMixedTypes="0" containsString="0" containsNumber="1" minValue="0" maxValue="7.508759189349874"/>
    </cacheField>
    <cacheField name="9.67" numFmtId="0">
      <sharedItems containsSemiMixedTypes="0" containsString="0" containsNumber="1" minValue="0" maxValue="3.615538204948304"/>
    </cacheField>
    <cacheField name="Ocatanal - 9.66" numFmtId="0">
      <sharedItems containsSemiMixedTypes="0" containsString="0" containsNumber="1" minValue="0.58033755472313342" maxValue="19.494265803965696"/>
    </cacheField>
    <cacheField name="9.82" numFmtId="0">
      <sharedItems containsSemiMixedTypes="0" containsString="0" containsNumber="1" minValue="0" maxValue="19.700067752831959"/>
    </cacheField>
    <cacheField name="9.83" numFmtId="0">
      <sharedItems containsSemiMixedTypes="0" containsString="0" containsNumber="1" minValue="0" maxValue="2.7593654356998498"/>
    </cacheField>
    <cacheField name="9.84" numFmtId="0">
      <sharedItems containsSemiMixedTypes="0" containsString="0" containsNumber="1" minValue="0" maxValue="1.506151179492909"/>
    </cacheField>
    <cacheField name="z3hexace - 9.82" numFmtId="0">
      <sharedItems containsSemiMixedTypes="0" containsString="0" containsNumber="1" minValue="0" maxValue="19.700067752831959"/>
    </cacheField>
    <cacheField name="9.94" numFmtId="0">
      <sharedItems containsSemiMixedTypes="0" containsString="0" containsNumber="1" minValue="0" maxValue="0.76677453792435768"/>
    </cacheField>
    <cacheField name="10.04" numFmtId="0">
      <sharedItems containsSemiMixedTypes="0" containsString="0" containsNumber="1" minValue="0" maxValue="0.2890592890886281"/>
    </cacheField>
    <cacheField name="10.05" numFmtId="0">
      <sharedItems containsSemiMixedTypes="0" containsString="0" containsNumber="1" minValue="0" maxValue="1.0650587846793154"/>
    </cacheField>
    <cacheField name="10.2" numFmtId="0">
      <sharedItems containsSemiMixedTypes="0" containsString="0" containsNumber="1" minValue="0" maxValue="1.536827119309917"/>
    </cacheField>
    <cacheField name="10.28" numFmtId="0">
      <sharedItems containsSemiMixedTypes="0" containsString="0" containsNumber="1" minValue="0" maxValue="0.33051651813009397"/>
    </cacheField>
    <cacheField name="10.29" numFmtId="0">
      <sharedItems containsSemiMixedTypes="0" containsString="0" containsNumber="1" minValue="0" maxValue="5.9755150178908965"/>
    </cacheField>
    <cacheField name="10.3" numFmtId="0">
      <sharedItems containsSemiMixedTypes="0" containsString="0" containsNumber="1" minValue="0" maxValue="0.31259059191984334"/>
    </cacheField>
    <cacheField name="10.4" numFmtId="0">
      <sharedItems containsSemiMixedTypes="0" containsString="0" containsNumber="1" minValue="0" maxValue="2.6237825467432425"/>
    </cacheField>
    <cacheField name="10.41" numFmtId="0">
      <sharedItems containsSemiMixedTypes="0" containsString="0" containsNumber="1" minValue="0" maxValue="0.77392612679981487"/>
    </cacheField>
    <cacheField name="Limonene - 10.4" numFmtId="0">
      <sharedItems containsSemiMixedTypes="0" containsString="0" containsNumber="1" minValue="0" maxValue="2.6237825467432425"/>
    </cacheField>
    <cacheField name="10.48" numFmtId="0">
      <sharedItems containsSemiMixedTypes="0" containsString="0" containsNumber="1" minValue="0" maxValue="0.50926255363052753"/>
    </cacheField>
    <cacheField name="10.49" numFmtId="0">
      <sharedItems containsSemiMixedTypes="0" containsString="0" containsNumber="1" minValue="0" maxValue="0.34153993433916763"/>
    </cacheField>
    <cacheField name="10.5" numFmtId="0">
      <sharedItems containsSemiMixedTypes="0" containsString="0" containsNumber="1" minValue="0" maxValue="6.8803014978000494"/>
    </cacheField>
    <cacheField name="10.58" numFmtId="0">
      <sharedItems containsSemiMixedTypes="0" containsString="0" containsNumber="1" minValue="0" maxValue="0.35013817485815135"/>
    </cacheField>
    <cacheField name="10.59" numFmtId="0">
      <sharedItems containsSemiMixedTypes="0" containsString="0" containsNumber="1" minValue="0" maxValue="24.92075116169099"/>
    </cacheField>
    <cacheField name="10.6" numFmtId="0">
      <sharedItems containsSemiMixedTypes="0" containsString="0" containsNumber="1" minValue="0" maxValue="0.19428543707413953"/>
    </cacheField>
    <cacheField name="10.61" numFmtId="0">
      <sharedItems containsSemiMixedTypes="0" containsString="0" containsNumber="1" minValue="0" maxValue="26.619849674391023"/>
    </cacheField>
    <cacheField name="10.65" numFmtId="0">
      <sharedItems containsSemiMixedTypes="0" containsString="0" containsNumber="1" minValue="0" maxValue="0.6250605482412861"/>
    </cacheField>
    <cacheField name="10.75" numFmtId="0">
      <sharedItems containsSemiMixedTypes="0" containsString="0" containsNumber="1" minValue="0" maxValue="13.406308045028702"/>
    </cacheField>
    <cacheField name="10.76" numFmtId="0">
      <sharedItems containsSemiMixedTypes="0" containsString="0" containsNumber="1" minValue="0" maxValue="1.4949563868269802"/>
    </cacheField>
    <cacheField name="10.77" numFmtId="0">
      <sharedItems containsSemiMixedTypes="0" containsString="0" containsNumber="1" minValue="0" maxValue="2.7401325487200721"/>
    </cacheField>
    <cacheField name="10.84" numFmtId="0">
      <sharedItems containsSemiMixedTypes="0" containsString="0" containsNumber="1" minValue="0" maxValue="0.40286744515864742"/>
    </cacheField>
    <cacheField name="10.91" numFmtId="0">
      <sharedItems containsSemiMixedTypes="0" containsString="0" containsNumber="1" minValue="0" maxValue="2.6218760790776638"/>
    </cacheField>
    <cacheField name="10.95" numFmtId="0">
      <sharedItems containsSemiMixedTypes="0" containsString="0" containsNumber="1" minValue="0" maxValue="3.745510723527476"/>
    </cacheField>
    <cacheField name="11.02" numFmtId="0">
      <sharedItems containsSemiMixedTypes="0" containsString="0" containsNumber="1" minValue="0" maxValue="0.38993988470709429"/>
    </cacheField>
    <cacheField name="11.06" numFmtId="0">
      <sharedItems containsSemiMixedTypes="0" containsString="0" containsNumber="1" minValue="0" maxValue="2.1708656885557711"/>
    </cacheField>
    <cacheField name="11.09" numFmtId="0">
      <sharedItems containsSemiMixedTypes="0" containsString="0" containsNumber="1" minValue="0" maxValue="1.9688331880369421"/>
    </cacheField>
    <cacheField name="11.1" numFmtId="0">
      <sharedItems containsSemiMixedTypes="0" containsString="0" containsNumber="1" minValue="0" maxValue="0.73551057015793475"/>
    </cacheField>
    <cacheField name="11.11" numFmtId="0">
      <sharedItems containsSemiMixedTypes="0" containsString="0" containsNumber="1" minValue="0" maxValue="0.24956204901657672"/>
    </cacheField>
    <cacheField name="11.12" numFmtId="0">
      <sharedItems containsSemiMixedTypes="0" containsString="0" containsNumber="1" minValue="0" maxValue="0.40951087445725665"/>
    </cacheField>
    <cacheField name="11.13" numFmtId="0">
      <sharedItems containsSemiMixedTypes="0" containsString="0" containsNumber="1" minValue="0" maxValue="3.6576030996199447"/>
    </cacheField>
    <cacheField name="11.14" numFmtId="0">
      <sharedItems containsSemiMixedTypes="0" containsString="0" containsNumber="1" minValue="0" maxValue="1.2444025737527444"/>
    </cacheField>
    <cacheField name="11.21" numFmtId="0">
      <sharedItems containsSemiMixedTypes="0" containsString="0" containsNumber="1" minValue="0" maxValue="11.412720049823509"/>
    </cacheField>
    <cacheField name="11.22" numFmtId="0">
      <sharedItems containsSemiMixedTypes="0" containsString="0" containsNumber="1" minValue="0" maxValue="4.0130324036953136"/>
    </cacheField>
    <cacheField name="11.23" numFmtId="0">
      <sharedItems containsSemiMixedTypes="0" containsString="0" containsNumber="1" minValue="0" maxValue="1.2650178018053653"/>
    </cacheField>
    <cacheField name="11.26" numFmtId="0">
      <sharedItems containsSemiMixedTypes="0" containsString="0" containsNumber="1" minValue="0" maxValue="0.46573059787988391"/>
    </cacheField>
    <cacheField name="11.27" numFmtId="0">
      <sharedItems containsSemiMixedTypes="0" containsString="0" containsNumber="1" minValue="0" maxValue="0.89683749141300817"/>
    </cacheField>
    <cacheField name="11.29" numFmtId="0">
      <sharedItems containsSemiMixedTypes="0" containsString="0" containsNumber="1" minValue="0" maxValue="0.61465303389252823"/>
    </cacheField>
    <cacheField name="11.38" numFmtId="0">
      <sharedItems containsSemiMixedTypes="0" containsString="0" containsNumber="1" minValue="0" maxValue="3.8082699002578542"/>
    </cacheField>
    <cacheField name="11.41" numFmtId="0">
      <sharedItems containsSemiMixedTypes="0" containsString="0" containsNumber="1" minValue="0" maxValue="1.8707206301591874"/>
    </cacheField>
    <cacheField name="11.42" numFmtId="0">
      <sharedItems containsSemiMixedTypes="0" containsString="0" containsNumber="1" minValue="0" maxValue="0.21838708470271226"/>
    </cacheField>
    <cacheField name="11.46" numFmtId="0">
      <sharedItems containsSemiMixedTypes="0" containsString="0" containsNumber="1" minValue="0" maxValue="2.6744885711594035"/>
    </cacheField>
    <cacheField name="11.54" numFmtId="0">
      <sharedItems containsSemiMixedTypes="0" containsString="0" containsNumber="1" minValue="0" maxValue="0.25684675891941156"/>
    </cacheField>
    <cacheField name="11.55" numFmtId="0">
      <sharedItems containsSemiMixedTypes="0" containsString="0" containsNumber="1" minValue="0" maxValue="6.1194774885543683"/>
    </cacheField>
    <cacheField name="11.56" numFmtId="0">
      <sharedItems containsSemiMixedTypes="0" containsString="0" containsNumber="1" minValue="0" maxValue="0.92596432714587262"/>
    </cacheField>
    <cacheField name="11.6" numFmtId="0">
      <sharedItems containsSemiMixedTypes="0" containsString="0" containsNumber="1" minValue="0" maxValue="8.0791365449560129"/>
    </cacheField>
    <cacheField name="11.61" numFmtId="0">
      <sharedItems containsSemiMixedTypes="0" containsString="0" containsNumber="1" minValue="0" maxValue="2.6659904545226722"/>
    </cacheField>
    <cacheField name="11.62" numFmtId="0">
      <sharedItems containsSemiMixedTypes="0" containsString="0" containsNumber="1" minValue="0" maxValue="0.94082438055231021"/>
    </cacheField>
    <cacheField name="11.63" numFmtId="0">
      <sharedItems containsSemiMixedTypes="0" containsString="0" containsNumber="1" minValue="0" maxValue="0.74431351239219401"/>
    </cacheField>
    <cacheField name="11.64" numFmtId="0">
      <sharedItems containsSemiMixedTypes="0" containsString="0" containsNumber="1" minValue="0" maxValue="0.98729040080201724"/>
    </cacheField>
    <cacheField name="11.75" numFmtId="0">
      <sharedItems containsSemiMixedTypes="0" containsString="0" containsNumber="1" minValue="0" maxValue="1.3506580544333597"/>
    </cacheField>
    <cacheField name="11.77" numFmtId="0">
      <sharedItems containsSemiMixedTypes="0" containsString="0" containsNumber="1" minValue="0" maxValue="3.8420665334023352"/>
    </cacheField>
    <cacheField name="11.78" numFmtId="0">
      <sharedItems containsSemiMixedTypes="0" containsString="0" containsNumber="1" minValue="0" maxValue="0.52535572373777772"/>
    </cacheField>
    <cacheField name="11.91" numFmtId="0">
      <sharedItems containsSemiMixedTypes="0" containsString="0" containsNumber="1" minValue="0" maxValue="5.401444304835918"/>
    </cacheField>
    <cacheField name="11.92" numFmtId="0">
      <sharedItems containsSemiMixedTypes="0" containsString="0" containsNumber="1" minValue="0" maxValue="0.79099562176757798"/>
    </cacheField>
    <cacheField name="11.96" numFmtId="0">
      <sharedItems containsSemiMixedTypes="0" containsString="0" containsNumber="1" minValue="0" maxValue="2.4203357244512627"/>
    </cacheField>
    <cacheField name="11.97" numFmtId="0">
      <sharedItems containsSemiMixedTypes="0" containsString="0" containsNumber="1" minValue="0" maxValue="1.2048096052642541"/>
    </cacheField>
    <cacheField name="12.01" numFmtId="0">
      <sharedItems containsSemiMixedTypes="0" containsString="0" containsNumber="1" minValue="0" maxValue="0.55525617440180464"/>
    </cacheField>
    <cacheField name="12.02" numFmtId="0">
      <sharedItems containsSemiMixedTypes="0" containsString="0" containsNumber="1" minValue="0" maxValue="2.2314290466996991"/>
    </cacheField>
    <cacheField name="12.12" numFmtId="0">
      <sharedItems containsSemiMixedTypes="0" containsString="0" containsNumber="1" minValue="0" maxValue="2.6901949984148157"/>
    </cacheField>
    <cacheField name="12.13" numFmtId="0">
      <sharedItems containsSemiMixedTypes="0" containsString="0" containsNumber="1" minValue="0" maxValue="0.92724575520733832"/>
    </cacheField>
    <cacheField name="12.15" numFmtId="0">
      <sharedItems containsSemiMixedTypes="0" containsString="0" containsNumber="1" minValue="0" maxValue="0.30058326513124856"/>
    </cacheField>
    <cacheField name="12.22" numFmtId="0">
      <sharedItems containsSemiMixedTypes="0" containsString="0" containsNumber="1" minValue="0" maxValue="22.519583820411682"/>
    </cacheField>
    <cacheField name="12.23" numFmtId="0">
      <sharedItems containsSemiMixedTypes="0" containsString="0" containsNumber="1" minValue="0" maxValue="2.7284293671229807"/>
    </cacheField>
    <cacheField name="12.31" numFmtId="0">
      <sharedItems containsSemiMixedTypes="0" containsString="0" containsNumber="1" minValue="0" maxValue="0.61165282295631618"/>
    </cacheField>
    <cacheField name="12.32" numFmtId="0">
      <sharedItems containsSemiMixedTypes="0" containsString="0" containsNumber="1" minValue="0" maxValue="0.70772545824622535"/>
    </cacheField>
    <cacheField name="12.34" numFmtId="0">
      <sharedItems containsSemiMixedTypes="0" containsString="0" containsNumber="1" minValue="0" maxValue="1.2010984186145601"/>
    </cacheField>
    <cacheField name="12.35" numFmtId="0">
      <sharedItems containsSemiMixedTypes="0" containsString="0" containsNumber="1" minValue="0" maxValue="0.21003611500097999"/>
    </cacheField>
    <cacheField name="12.44" numFmtId="0">
      <sharedItems containsSemiMixedTypes="0" containsString="0" containsNumber="1" minValue="0" maxValue="0.3163158808814765"/>
    </cacheField>
    <cacheField name="12.49" numFmtId="0">
      <sharedItems containsSemiMixedTypes="0" containsString="0" containsNumber="1" minValue="0" maxValue="1.2710437703538404"/>
    </cacheField>
    <cacheField name="12.5" numFmtId="0">
      <sharedItems containsSemiMixedTypes="0" containsString="0" containsNumber="1" minValue="0" maxValue="0.36688431016714784"/>
    </cacheField>
    <cacheField name="12.52" numFmtId="0">
      <sharedItems containsSemiMixedTypes="0" containsString="0" containsNumber="1" minValue="0" maxValue="0.86674388910734301"/>
    </cacheField>
    <cacheField name="12.54" numFmtId="0">
      <sharedItems containsSemiMixedTypes="0" containsString="0" containsNumber="1" minValue="0" maxValue="1.8724031495778508"/>
    </cacheField>
    <cacheField name="12.55" numFmtId="0">
      <sharedItems containsSemiMixedTypes="0" containsString="0" containsNumber="1" minValue="0" maxValue="1.7978273481647575"/>
    </cacheField>
    <cacheField name="12.56" numFmtId="0">
      <sharedItems containsSemiMixedTypes="0" containsString="0" containsNumber="1" minValue="0" maxValue="0.50911897896018277"/>
    </cacheField>
    <cacheField name="12.58" numFmtId="0">
      <sharedItems containsSemiMixedTypes="0" containsString="0" containsNumber="1" minValue="0" maxValue="0.41257736310320553"/>
    </cacheField>
    <cacheField name="12.59" numFmtId="0">
      <sharedItems containsSemiMixedTypes="0" containsString="0" containsNumber="1" minValue="0" maxValue="0.61297715383613249"/>
    </cacheField>
    <cacheField name="12.62" numFmtId="0">
      <sharedItems containsSemiMixedTypes="0" containsString="0" containsNumber="1" minValue="0" maxValue="0.47706230244538933"/>
    </cacheField>
    <cacheField name="12.63" numFmtId="0">
      <sharedItems containsSemiMixedTypes="0" containsString="0" containsNumber="1" minValue="0" maxValue="0.72475497986822135"/>
    </cacheField>
    <cacheField name="12.64" numFmtId="0">
      <sharedItems containsSemiMixedTypes="0" containsString="0" containsNumber="1" minValue="0" maxValue="1.9052996446879158"/>
    </cacheField>
    <cacheField name="12.69" numFmtId="0">
      <sharedItems containsSemiMixedTypes="0" containsString="0" containsNumber="1" minValue="0" maxValue="0.95550950175257432"/>
    </cacheField>
    <cacheField name="12.7" numFmtId="0">
      <sharedItems containsSemiMixedTypes="0" containsString="0" containsNumber="1" minValue="0" maxValue="4.7961919559553676"/>
    </cacheField>
    <cacheField name="12.71" numFmtId="0">
      <sharedItems containsSemiMixedTypes="0" containsString="0" containsNumber="1" minValue="0" maxValue="1.3170186397269796"/>
    </cacheField>
    <cacheField name="Linalool" numFmtId="0">
      <sharedItems containsSemiMixedTypes="0" containsString="0" containsNumber="1" minValue="0" maxValue="4.7961919559553676"/>
    </cacheField>
    <cacheField name="12.84" numFmtId="0">
      <sharedItems containsSemiMixedTypes="0" containsString="0" containsNumber="1" minValue="0" maxValue="38.046100948973049"/>
    </cacheField>
    <cacheField name="12.85" numFmtId="0">
      <sharedItems containsSemiMixedTypes="0" containsString="0" containsNumber="1" minValue="0" maxValue="27.681883243223766"/>
    </cacheField>
    <cacheField name="Nonanal - 12.84" numFmtId="0">
      <sharedItems containsSemiMixedTypes="0" containsString="0" containsNumber="1" minValue="1.9968059972519292" maxValue="38.046100948973049"/>
    </cacheField>
    <cacheField name="12.99" numFmtId="0">
      <sharedItems containsSemiMixedTypes="0" containsString="0" containsNumber="1" minValue="0" maxValue="0.29279450546930513"/>
    </cacheField>
    <cacheField name="13" numFmtId="0">
      <sharedItems containsSemiMixedTypes="0" containsString="0" containsNumber="1" minValue="0" maxValue="0.18701810502501415"/>
    </cacheField>
    <cacheField name="13.03" numFmtId="0">
      <sharedItems containsSemiMixedTypes="0" containsString="0" containsNumber="1" minValue="0" maxValue="0.42201461268785917"/>
    </cacheField>
    <cacheField name="13.14" numFmtId="0">
      <sharedItems containsSemiMixedTypes="0" containsString="0" containsNumber="1" minValue="0" maxValue="0.32699223960577301"/>
    </cacheField>
    <cacheField name="13.16" numFmtId="0">
      <sharedItems containsSemiMixedTypes="0" containsString="0" containsNumber="1" minValue="0" maxValue="2.0462856174840853"/>
    </cacheField>
    <cacheField name="13.22" numFmtId="0">
      <sharedItems containsSemiMixedTypes="0" containsString="0" containsNumber="1" minValue="0" maxValue="6.1202847704466237"/>
    </cacheField>
    <cacheField name="13.23" numFmtId="0">
      <sharedItems containsSemiMixedTypes="0" containsString="0" containsNumber="1" minValue="0" maxValue="4.9988884070129824"/>
    </cacheField>
    <cacheField name="1,1-Dimethyl-3-methylene-2-vinylcyclohexane 13.22" numFmtId="0">
      <sharedItems containsSemiMixedTypes="0" containsString="0" containsNumber="1" minValue="0" maxValue="6.1202847704466237"/>
    </cacheField>
    <cacheField name="13.25" numFmtId="0">
      <sharedItems containsSemiMixedTypes="0" containsString="0" containsNumber="1" minValue="0" maxValue="2.0684378347835959"/>
    </cacheField>
    <cacheField name="13.32" numFmtId="0">
      <sharedItems containsSemiMixedTypes="0" containsString="0" containsNumber="1" minValue="0" maxValue="1.1538447360214266"/>
    </cacheField>
    <cacheField name="13.33" numFmtId="0">
      <sharedItems containsSemiMixedTypes="0" containsString="0" containsNumber="1" minValue="0" maxValue="0.4175718698994082"/>
    </cacheField>
    <cacheField name="13.4" numFmtId="0">
      <sharedItems containsSemiMixedTypes="0" containsString="0" containsNumber="1" minValue="0" maxValue="0.4296012503884224"/>
    </cacheField>
    <cacheField name="13.41" numFmtId="0">
      <sharedItems containsSemiMixedTypes="0" containsString="0" containsNumber="1" minValue="0" maxValue="2.8443293204080811"/>
    </cacheField>
    <cacheField name="13.45" numFmtId="0">
      <sharedItems containsSemiMixedTypes="0" containsString="0" containsNumber="1" minValue="0" maxValue="1.83416600039004"/>
    </cacheField>
    <cacheField name="13.46" numFmtId="0">
      <sharedItems containsSemiMixedTypes="0" containsString="0" containsNumber="1" minValue="0" maxValue="0.5300542617919396"/>
    </cacheField>
    <cacheField name="13.54" numFmtId="0">
      <sharedItems containsSemiMixedTypes="0" containsString="0" containsNumber="1" minValue="0" maxValue="1.9352793987042427"/>
    </cacheField>
    <cacheField name="13.56" numFmtId="0">
      <sharedItems containsSemiMixedTypes="0" containsString="0" containsNumber="1" minValue="0" maxValue="0.49546906945073721"/>
    </cacheField>
    <cacheField name="13.57" numFmtId="0">
      <sharedItems containsSemiMixedTypes="0" containsString="0" containsNumber="1" minValue="0" maxValue="0.59481392635772923"/>
    </cacheField>
    <cacheField name="13.61" numFmtId="0">
      <sharedItems containsSemiMixedTypes="0" containsString="0" containsNumber="1" minValue="0" maxValue="0.26089391734976775"/>
    </cacheField>
    <cacheField name="13.62" numFmtId="0">
      <sharedItems containsSemiMixedTypes="0" containsString="0" containsNumber="1" minValue="0" maxValue="1.1419248894425733"/>
    </cacheField>
    <cacheField name="13.63" numFmtId="0">
      <sharedItems containsSemiMixedTypes="0" containsString="0" containsNumber="1" minValue="0" maxValue="1.0145716535073839"/>
    </cacheField>
    <cacheField name="13.64" numFmtId="0">
      <sharedItems containsSemiMixedTypes="0" containsString="0" containsNumber="1" minValue="0" maxValue="0.29978522678289166"/>
    </cacheField>
    <cacheField name="13.69" numFmtId="0">
      <sharedItems containsSemiMixedTypes="0" containsString="0" containsNumber="1" minValue="0" maxValue="2.027454449309336"/>
    </cacheField>
    <cacheField name="13.7" numFmtId="0">
      <sharedItems containsSemiMixedTypes="0" containsString="0" containsNumber="1" minValue="0" maxValue="0.32187478979913314"/>
    </cacheField>
    <cacheField name="13.84" numFmtId="0">
      <sharedItems containsSemiMixedTypes="0" containsString="0" containsNumber="1" minValue="0" maxValue="1.0372369030757105"/>
    </cacheField>
    <cacheField name="13.85" numFmtId="0">
      <sharedItems containsSemiMixedTypes="0" containsString="0" containsNumber="1" minValue="0" maxValue="0.22014636447438127"/>
    </cacheField>
    <cacheField name="13.93" numFmtId="0">
      <sharedItems containsSemiMixedTypes="0" containsString="0" containsNumber="1" minValue="0" maxValue="0.95789423652779604"/>
    </cacheField>
    <cacheField name="14.01" numFmtId="0">
      <sharedItems containsSemiMixedTypes="0" containsString="0" containsNumber="1" minValue="0" maxValue="0.28374964193473184"/>
    </cacheField>
    <cacheField name="14.08" numFmtId="0">
      <sharedItems containsSemiMixedTypes="0" containsString="0" containsNumber="1" minValue="0" maxValue="1.4664883208644177"/>
    </cacheField>
    <cacheField name="14.09" numFmtId="0">
      <sharedItems containsSemiMixedTypes="0" containsString="0" containsNumber="1" minValue="0" maxValue="0.80978785566639377"/>
    </cacheField>
    <cacheField name="14.15" numFmtId="0">
      <sharedItems containsSemiMixedTypes="0" containsString="0" containsNumber="1" minValue="0" maxValue="0.22951074680608288"/>
    </cacheField>
    <cacheField name="14.22" numFmtId="0">
      <sharedItems containsSemiMixedTypes="0" containsString="0" containsNumber="1" minValue="0" maxValue="1.2368122740584258"/>
    </cacheField>
    <cacheField name="14.23" numFmtId="0">
      <sharedItems containsSemiMixedTypes="0" containsString="0" containsNumber="1" minValue="0" maxValue="0.32473365997722087"/>
    </cacheField>
    <cacheField name="14.41" numFmtId="0">
      <sharedItems containsSemiMixedTypes="0" containsString="0" containsNumber="1" minValue="0" maxValue="2.8332497966026904"/>
    </cacheField>
    <cacheField name="14.42" numFmtId="0">
      <sharedItems containsSemiMixedTypes="0" containsString="0" containsNumber="1" minValue="0" maxValue="0.58053664800770455"/>
    </cacheField>
    <cacheField name="14.43" numFmtId="0">
      <sharedItems containsSemiMixedTypes="0" containsString="0" containsNumber="1" minValue="0" maxValue="0.36600954036812161"/>
    </cacheField>
    <cacheField name="14.52" numFmtId="0">
      <sharedItems containsSemiMixedTypes="0" containsString="0" containsNumber="1" minValue="0" maxValue="3.2554775658323738"/>
    </cacheField>
    <cacheField name="14.53" numFmtId="0">
      <sharedItems containsSemiMixedTypes="0" containsString="0" containsNumber="1" minValue="0" maxValue="1.7845248159177733"/>
    </cacheField>
    <cacheField name="14.54" numFmtId="0">
      <sharedItems containsSemiMixedTypes="0" containsString="0" containsNumber="1" minValue="0" maxValue="2.5792569660484288"/>
    </cacheField>
    <cacheField name="14.58" numFmtId="0">
      <sharedItems containsSemiMixedTypes="0" containsString="0" containsNumber="1" minValue="0" maxValue="0.92138372758337883"/>
    </cacheField>
    <cacheField name="14.59" numFmtId="0">
      <sharedItems containsSemiMixedTypes="0" containsString="0" containsNumber="1" minValue="0" maxValue="2.3288761995211775"/>
    </cacheField>
    <cacheField name="14.6" numFmtId="0">
      <sharedItems containsSemiMixedTypes="0" containsString="0" containsNumber="1" minValue="0" maxValue="0.50556205148840483"/>
    </cacheField>
    <cacheField name="14.62" numFmtId="0">
      <sharedItems containsSemiMixedTypes="0" containsString="0" containsNumber="1" minValue="0" maxValue="0.35681383856696042"/>
    </cacheField>
    <cacheField name="14.69" numFmtId="0">
      <sharedItems containsSemiMixedTypes="0" containsString="0" containsNumber="1" minValue="0" maxValue="2.9891354610007941"/>
    </cacheField>
    <cacheField name="14.72" numFmtId="0">
      <sharedItems containsSemiMixedTypes="0" containsString="0" containsNumber="1" minValue="0" maxValue="0.21514380064970598"/>
    </cacheField>
    <cacheField name="14.82" numFmtId="0">
      <sharedItems containsSemiMixedTypes="0" containsString="0" containsNumber="1" minValue="0" maxValue="0.56521064737282489"/>
    </cacheField>
    <cacheField name="14.83" numFmtId="0">
      <sharedItems containsSemiMixedTypes="0" containsString="0" containsNumber="1" minValue="0" maxValue="2.5594937035716607"/>
    </cacheField>
    <cacheField name="14.93" numFmtId="0">
      <sharedItems containsSemiMixedTypes="0" containsString="0" containsNumber="1" minValue="0" maxValue="0.32344148970144931"/>
    </cacheField>
    <cacheField name="15.03" numFmtId="0">
      <sharedItems containsSemiMixedTypes="0" containsString="0" containsNumber="1" minValue="0" maxValue="0.41148877332167799"/>
    </cacheField>
    <cacheField name="15.04" numFmtId="0">
      <sharedItems containsSemiMixedTypes="0" containsString="0" containsNumber="1" minValue="0" maxValue="0.88768118630811987"/>
    </cacheField>
    <cacheField name="15.05" numFmtId="0">
      <sharedItems containsSemiMixedTypes="0" containsString="0" containsNumber="1" minValue="0" maxValue="1.1523845672563349"/>
    </cacheField>
    <cacheField name="15.12" numFmtId="0">
      <sharedItems containsSemiMixedTypes="0" containsString="0" containsNumber="1" minValue="0" maxValue="0.93540595048336272"/>
    </cacheField>
    <cacheField name="15.14" numFmtId="0">
      <sharedItems containsSemiMixedTypes="0" containsString="0" containsNumber="1" minValue="0" maxValue="0.34960745862138487"/>
    </cacheField>
    <cacheField name="15.2" numFmtId="0">
      <sharedItems containsSemiMixedTypes="0" containsString="0" containsNumber="1" minValue="0" maxValue="0.40880020097022168"/>
    </cacheField>
    <cacheField name="15.27" numFmtId="0">
      <sharedItems containsSemiMixedTypes="0" containsString="0" containsNumber="1" minValue="0" maxValue="0.34964995071300026"/>
    </cacheField>
    <cacheField name="15.28" numFmtId="0">
      <sharedItems containsSemiMixedTypes="0" containsString="0" containsNumber="1" minValue="0" maxValue="1.196163320861964"/>
    </cacheField>
    <cacheField name="15.34" numFmtId="0">
      <sharedItems containsSemiMixedTypes="0" containsString="0" containsNumber="1" minValue="0" maxValue="5.8097528925816002"/>
    </cacheField>
    <cacheField name="15.35" numFmtId="0">
      <sharedItems containsSemiMixedTypes="0" containsString="0" containsNumber="1" minValue="0" maxValue="0.99931396510243353"/>
    </cacheField>
    <cacheField name="15.4" numFmtId="0">
      <sharedItems containsSemiMixedTypes="0" containsString="0" containsNumber="1" minValue="0" maxValue="0.62221226474147651"/>
    </cacheField>
    <cacheField name="15.41" numFmtId="0">
      <sharedItems containsSemiMixedTypes="0" containsString="0" containsNumber="1" minValue="0" maxValue="1.0024172614040354"/>
    </cacheField>
    <cacheField name="15.42" numFmtId="0">
      <sharedItems containsSemiMixedTypes="0" containsString="0" containsNumber="1" minValue="0" maxValue="0.7174654269951195"/>
    </cacheField>
    <cacheField name="15.47" numFmtId="0">
      <sharedItems containsSemiMixedTypes="0" containsString="0" containsNumber="1" minValue="0" maxValue="0.80392330787262312"/>
    </cacheField>
    <cacheField name="15.52" numFmtId="0">
      <sharedItems containsSemiMixedTypes="0" containsString="0" containsNumber="1" minValue="0" maxValue="1.9666142823822925"/>
    </cacheField>
    <cacheField name="15.53" numFmtId="0">
      <sharedItems containsSemiMixedTypes="0" containsString="0" containsNumber="1" minValue="0" maxValue="0.82784946183672681"/>
    </cacheField>
    <cacheField name="15.54" numFmtId="0">
      <sharedItems containsSemiMixedTypes="0" containsString="0" containsNumber="1" minValue="0" maxValue="0.38442926579855857"/>
    </cacheField>
    <cacheField name="15.55" numFmtId="0">
      <sharedItems containsSemiMixedTypes="0" containsString="0" containsNumber="1" minValue="0" maxValue="1.2064399036312494"/>
    </cacheField>
    <cacheField name="15.57" numFmtId="0">
      <sharedItems containsSemiMixedTypes="0" containsString="0" containsNumber="1" minValue="0" maxValue="0.52640309883158043"/>
    </cacheField>
    <cacheField name="15.58" numFmtId="0">
      <sharedItems containsSemiMixedTypes="0" containsString="0" containsNumber="1" minValue="0" maxValue="1.4428734406749466"/>
    </cacheField>
    <cacheField name="15.6" numFmtId="0">
      <sharedItems containsSemiMixedTypes="0" containsString="0" containsNumber="1" minValue="0" maxValue="1.0112193827973699"/>
    </cacheField>
    <cacheField name="15.64" numFmtId="0">
      <sharedItems containsSemiMixedTypes="0" containsString="0" containsNumber="1" minValue="0" maxValue="0.24312349601094188"/>
    </cacheField>
    <cacheField name="15.71" numFmtId="0">
      <sharedItems containsSemiMixedTypes="0" containsString="0" containsNumber="1" minValue="0" maxValue="2.0134697664432535"/>
    </cacheField>
    <cacheField name="15.72" numFmtId="0">
      <sharedItems containsSemiMixedTypes="0" containsString="0" containsNumber="1" minValue="0" maxValue="0.29359836343171392"/>
    </cacheField>
    <cacheField name="15.87" numFmtId="0">
      <sharedItems containsSemiMixedTypes="0" containsString="0" containsNumber="1" minValue="0" maxValue="5.0150587697218771"/>
    </cacheField>
    <cacheField name="15.88" numFmtId="0">
      <sharedItems containsSemiMixedTypes="0" containsString="0" containsNumber="1" minValue="0" maxValue="10.193543719706515"/>
    </cacheField>
    <cacheField name="Decanal" numFmtId="0">
      <sharedItems containsSemiMixedTypes="0" containsString="0" containsNumber="1" minValue="0.7578904618011435" maxValue="10.193543719706515"/>
    </cacheField>
    <cacheField name="16.11" numFmtId="0">
      <sharedItems containsSemiMixedTypes="0" containsString="0" containsNumber="1" minValue="0" maxValue="0.23213207960465679"/>
    </cacheField>
    <cacheField name="16.12" numFmtId="0">
      <sharedItems containsSemiMixedTypes="0" containsString="0" containsNumber="1" minValue="0" maxValue="1.2285288773078784"/>
    </cacheField>
    <cacheField name="16.29" numFmtId="0">
      <sharedItems containsSemiMixedTypes="0" containsString="0" containsNumber="1" minValue="0" maxValue="0.26065277329342545"/>
    </cacheField>
    <cacheField name="16.34" numFmtId="0">
      <sharedItems containsSemiMixedTypes="0" containsString="0" containsNumber="1" minValue="0" maxValue="0.32974288964874937"/>
    </cacheField>
    <cacheField name="16.35" numFmtId="0">
      <sharedItems containsSemiMixedTypes="0" containsString="0" containsNumber="1" minValue="0" maxValue="0.327190157879722"/>
    </cacheField>
    <cacheField name="16.66" numFmtId="0">
      <sharedItems containsSemiMixedTypes="0" containsString="0" containsNumber="1" minValue="0" maxValue="2.3733116972527348"/>
    </cacheField>
    <cacheField name="16.67" numFmtId="0">
      <sharedItems containsSemiMixedTypes="0" containsString="0" containsNumber="1" minValue="0" maxValue="0.91845103495472935"/>
    </cacheField>
    <cacheField name="Octyl iodide - 16.67" numFmtId="0">
      <sharedItems containsSemiMixedTypes="0" containsString="0" containsNumber="1" minValue="0" maxValue="2.3733116972527348"/>
    </cacheField>
    <cacheField name="16.76" numFmtId="0">
      <sharedItems containsSemiMixedTypes="0" containsString="0" containsNumber="1" minValue="0" maxValue="4.7626748480926588"/>
    </cacheField>
    <cacheField name="16.77" numFmtId="0">
      <sharedItems containsSemiMixedTypes="0" containsString="0" containsNumber="1" minValue="0" maxValue="3.3282717323092967"/>
    </cacheField>
    <cacheField name="cis-3-Hexenyl isovalerate" numFmtId="0">
      <sharedItems containsSemiMixedTypes="0" containsString="0" containsNumber="1" minValue="0" maxValue="4.7626748480926588"/>
    </cacheField>
    <cacheField name="16.96" numFmtId="0">
      <sharedItems containsSemiMixedTypes="0" containsString="0" containsNumber="1" minValue="0" maxValue="4.4111556727701728"/>
    </cacheField>
    <cacheField name="16.97" numFmtId="0">
      <sharedItems containsSemiMixedTypes="0" containsString="0" containsNumber="1" minValue="0" maxValue="2.6378231329128825"/>
    </cacheField>
    <cacheField name="16.98" numFmtId="0">
      <sharedItems containsSemiMixedTypes="0" containsString="0" containsNumber="1" minValue="0" maxValue="7.600429492731382"/>
    </cacheField>
    <cacheField name="16.99" numFmtId="0">
      <sharedItems containsSemiMixedTypes="0" containsString="0" containsNumber="1" minValue="0" maxValue="10.638890404884227"/>
    </cacheField>
    <cacheField name="17" numFmtId="0">
      <sharedItems containsSemiMixedTypes="0" containsString="0" containsNumber="1" minValue="0" maxValue="8.4179765962173416"/>
    </cacheField>
    <cacheField name="17.01" numFmtId="0">
      <sharedItems containsSemiMixedTypes="0" containsString="0" containsNumber="1" minValue="0" maxValue="32.741152348587761"/>
    </cacheField>
    <cacheField name="17.02" numFmtId="0">
      <sharedItems containsSemiMixedTypes="0" containsString="0" containsNumber="1" minValue="0" maxValue="12.120494063684399"/>
    </cacheField>
    <cacheField name="17.03" numFmtId="0">
      <sharedItems containsSemiMixedTypes="0" containsString="0" containsNumber="1" minValue="0" maxValue="8.6573603018290495"/>
    </cacheField>
    <cacheField name="17.06" numFmtId="0">
      <sharedItems containsSemiMixedTypes="0" containsString="0" containsNumber="1" minValue="0" maxValue="19.998391967068709"/>
    </cacheField>
    <cacheField name="17.07" numFmtId="0">
      <sharedItems containsSemiMixedTypes="0" containsString="0" containsNumber="1" minValue="0" maxValue="17.962244407718519"/>
    </cacheField>
    <cacheField name="17.08" numFmtId="0">
      <sharedItems containsSemiMixedTypes="0" containsString="0" containsNumber="1" minValue="0" maxValue="3.5145906360794821"/>
    </cacheField>
    <cacheField name="17.09" numFmtId="0">
      <sharedItems containsSemiMixedTypes="0" containsString="0" containsNumber="1" minValue="0" maxValue="25.026451158485489"/>
    </cacheField>
    <cacheField name="17.12" numFmtId="0">
      <sharedItems containsSemiMixedTypes="0" containsString="0" containsNumber="1" minValue="0" maxValue="63.304287340506683"/>
    </cacheField>
    <cacheField name="17.14" numFmtId="0">
      <sharedItems containsSemiMixedTypes="0" containsString="0" containsNumber="1" minValue="0" maxValue="32.306288048222271"/>
    </cacheField>
    <cacheField name="17.15" numFmtId="0">
      <sharedItems containsSemiMixedTypes="0" containsString="0" containsNumber="1" minValue="0" maxValue="40.373017055718705"/>
    </cacheField>
    <cacheField name="17.2" numFmtId="0">
      <sharedItems containsSemiMixedTypes="0" containsString="0" containsNumber="1" minValue="0" maxValue="68.025942300405632"/>
    </cacheField>
    <cacheField name="17.21" numFmtId="0">
      <sharedItems containsSemiMixedTypes="0" containsString="0" containsNumber="1" minValue="0" maxValue="0.56132221301780794"/>
    </cacheField>
    <cacheField name="17.28" numFmtId="0">
      <sharedItems containsSemiMixedTypes="0" containsString="0" containsNumber="1" minValue="0" maxValue="0.50356133785808843"/>
    </cacheField>
    <cacheField name="17.29" numFmtId="0">
      <sharedItems containsSemiMixedTypes="0" containsString="0" containsNumber="1" minValue="0" maxValue="0.97178101826565788"/>
    </cacheField>
    <cacheField name="17.36" numFmtId="0">
      <sharedItems containsSemiMixedTypes="0" containsString="0" containsNumber="1" minValue="0" maxValue="0.36460447820016734"/>
    </cacheField>
    <cacheField name="17.37" numFmtId="0">
      <sharedItems containsSemiMixedTypes="0" containsString="0" containsNumber="1" minValue="0" maxValue="0.22652773777447124"/>
    </cacheField>
    <cacheField name="17.38" numFmtId="0">
      <sharedItems containsSemiMixedTypes="0" containsString="0" containsNumber="1" minValue="0" maxValue="0.57815126482083912"/>
    </cacheField>
    <cacheField name="17.45" numFmtId="0">
      <sharedItems containsSemiMixedTypes="0" containsString="0" containsNumber="1" minValue="0" maxValue="18.770382684429727"/>
    </cacheField>
    <cacheField name="17.46" numFmtId="0">
      <sharedItems containsSemiMixedTypes="0" containsString="0" containsNumber="1" minValue="0" maxValue="5.3409693946101733"/>
    </cacheField>
    <cacheField name="17.47" numFmtId="0">
      <sharedItems containsSemiMixedTypes="0" containsString="0" containsNumber="1" minValue="0" maxValue="2.390512734077479"/>
    </cacheField>
    <cacheField name="17.48" numFmtId="0">
      <sharedItems containsSemiMixedTypes="0" containsString="0" containsNumber="1" minValue="0" maxValue="0.32962267703467735"/>
    </cacheField>
    <cacheField name="17.49" numFmtId="0">
      <sharedItems containsSemiMixedTypes="0" containsString="0" containsNumber="1" minValue="0" maxValue="1.3807263911146745"/>
    </cacheField>
    <cacheField name="trans-2-Decenal - 17.47" numFmtId="0">
      <sharedItems containsSemiMixedTypes="0" containsString="0" containsNumber="1" minValue="0" maxValue="18.770382684429727"/>
    </cacheField>
    <cacheField name="17.5" numFmtId="0">
      <sharedItems containsSemiMixedTypes="0" containsString="0" containsNumber="1" minValue="0" maxValue="0.54379567898618486"/>
    </cacheField>
    <cacheField name="17.54" numFmtId="0">
      <sharedItems containsSemiMixedTypes="0" containsString="0" containsNumber="1" minValue="0" maxValue="0.47913103253777856"/>
    </cacheField>
    <cacheField name="17.55" numFmtId="0">
      <sharedItems containsSemiMixedTypes="0" containsString="0" containsNumber="1" minValue="0" maxValue="2.2846221992513907"/>
    </cacheField>
    <cacheField name="17.56" numFmtId="0">
      <sharedItems containsSemiMixedTypes="0" containsString="0" containsNumber="1" minValue="0" maxValue="1.029568832278138"/>
    </cacheField>
    <cacheField name="17.57" numFmtId="0">
      <sharedItems containsSemiMixedTypes="0" containsString="0" containsNumber="1" minValue="0" maxValue="0.54935991174816889"/>
    </cacheField>
    <cacheField name="17.69" numFmtId="0">
      <sharedItems containsSemiMixedTypes="0" containsString="0" containsNumber="1" minValue="0" maxValue="0.427544282150016"/>
    </cacheField>
    <cacheField name="17.7" numFmtId="0">
      <sharedItems containsSemiMixedTypes="0" containsString="0" containsNumber="1" minValue="0" maxValue="0.66704444179377498"/>
    </cacheField>
    <cacheField name="17.71" numFmtId="0">
      <sharedItems containsSemiMixedTypes="0" containsString="0" containsNumber="1" minValue="0" maxValue="1.1488441601304611"/>
    </cacheField>
    <cacheField name="17.72" numFmtId="0">
      <sharedItems containsSemiMixedTypes="0" containsString="0" containsNumber="1" minValue="0" maxValue="0.40653808274255976"/>
    </cacheField>
    <cacheField name="17.73" numFmtId="0">
      <sharedItems containsSemiMixedTypes="0" containsString="0" containsNumber="1" minValue="0" maxValue="0.781592640877943"/>
    </cacheField>
    <cacheField name="17.77" numFmtId="0">
      <sharedItems containsSemiMixedTypes="0" containsString="0" containsNumber="1" minValue="0" maxValue="4.0097687838925786"/>
    </cacheField>
    <cacheField name="17.8" numFmtId="0">
      <sharedItems containsSemiMixedTypes="0" containsString="0" containsNumber="1" minValue="0" maxValue="4.0875580394695881"/>
    </cacheField>
    <cacheField name="17.81" numFmtId="0">
      <sharedItems containsSemiMixedTypes="0" containsString="0" containsNumber="1" minValue="0" maxValue="2.1110164845917772"/>
    </cacheField>
    <cacheField name="17.91" numFmtId="0">
      <sharedItems containsSemiMixedTypes="0" containsString="0" containsNumber="1" minValue="0" maxValue="0.75068354520214287"/>
    </cacheField>
    <cacheField name="17.92" numFmtId="0">
      <sharedItems containsSemiMixedTypes="0" containsString="0" containsNumber="1" minValue="0" maxValue="1.0303848378038181"/>
    </cacheField>
    <cacheField name="17.93" numFmtId="0">
      <sharedItems containsSemiMixedTypes="0" containsString="0" containsNumber="1" minValue="0" maxValue="0.55197480436995716"/>
    </cacheField>
    <cacheField name="18" numFmtId="0">
      <sharedItems containsSemiMixedTypes="0" containsString="0" containsNumber="1" minValue="0" maxValue="0.46400816241483578"/>
    </cacheField>
    <cacheField name="18.01" numFmtId="0">
      <sharedItems containsSemiMixedTypes="0" containsString="0" containsNumber="1" minValue="0" maxValue="0.45223941189800954"/>
    </cacheField>
    <cacheField name="18.02" numFmtId="0">
      <sharedItems containsSemiMixedTypes="0" containsString="0" containsNumber="1" minValue="0" maxValue="0.29397752654220299"/>
    </cacheField>
    <cacheField name="18.04" numFmtId="0">
      <sharedItems containsSemiMixedTypes="0" containsString="0" containsNumber="1" minValue="0" maxValue="0.39592738184388249"/>
    </cacheField>
    <cacheField name="18.05" numFmtId="0">
      <sharedItems containsSemiMixedTypes="0" containsString="0" containsNumber="1" minValue="0" maxValue="1.2012114560289149"/>
    </cacheField>
    <cacheField name="18.06" numFmtId="0">
      <sharedItems containsSemiMixedTypes="0" containsString="0" containsNumber="1" minValue="0" maxValue="2.9687522859456887"/>
    </cacheField>
    <cacheField name="18.07" numFmtId="0">
      <sharedItems containsSemiMixedTypes="0" containsString="0" containsNumber="1" minValue="0" maxValue="0.3266648849422803"/>
    </cacheField>
    <cacheField name="18.14" numFmtId="0">
      <sharedItems containsSemiMixedTypes="0" containsString="0" containsNumber="1" minValue="0" maxValue="0.36471190553509142"/>
    </cacheField>
    <cacheField name="18.3" numFmtId="0">
      <sharedItems containsSemiMixedTypes="0" containsString="0" containsNumber="1" minValue="0" maxValue="0.67228808966930753"/>
    </cacheField>
    <cacheField name="18.31" numFmtId="0">
      <sharedItems containsSemiMixedTypes="0" containsString="0" containsNumber="1" minValue="0" maxValue="1.4766548677767668"/>
    </cacheField>
    <cacheField name=".Z-6-Tridecene - 18.3" numFmtId="0">
      <sharedItems containsSemiMixedTypes="0" containsString="0" containsNumber="1" minValue="0" maxValue="1.4766548677767668"/>
    </cacheField>
    <cacheField name="18.38" numFmtId="0">
      <sharedItems containsSemiMixedTypes="0" containsString="0" containsNumber="1" minValue="0" maxValue="0.27289483785686303"/>
    </cacheField>
    <cacheField name="18.41" numFmtId="0">
      <sharedItems containsSemiMixedTypes="0" containsString="0" containsNumber="1" minValue="0" maxValue="0.27335338056608055"/>
    </cacheField>
    <cacheField name="18.43" numFmtId="0">
      <sharedItems containsSemiMixedTypes="0" containsString="0" containsNumber="1" minValue="0" maxValue="0.28025719128607801"/>
    </cacheField>
    <cacheField name="18.44" numFmtId="0">
      <sharedItems containsSemiMixedTypes="0" containsString="0" containsNumber="1" minValue="0" maxValue="0.26007474086390936"/>
    </cacheField>
    <cacheField name="18.45" numFmtId="0">
      <sharedItems containsSemiMixedTypes="0" containsString="0" containsNumber="1" minValue="0" maxValue="0.31474929663735862"/>
    </cacheField>
    <cacheField name="18.46" numFmtId="0">
      <sharedItems containsSemiMixedTypes="0" containsString="0" containsNumber="1" minValue="0" maxValue="0.47191728277482159"/>
    </cacheField>
    <cacheField name="18.47" numFmtId="0">
      <sharedItems containsSemiMixedTypes="0" containsString="0" containsNumber="1" minValue="0" maxValue="1.3013857838420335"/>
    </cacheField>
    <cacheField name="18.53" numFmtId="0">
      <sharedItems containsSemiMixedTypes="0" containsString="0" containsNumber="1" minValue="0" maxValue="1.3370986024326001"/>
    </cacheField>
    <cacheField name="18.72" numFmtId="0">
      <sharedItems containsSemiMixedTypes="0" containsString="0" containsNumber="1" minValue="0" maxValue="0.67154175968678809"/>
    </cacheField>
    <cacheField name="18.73" numFmtId="0">
      <sharedItems containsSemiMixedTypes="0" containsString="0" containsNumber="1" minValue="0" maxValue="2.1134921438950891"/>
    </cacheField>
    <cacheField name="18.74" numFmtId="0">
      <sharedItems containsSemiMixedTypes="0" containsString="0" containsNumber="1" minValue="0" maxValue="0.78345643706759049"/>
    </cacheField>
    <cacheField name="Cumene… - 18.73" numFmtId="0">
      <sharedItems containsSemiMixedTypes="0" containsString="0" containsNumber="1" minValue="0" maxValue="2.1134921438950891"/>
    </cacheField>
    <cacheField name="18.84" numFmtId="0">
      <sharedItems containsSemiMixedTypes="0" containsString="0" containsNumber="1" minValue="0" maxValue="4.615384615384615"/>
    </cacheField>
    <cacheField name="18.85" numFmtId="0">
      <sharedItems containsSemiMixedTypes="0" containsString="0" containsNumber="1" minValue="0" maxValue="2.0215633423180592"/>
    </cacheField>
    <cacheField name="IS - 18.84" numFmtId="0">
      <sharedItems containsSemiMixedTypes="0" containsString="0" containsNumber="1" minValue="0.56074766355140182" maxValue="4.615384615384615"/>
    </cacheField>
    <cacheField name="18.91" numFmtId="0">
      <sharedItems containsSemiMixedTypes="0" containsString="0" containsNumber="1" minValue="0" maxValue="0.23293781708314795"/>
    </cacheField>
    <cacheField name="19.21" numFmtId="0">
      <sharedItems containsSemiMixedTypes="0" containsString="0" containsNumber="1" minValue="0" maxValue="0.36361174456696194"/>
    </cacheField>
    <cacheField name="19.41" numFmtId="0">
      <sharedItems containsSemiMixedTypes="0" containsString="0" containsNumber="1" minValue="0" maxValue="0.43305179342657502"/>
    </cacheField>
    <cacheField name="19.56" numFmtId="0">
      <sharedItems containsSemiMixedTypes="0" containsString="0" containsNumber="1" minValue="0" maxValue="0.2906322743352609"/>
    </cacheField>
    <cacheField name="19.57" numFmtId="0">
      <sharedItems containsSemiMixedTypes="0" containsString="0" containsNumber="1" minValue="0" maxValue="0.26101462624960231"/>
    </cacheField>
    <cacheField name="19.63" numFmtId="0">
      <sharedItems containsSemiMixedTypes="0" containsString="0" containsNumber="1" minValue="0" maxValue="0.28613688303379559"/>
    </cacheField>
    <cacheField name="20.22" numFmtId="0">
      <sharedItems containsSemiMixedTypes="0" containsString="0" containsNumber="1" minValue="0" maxValue="4.4867588908418714"/>
    </cacheField>
    <cacheField name="20.23" numFmtId="0">
      <sharedItems containsSemiMixedTypes="0" containsString="0" containsNumber="1" minValue="0" maxValue="1.3794924135227786"/>
    </cacheField>
    <cacheField name="20.24" numFmtId="0">
      <sharedItems containsSemiMixedTypes="0" containsString="0" containsNumber="1" minValue="0" maxValue="0.28451404426921806"/>
    </cacheField>
    <cacheField name="? - 20.23" numFmtId="0">
      <sharedItems containsSemiMixedTypes="0" containsString="0" containsNumber="1" minValue="0" maxValue="4.4867588908418714"/>
    </cacheField>
    <cacheField name="20.57" numFmtId="0">
      <sharedItems containsSemiMixedTypes="0" containsString="0" containsNumber="1" minValue="0" maxValue="0.57132895010049467"/>
    </cacheField>
    <cacheField name="20.62" numFmtId="0">
      <sharedItems containsSemiMixedTypes="0" containsString="0" containsNumber="1" minValue="0" maxValue="0.55329580988796756"/>
    </cacheField>
    <cacheField name="20.65" numFmtId="0">
      <sharedItems containsSemiMixedTypes="0" containsString="0" containsNumber="1" minValue="0" maxValue="0.79803548183984618"/>
    </cacheField>
    <cacheField name="20.66" numFmtId="0">
      <sharedItems containsSemiMixedTypes="0" containsString="0" containsNumber="1" minValue="0" maxValue="0.97267882473608569"/>
    </cacheField>
    <cacheField name="20.88" numFmtId="0">
      <sharedItems containsSemiMixedTypes="0" containsString="0" containsNumber="1" minValue="0" maxValue="0.29765053153137805"/>
    </cacheField>
    <cacheField name="20.89" numFmtId="0">
      <sharedItems containsSemiMixedTypes="0" containsString="0" containsNumber="1" minValue="0" maxValue="0.58022015173422015"/>
    </cacheField>
    <cacheField name="20.96" numFmtId="0">
      <sharedItems containsSemiMixedTypes="0" containsString="0" containsNumber="1" minValue="0" maxValue="0.3320264943640297"/>
    </cacheField>
    <cacheField name="20.97" numFmtId="0">
      <sharedItems containsSemiMixedTypes="0" containsString="0" containsNumber="1" minValue="0" maxValue="1.1059619037131418"/>
    </cacheField>
    <cacheField name="Tridecene - 20.97" numFmtId="0">
      <sharedItems containsSemiMixedTypes="0" containsString="0" containsNumber="1" minValue="0" maxValue="1.1059619037131418"/>
    </cacheField>
    <cacheField name="21.17" numFmtId="0">
      <sharedItems containsSemiMixedTypes="0" containsString="0" containsNumber="1" minValue="0" maxValue="0.5201390898268371"/>
    </cacheField>
    <cacheField name="21.18" numFmtId="0">
      <sharedItems containsSemiMixedTypes="0" containsString="0" containsNumber="1" minValue="0" maxValue="0.73926459315138859"/>
    </cacheField>
    <cacheField name="21.32" numFmtId="0">
      <sharedItems containsSemiMixedTypes="0" containsString="0" containsNumber="1" minValue="0" maxValue="0.50353511858246214"/>
    </cacheField>
    <cacheField name="21.4" numFmtId="0">
      <sharedItems containsSemiMixedTypes="0" containsString="0" containsNumber="1" minValue="0" maxValue="1.1953804485760655"/>
    </cacheField>
    <cacheField name="21.41" numFmtId="0">
      <sharedItems containsSemiMixedTypes="0" containsString="0" containsNumber="1" minValue="0" maxValue="0.50726141471525954"/>
    </cacheField>
    <cacheField name="21.69" numFmtId="0">
      <sharedItems containsSemiMixedTypes="0" containsString="0" containsNumber="1" minValue="0" maxValue="2.1356922445316773"/>
    </cacheField>
    <cacheField name="21.7" numFmtId="0">
      <sharedItems containsSemiMixedTypes="0" containsString="0" containsNumber="1" minValue="0" maxValue="0.37172661874853247"/>
    </cacheField>
    <cacheField name="22.51" numFmtId="0">
      <sharedItems containsSemiMixedTypes="0" containsString="0" containsNumber="1" minValue="0" maxValue="0.81087817174699206"/>
    </cacheField>
    <cacheField name="22.73" numFmtId="0">
      <sharedItems containsSemiMixedTypes="0" containsString="0" containsNumber="1" minValue="0" maxValue="0.26677941699994845"/>
    </cacheField>
    <cacheField name="23.01" numFmtId="0">
      <sharedItems containsSemiMixedTypes="0" containsString="0" containsNumber="1" minValue="0" maxValue="0.48238499879293406"/>
    </cacheField>
    <cacheField name="23.47" numFmtId="0">
      <sharedItems containsSemiMixedTypes="0" containsString="0" containsNumber="1" minValue="0" maxValue="0.98261884439367675"/>
    </cacheField>
    <cacheField name="23.48" numFmtId="0">
      <sharedItems containsSemiMixedTypes="0" containsString="0" containsNumber="1" minValue="0" maxValue="2.046145915333955"/>
    </cacheField>
    <cacheField name="Hexadecene - 23.48" numFmtId="0">
      <sharedItems containsSemiMixedTypes="0" containsString="0" containsNumber="1" minValue="0" maxValue="2.046145915333955"/>
    </cacheField>
    <cacheField name="23.66" numFmtId="0">
      <sharedItems containsSemiMixedTypes="0" containsString="0" containsNumber="1" minValue="0" maxValue="1.7047284228382455"/>
    </cacheField>
    <cacheField name="23.67" numFmtId="0">
      <sharedItems containsSemiMixedTypes="0" containsString="0" containsNumber="1" minValue="0" maxValue="0.72178182837786309"/>
    </cacheField>
    <cacheField name="Farnesan - 23.66" numFmtId="0">
      <sharedItems containsSemiMixedTypes="0" containsString="0" containsNumber="1" minValue="0" maxValue="1.7047284228382455"/>
    </cacheField>
    <cacheField name="23.77" numFmtId="0">
      <sharedItems containsSemiMixedTypes="0" containsString="0" containsNumber="1" minValue="0" maxValue="0.38860179282661916"/>
    </cacheField>
    <cacheField name="23.85" numFmtId="0">
      <sharedItems containsSemiMixedTypes="0" containsString="0" containsNumber="1" minValue="0" maxValue="0.86596912472033116"/>
    </cacheField>
    <cacheField name="23.92" numFmtId="0">
      <sharedItems containsSemiMixedTypes="0" containsString="0" containsNumber="1" minValue="0" maxValue="0.63688917258204614"/>
    </cacheField>
    <cacheField name="23.93" numFmtId="0">
      <sharedItems containsSemiMixedTypes="0" containsString="0" containsNumber="1" minValue="0" maxValue="0.31154625961146037"/>
    </cacheField>
    <cacheField name="tridecanal - 23.92" numFmtId="0">
      <sharedItems containsSemiMixedTypes="0" containsString="0" containsNumber="1" minValue="0" maxValue="0.63688917258204614"/>
    </cacheField>
    <cacheField name="24.04" numFmtId="0">
      <sharedItems containsSemiMixedTypes="0" containsString="0" containsNumber="1" minValue="0" maxValue="0.66868161183242403"/>
    </cacheField>
    <cacheField name="24.26" numFmtId="0">
      <sharedItems containsSemiMixedTypes="0" containsString="0" containsNumber="1" minValue="0" maxValue="0.45559503677222674"/>
    </cacheField>
    <cacheField name="24.35" numFmtId="0">
      <sharedItems containsSemiMixedTypes="0" containsString="0" containsNumber="1" minValue="0" maxValue="0.92027100624270708"/>
    </cacheField>
    <cacheField name="24.36" numFmtId="0">
      <sharedItems containsSemiMixedTypes="0" containsString="0" containsNumber="1" minValue="0" maxValue="0.74349733115258398"/>
    </cacheField>
    <cacheField name="25.37" numFmtId="0">
      <sharedItems containsSemiMixedTypes="0" containsString="0" containsNumber="1" minValue="0" maxValue="0.23474052966505124"/>
    </cacheField>
    <cacheField name="25.38" numFmtId="0">
      <sharedItems containsSemiMixedTypes="0" containsString="0" containsNumber="1" minValue="0" maxValue="0.67799201023929989"/>
    </cacheField>
    <cacheField name="25.45" numFmtId="0">
      <sharedItems containsSemiMixedTypes="0" containsString="0" containsNumber="1" minValue="0" maxValue="0.4045237469328738"/>
    </cacheField>
    <cacheField name="25.67" numFmtId="0">
      <sharedItems containsSemiMixedTypes="0" containsString="0" containsNumber="1" minValue="0" maxValue="0.46619825755595379"/>
    </cacheField>
    <cacheField name="25.76" numFmtId="0">
      <sharedItems containsSemiMixedTypes="0" containsString="0" containsNumber="1" minValue="0" maxValue="0.86331723645056269"/>
    </cacheField>
    <cacheField name="25.85" numFmtId="0">
      <sharedItems containsSemiMixedTypes="0" containsString="0" containsNumber="1" minValue="0" maxValue="0.67639588104912896"/>
    </cacheField>
    <cacheField name="25.91" numFmtId="0">
      <sharedItems containsSemiMixedTypes="0" containsString="0" containsNumber="1" minValue="0" maxValue="4.9460963433019227"/>
    </cacheField>
    <cacheField name="25.92" numFmtId="0">
      <sharedItems containsSemiMixedTypes="0" containsString="0" containsNumber="1" minValue="0" maxValue="0.31130112914999419"/>
    </cacheField>
    <cacheField name="26.01" numFmtId="0">
      <sharedItems containsSemiMixedTypes="0" containsString="0" containsNumber="1" minValue="0" maxValue="0.60814744136077781"/>
    </cacheField>
    <cacheField name="26.02" numFmtId="0">
      <sharedItems containsSemiMixedTypes="0" containsString="0" containsNumber="1" minValue="0" maxValue="0.71242866127878113"/>
    </cacheField>
    <cacheField name="26.12" numFmtId="0">
      <sharedItems containsSemiMixedTypes="0" containsString="0" containsNumber="1" minValue="0" maxValue="1.9803115389531669"/>
    </cacheField>
    <cacheField name="26.28" numFmtId="0">
      <sharedItems containsSemiMixedTypes="0" containsString="0" containsNumber="1" minValue="0" maxValue="0.33129943963807729"/>
    </cacheField>
    <cacheField name="26.29" numFmtId="0">
      <sharedItems containsSemiMixedTypes="0" containsString="0" containsNumber="1" minValue="0" maxValue="0.21168839432604858"/>
    </cacheField>
    <cacheField name="26.52" numFmtId="0">
      <sharedItems containsSemiMixedTypes="0" containsString="0" containsNumber="1" minValue="0" maxValue="0.2594196649113073"/>
    </cacheField>
    <cacheField name="26.56" numFmtId="0">
      <sharedItems containsSemiMixedTypes="0" containsString="0" containsNumber="1" minValue="0" maxValue="0.68552271253410135"/>
    </cacheField>
    <cacheField name="27.12" numFmtId="0">
      <sharedItems containsSemiMixedTypes="0" containsString="0" containsNumber="1" minValue="0" maxValue="0.44833694525365742"/>
    </cacheField>
    <cacheField name="27.25" numFmtId="0">
      <sharedItems containsSemiMixedTypes="0" containsString="0" containsNumber="1" minValue="0" maxValue="0.56462447808424177"/>
    </cacheField>
    <cacheField name="Hexadecanol - 27.43" numFmtId="0">
      <sharedItems containsSemiMixedTypes="0" containsString="0" containsNumber="1" minValue="0" maxValue="0.58572613570346099"/>
    </cacheField>
    <cacheField name="27.51" numFmtId="0">
      <sharedItems containsSemiMixedTypes="0" containsString="0" containsNumber="1" minValue="0" maxValue="1.1673167465284218"/>
    </cacheField>
    <cacheField name="27.66" numFmtId="0">
      <sharedItems containsSemiMixedTypes="0" containsString="0" containsNumber="1" minValue="0" maxValue="0.46355953628230218"/>
    </cacheField>
    <cacheField name="27.67" numFmtId="0">
      <sharedItems containsSemiMixedTypes="0" containsString="0" containsNumber="1" minValue="0" maxValue="0.54032139143817082"/>
    </cacheField>
    <cacheField name="27.97" numFmtId="0">
      <sharedItems containsSemiMixedTypes="0" containsString="0" containsNumber="1" minValue="0" maxValue="3.1130942961980059"/>
    </cacheField>
    <cacheField name="28.18" numFmtId="0">
      <sharedItems containsSemiMixedTypes="0" containsString="0" containsNumber="1" minValue="0" maxValue="0.34256452934610498"/>
    </cacheField>
    <cacheField name="28.48" numFmtId="0">
      <sharedItems containsSemiMixedTypes="0" containsString="0" containsNumber="1" minValue="0" maxValue="30.065838204257332"/>
    </cacheField>
    <cacheField name="28.49" numFmtId="0">
      <sharedItems containsSemiMixedTypes="0" containsString="0" containsNumber="1" minValue="0" maxValue="4.3303754936204131"/>
    </cacheField>
    <cacheField name="2-Ethylhexyl salicylate" numFmtId="0">
      <sharedItems containsSemiMixedTypes="0" containsString="0" containsNumber="1" minValue="1.8019732625363687" maxValue="30.065838204257332"/>
    </cacheField>
    <cacheField name="28.53" numFmtId="0">
      <sharedItems containsSemiMixedTypes="0" containsString="0" containsNumber="1" minValue="0" maxValue="0.98399296406759029"/>
    </cacheField>
    <cacheField name="28.55" numFmtId="0">
      <sharedItems containsSemiMixedTypes="0" containsString="0" containsNumber="1" minValue="0" maxValue="0.88755394297021373"/>
    </cacheField>
    <cacheField name="28.59" numFmtId="0">
      <sharedItems containsSemiMixedTypes="0" containsString="0" containsNumber="1" minValue="0" maxValue="1.7948283994506395"/>
    </cacheField>
    <cacheField name="28.6" numFmtId="0">
      <sharedItems containsSemiMixedTypes="0" containsString="0" containsNumber="1" minValue="0" maxValue="0.72190449760002007"/>
    </cacheField>
    <cacheField name="28.62" numFmtId="0">
      <sharedItems containsSemiMixedTypes="0" containsString="0" containsNumber="1" minValue="0" maxValue="0.7129347936266357"/>
    </cacheField>
    <cacheField name="28.64" numFmtId="0">
      <sharedItems containsSemiMixedTypes="0" containsString="0" containsNumber="1" minValue="0" maxValue="0.83803452044666715"/>
    </cacheField>
    <cacheField name="28.65" numFmtId="0">
      <sharedItems containsSemiMixedTypes="0" containsString="0" containsNumber="1" minValue="0" maxValue="1.2175536711953818"/>
    </cacheField>
    <cacheField name="Hexahydrofarnesyl acetone - 28.73" numFmtId="0">
      <sharedItems containsSemiMixedTypes="0" containsString="0" containsNumber="1" minValue="0" maxValue="4.9913710254653232"/>
    </cacheField>
    <cacheField name="Homosalate - 28.89" numFmtId="0">
      <sharedItems containsSemiMixedTypes="0" containsString="0" containsNumber="1" minValue="0.79926556971806928" maxValue="11.398789488260698"/>
    </cacheField>
    <cacheField name="28.95" numFmtId="0">
      <sharedItems containsSemiMixedTypes="0" containsString="0" containsNumber="1" minValue="0" maxValue="0.32438531035851442"/>
    </cacheField>
    <cacheField name="Homosalate2 -29.05" numFmtId="0">
      <sharedItems containsSemiMixedTypes="0" containsString="0" containsNumber="1" minValue="5.2842201116632133" maxValue="85.373567362719328"/>
    </cacheField>
    <cacheField name="29.16" numFmtId="0">
      <sharedItems containsSemiMixedTypes="0" containsString="0" containsNumber="1" minValue="0" maxValue="1.2318224249188892"/>
    </cacheField>
    <cacheField name="29.19" numFmtId="0">
      <sharedItems containsSemiMixedTypes="0" containsString="0" containsNumber="1" minValue="0" maxValue="0.30133109587991108"/>
    </cacheField>
    <cacheField name="29.21" numFmtId="0">
      <sharedItems containsSemiMixedTypes="0" containsString="0" containsNumber="1" minValue="0" maxValue="0.31847577794234389"/>
    </cacheField>
    <cacheField name="29.23" numFmtId="0">
      <sharedItems containsSemiMixedTypes="0" containsString="0" containsNumber="1" minValue="0" maxValue="2.9119367954596123"/>
    </cacheField>
    <cacheField name="29.28" numFmtId="0">
      <sharedItems containsSemiMixedTypes="0" containsString="0" containsNumber="1" minValue="0" maxValue="0.35839397352018004"/>
    </cacheField>
    <cacheField name="29.29" numFmtId="0">
      <sharedItems containsSemiMixedTypes="0" containsString="0" containsNumber="1" minValue="0" maxValue="0.60303022313595933"/>
    </cacheField>
    <cacheField name="29.31" numFmtId="0">
      <sharedItems containsSemiMixedTypes="0" containsString="0" containsNumber="1" minValue="0" maxValue="0.72384218590649829"/>
    </cacheField>
    <cacheField name="29.41" numFmtId="0">
      <sharedItems containsSemiMixedTypes="0" containsString="0" containsNumber="1" minValue="0" maxValue="1.6513020725441114"/>
    </cacheField>
    <cacheField name="29.42" numFmtId="0">
      <sharedItems containsSemiMixedTypes="0" containsString="0" containsNumber="1" minValue="0" maxValue="0.58377393395234634"/>
    </cacheField>
    <cacheField name="29.43" numFmtId="0">
      <sharedItems containsSemiMixedTypes="0" containsString="0" containsNumber="1" minValue="0" maxValue="1.5507720808763508"/>
    </cacheField>
    <cacheField name="29.46" numFmtId="0">
      <sharedItems containsSemiMixedTypes="0" containsString="0" containsNumber="1" minValue="0" maxValue="2.0122945871732099"/>
    </cacheField>
    <cacheField name="29.47" numFmtId="0">
      <sharedItems containsSemiMixedTypes="0" containsString="0" containsNumber="1" minValue="0" maxValue="1.0104768563369395"/>
    </cacheField>
    <cacheField name="29.53" numFmtId="0">
      <sharedItems containsSemiMixedTypes="0" containsString="0" containsNumber="1" minValue="0" maxValue="0.97149917717360446"/>
    </cacheField>
    <cacheField name="29.54" numFmtId="0">
      <sharedItems containsSemiMixedTypes="0" containsString="0" containsNumber="1" minValue="0" maxValue="0.56969877083042175"/>
    </cacheField>
    <cacheField name="29.62" numFmtId="0">
      <sharedItems containsSemiMixedTypes="0" containsString="0" containsNumber="1" minValue="0" maxValue="0.88387398020583596"/>
    </cacheField>
    <cacheField name="29.67" numFmtId="0">
      <sharedItems containsSemiMixedTypes="0" containsString="0" containsNumber="1" minValue="0" maxValue="0.932373664090689"/>
    </cacheField>
    <cacheField name="29.68" numFmtId="0">
      <sharedItems containsSemiMixedTypes="0" containsString="0" containsNumber="1" minValue="0" maxValue="0.21235228985621157"/>
    </cacheField>
    <cacheField name="29.74" numFmtId="0">
      <sharedItems containsSemiMixedTypes="0" containsString="0" containsNumber="1" minValue="0" maxValue="8.5397312799104714"/>
    </cacheField>
    <cacheField name="29.75" numFmtId="0">
      <sharedItems containsSemiMixedTypes="0" containsString="0" containsNumber="1" minValue="0" maxValue="2.2275675567388036"/>
    </cacheField>
    <cacheField name="isopropyl palmitate - 29.74" numFmtId="0">
      <sharedItems containsSemiMixedTypes="0" containsString="0" containsNumber="1" minValue="0.45157204226643566" maxValue="8.5397312799104714"/>
    </cacheField>
    <cacheField name="29.82" numFmtId="0">
      <sharedItems containsSemiMixedTypes="0" containsString="0" containsNumber="1" minValue="0" maxValue="1.1343159102089089"/>
    </cacheField>
    <cacheField name="29.83" numFmtId="0">
      <sharedItems containsSemiMixedTypes="0" containsString="0" containsNumber="1" minValue="0" maxValue="3.4795434242272618"/>
    </cacheField>
    <cacheField name="29.84" numFmtId="0">
      <sharedItems containsSemiMixedTypes="0" containsString="0" containsNumber="1" minValue="0" maxValue="7.1237690388309991"/>
    </cacheField>
    <cacheField name="29.87" numFmtId="0">
      <sharedItems containsSemiMixedTypes="0" containsString="0" containsNumber="1" minValue="0" maxValue="1.1067409661551559"/>
    </cacheField>
    <cacheField name="29.88" numFmtId="0">
      <sharedItems containsSemiMixedTypes="0" containsString="0" containsNumber="1" minValue="0" maxValue="6.4748922645060896"/>
    </cacheField>
    <cacheField name="29.89" numFmtId="0">
      <sharedItems containsSemiMixedTypes="0" containsString="0" containsNumber="1" minValue="0" maxValue="0.82472764680132682"/>
    </cacheField>
    <cacheField name="29.9" numFmtId="0">
      <sharedItems containsSemiMixedTypes="0" containsString="0" containsNumber="1" minValue="0" maxValue="1.3826110143414987"/>
    </cacheField>
    <cacheField name="29.91" numFmtId="0">
      <sharedItems containsSemiMixedTypes="0" containsString="0" containsNumber="1" minValue="0" maxValue="1.0222013662357796"/>
    </cacheField>
    <cacheField name="29.92" numFmtId="0">
      <sharedItems containsSemiMixedTypes="0" containsString="0" containsNumber="1" minValue="0" maxValue="0.86170439774013996"/>
    </cacheField>
    <cacheField name="29.93" numFmtId="0">
      <sharedItems containsSemiMixedTypes="0" containsString="0" containsNumber="1" minValue="0" maxValue="0.29604097674056029"/>
    </cacheField>
    <cacheField name="29.94" numFmtId="0">
      <sharedItems containsSemiMixedTypes="0" containsString="0" containsNumber="1" minValue="0" maxValue="1.0389180880462277"/>
    </cacheField>
    <cacheField name="29.98" numFmtId="0">
      <sharedItems containsSemiMixedTypes="0" containsString="0" containsNumber="1" minValue="0" maxValue="0.41908032366522763"/>
    </cacheField>
    <cacheField name="30.01" numFmtId="0">
      <sharedItems containsSemiMixedTypes="0" containsString="0" containsNumber="1" minValue="0" maxValue="1.4173962467082071"/>
    </cacheField>
    <cacheField name="30.02" numFmtId="0">
      <sharedItems containsSemiMixedTypes="0" containsString="0" containsNumber="1" minValue="0" maxValue="0.31548271673503331"/>
    </cacheField>
    <cacheField name="30.11" numFmtId="0">
      <sharedItems containsSemiMixedTypes="0" containsString="0" containsNumber="1" minValue="0" maxValue="0.34030018517209731"/>
    </cacheField>
    <cacheField name="30.17" numFmtId="0">
      <sharedItems containsSemiMixedTypes="0" containsString="0" containsNumber="1" minValue="0" maxValue="0.7113848209936231"/>
    </cacheField>
    <cacheField name="30.18" numFmtId="0">
      <sharedItems containsSemiMixedTypes="0" containsString="0" containsNumber="1" minValue="0" maxValue="1.9790798053794536"/>
    </cacheField>
    <cacheField name="30.23" numFmtId="0">
      <sharedItems containsSemiMixedTypes="0" containsString="0" containsNumber="1" minValue="0" maxValue="0.43235184124923715"/>
    </cacheField>
    <cacheField name="30.24" numFmtId="0">
      <sharedItems containsSemiMixedTypes="0" containsString="0" containsNumber="1" minValue="0" maxValue="0.24565684469174928"/>
    </cacheField>
    <cacheField name="30.25" numFmtId="0">
      <sharedItems containsSemiMixedTypes="0" containsString="0" containsNumber="1" minValue="0" maxValue="0.49969005987411313"/>
    </cacheField>
    <cacheField name="30.26" numFmtId="0">
      <sharedItems containsSemiMixedTypes="0" containsString="0" containsNumber="1" minValue="0" maxValue="0.37981488968008581"/>
    </cacheField>
    <cacheField name="30.45" numFmtId="0">
      <sharedItems containsSemiMixedTypes="0" containsString="0" containsNumber="1" minValue="0" maxValue="0.84630088655161595"/>
    </cacheField>
    <cacheField name="30.46" numFmtId="0">
      <sharedItems containsSemiMixedTypes="0" containsString="0" containsNumber="1" minValue="0" maxValue="0.23828490796346088"/>
    </cacheField>
    <cacheField name="30.47" numFmtId="0">
      <sharedItems containsSemiMixedTypes="0" containsString="0" containsNumber="1" minValue="0" maxValue="3.7060307770476468"/>
    </cacheField>
    <cacheField name="30.81" numFmtId="0">
      <sharedItems containsSemiMixedTypes="0" containsString="0" containsNumber="1" minValue="0" maxValue="0.34262552213456438"/>
    </cacheField>
    <cacheField name="30.82" numFmtId="0">
      <sharedItems containsSemiMixedTypes="0" containsString="0" containsNumber="1" minValue="0" maxValue="0.27215635158678397"/>
    </cacheField>
    <cacheField name="30.96" numFmtId="0">
      <sharedItems containsSemiMixedTypes="0" containsString="0" containsNumber="1" minValue="0" maxValue="0.325029228239892"/>
    </cacheField>
    <cacheField name="30.97" numFmtId="0">
      <sharedItems containsSemiMixedTypes="0" containsString="0" containsNumber="1" minValue="0" maxValue="0.23377708177392142"/>
    </cacheField>
    <cacheField name="31.01" numFmtId="0">
      <sharedItems containsSemiMixedTypes="0" containsString="0" containsNumber="1" minValue="0" maxValue="0.55134858141941356"/>
    </cacheField>
    <cacheField name="31.02" numFmtId="0">
      <sharedItems containsSemiMixedTypes="0" containsString="0" containsNumber="1" minValue="0" maxValue="2.3639582789692475"/>
    </cacheField>
    <cacheField name="31.12" numFmtId="0">
      <sharedItems containsSemiMixedTypes="0" containsString="0" containsNumber="1" minValue="0" maxValue="1.5948365026713778"/>
    </cacheField>
    <cacheField name="31.13" numFmtId="0">
      <sharedItems containsSemiMixedTypes="0" containsString="0" containsNumber="1" minValue="0" maxValue="0.2663078644619391"/>
    </cacheField>
    <cacheField name="31.15" numFmtId="0">
      <sharedItems containsSemiMixedTypes="0" containsString="0" containsNumber="1" minValue="0" maxValue="0.73929102076014419"/>
    </cacheField>
    <cacheField name="31.26" numFmtId="0">
      <sharedItems containsSemiMixedTypes="0" containsString="0" containsNumber="1" minValue="0" maxValue="1.0621239944012275"/>
    </cacheField>
    <cacheField name="31.27" numFmtId="0">
      <sharedItems containsSemiMixedTypes="0" containsString="0" containsNumber="1" minValue="0" maxValue="6.6249177085589679"/>
    </cacheField>
    <cacheField name="31.29" numFmtId="0">
      <sharedItems containsSemiMixedTypes="0" containsString="0" containsNumber="1" minValue="0" maxValue="0.26809995695423894"/>
    </cacheField>
    <cacheField name="31.3" numFmtId="0">
      <sharedItems containsSemiMixedTypes="0" containsString="0" containsNumber="1" minValue="0" maxValue="0.79367627722438783"/>
    </cacheField>
    <cacheField name="31.31" numFmtId="0">
      <sharedItems containsSemiMixedTypes="0" containsString="0" containsNumber="1" minValue="0" maxValue="0.31322537894399821"/>
    </cacheField>
    <cacheField name="31.33" numFmtId="0">
      <sharedItems containsSemiMixedTypes="0" containsString="0" containsNumber="1" minValue="0" maxValue="0.79633741823721604"/>
    </cacheField>
    <cacheField name="31.36" numFmtId="0">
      <sharedItems containsSemiMixedTypes="0" containsString="0" containsNumber="1" minValue="0" maxValue="0.78120690868393095"/>
    </cacheField>
    <cacheField name="31.37" numFmtId="0">
      <sharedItems containsSemiMixedTypes="0" containsString="0" containsNumber="1" minValue="0" maxValue="0.6775253611438169"/>
    </cacheField>
    <cacheField name="31.4" numFmtId="0">
      <sharedItems containsSemiMixedTypes="0" containsString="0" containsNumber="1" minValue="0" maxValue="0.2703209524105894"/>
    </cacheField>
    <cacheField name="31.43" numFmtId="0">
      <sharedItems containsSemiMixedTypes="0" containsString="0" containsNumber="1" minValue="0" maxValue="0.66372610278265198"/>
    </cacheField>
    <cacheField name="31.48" numFmtId="0">
      <sharedItems containsSemiMixedTypes="0" containsString="0" containsNumber="1" minValue="0" maxValue="0.2779842792481676"/>
    </cacheField>
    <cacheField name="31.5" numFmtId="0">
      <sharedItems containsSemiMixedTypes="0" containsString="0" containsNumber="1" minValue="0" maxValue="0.28252595972878219"/>
    </cacheField>
    <cacheField name="31.51" numFmtId="0">
      <sharedItems containsSemiMixedTypes="0" containsString="0" containsNumber="1" minValue="0" maxValue="0.28341397235246613"/>
    </cacheField>
    <cacheField name="31.52" numFmtId="0">
      <sharedItems containsSemiMixedTypes="0" containsString="0" containsNumber="1" minValue="0" maxValue="0.27933722191841254"/>
    </cacheField>
    <cacheField name="31.54" numFmtId="0">
      <sharedItems containsSemiMixedTypes="0" containsString="0" containsNumber="1" minValue="0" maxValue="0.34446979967297098"/>
    </cacheField>
    <cacheField name="31.55" numFmtId="0">
      <sharedItems containsSemiMixedTypes="0" containsString="0" containsNumber="1" minValue="0" maxValue="0.32995835778278387"/>
    </cacheField>
    <cacheField name="31.59" numFmtId="0">
      <sharedItems containsSemiMixedTypes="0" containsString="0" containsNumber="1" minValue="0" maxValue="1.3259635982143538"/>
    </cacheField>
    <cacheField name="31.6" numFmtId="0">
      <sharedItems containsSemiMixedTypes="0" containsString="0" containsNumber="1" minValue="0" maxValue="0.59657508966807293"/>
    </cacheField>
    <cacheField name="31.67" numFmtId="0">
      <sharedItems containsSemiMixedTypes="0" containsString="0" containsNumber="1" minValue="0" maxValue="0.67707956350068221"/>
    </cacheField>
    <cacheField name="31.69" numFmtId="0">
      <sharedItems containsSemiMixedTypes="0" containsString="0" containsNumber="1" minValue="0" maxValue="6.6452861525875457"/>
    </cacheField>
    <cacheField name="31.7" numFmtId="0">
      <sharedItems containsSemiMixedTypes="0" containsString="0" containsNumber="1" minValue="0" maxValue="0.63630184042305615"/>
    </cacheField>
    <cacheField name="31.72" numFmtId="0">
      <sharedItems containsSemiMixedTypes="0" containsString="0" containsNumber="1" minValue="0" maxValue="0.39240917662078384"/>
    </cacheField>
    <cacheField name="31.73" numFmtId="0">
      <sharedItems containsSemiMixedTypes="0" containsString="0" containsNumber="1" minValue="0" maxValue="0.30125468038106307"/>
    </cacheField>
    <cacheField name="31.74" numFmtId="0">
      <sharedItems containsSemiMixedTypes="0" containsString="0" containsNumber="1" minValue="0" maxValue="0.85208722095471134"/>
    </cacheField>
    <cacheField name="31.76" numFmtId="0">
      <sharedItems containsSemiMixedTypes="0" containsString="0" containsNumber="1" minValue="0" maxValue="0.2572277101618386"/>
    </cacheField>
    <cacheField name="31.77" numFmtId="0">
      <sharedItems containsSemiMixedTypes="0" containsString="0" containsNumber="1" minValue="0" maxValue="1.6799862249359294"/>
    </cacheField>
    <cacheField name="31.78" numFmtId="0">
      <sharedItems containsSemiMixedTypes="0" containsString="0" containsNumber="1" minValue="0" maxValue="1.1794527834888509"/>
    </cacheField>
    <cacheField name="31.8" numFmtId="0">
      <sharedItems containsSemiMixedTypes="0" containsString="0" containsNumber="1" minValue="0" maxValue="2.5599267089502038"/>
    </cacheField>
    <cacheField name="31.81" numFmtId="0">
      <sharedItems containsSemiMixedTypes="0" containsString="0" containsNumber="1" minValue="0" maxValue="0.31381627817618774"/>
    </cacheField>
    <cacheField name="31.82" numFmtId="0">
      <sharedItems containsSemiMixedTypes="0" containsString="0" containsNumber="1" minValue="0" maxValue="1.9911454241276509"/>
    </cacheField>
    <cacheField name="31.83" numFmtId="0">
      <sharedItems containsSemiMixedTypes="0" containsString="0" containsNumber="1" minValue="0" maxValue="0.51711450430856309"/>
    </cacheField>
    <cacheField name="31.84" numFmtId="0">
      <sharedItems containsSemiMixedTypes="0" containsString="0" containsNumber="1" minValue="0" maxValue="11.095890243094734"/>
    </cacheField>
    <cacheField name="31.85" numFmtId="0">
      <sharedItems containsSemiMixedTypes="0" containsString="0" containsNumber="1" minValue="0" maxValue="0.56760918465318611"/>
    </cacheField>
    <cacheField name="31.99" numFmtId="0">
      <sharedItems containsSemiMixedTypes="0" containsString="0" containsNumber="1" minValue="1.0349588355280173" maxValue="23.300816618710222"/>
    </cacheField>
    <cacheField name="32.08" numFmtId="0">
      <sharedItems containsSemiMixedTypes="0" containsString="0" containsNumber="1" minValue="0" maxValue="0.60965027788999937"/>
    </cacheField>
    <cacheField name="32.17" numFmtId="0">
      <sharedItems containsSemiMixedTypes="0" containsString="0" containsNumber="1" minValue="0" maxValue="0.61735022155901942"/>
    </cacheField>
    <cacheField name="32.21" numFmtId="0">
      <sharedItems containsSemiMixedTypes="0" containsString="0" containsNumber="1" minValue="0" maxValue="0.77599662452137486"/>
    </cacheField>
    <cacheField name="32.24" numFmtId="0">
      <sharedItems containsSemiMixedTypes="0" containsString="0" containsNumber="1" minValue="0" maxValue="0.95865513234685773"/>
    </cacheField>
    <cacheField name="32.25" numFmtId="0">
      <sharedItems containsSemiMixedTypes="0" containsString="0" containsNumber="1" minValue="0" maxValue="0.9619047325073854"/>
    </cacheField>
    <cacheField name="32.28" numFmtId="0">
      <sharedItems containsSemiMixedTypes="0" containsString="0" containsNumber="1" minValue="0" maxValue="0.79588820940304295"/>
    </cacheField>
    <cacheField name="32.35" numFmtId="0">
      <sharedItems containsSemiMixedTypes="0" containsString="0" containsNumber="1" minValue="0" maxValue="0.20175478506222116"/>
    </cacheField>
    <cacheField name="32.36" numFmtId="0">
      <sharedItems containsSemiMixedTypes="0" containsString="0" containsNumber="1" minValue="0" maxValue="0.23327361887110745"/>
    </cacheField>
    <cacheField name="32.54" numFmtId="0">
      <sharedItems containsSemiMixedTypes="0" containsString="0" containsNumber="1" minValue="0" maxValue="0.91652995342088162"/>
    </cacheField>
    <cacheField name="32.55" numFmtId="0">
      <sharedItems containsSemiMixedTypes="0" containsString="0" containsNumber="1" minValue="0" maxValue="3.1675545644199796"/>
    </cacheField>
    <cacheField name="32.6" numFmtId="0">
      <sharedItems containsSemiMixedTypes="0" containsString="0" containsNumber="1" minValue="0" maxValue="0.17052366759712051"/>
    </cacheField>
    <cacheField name="32.73" numFmtId="0">
      <sharedItems containsSemiMixedTypes="0" containsString="0" containsNumber="1" minValue="0" maxValue="40.623794010287924"/>
    </cacheField>
    <cacheField name="32.74" numFmtId="0">
      <sharedItems containsSemiMixedTypes="0" containsString="0" containsNumber="1" minValue="0" maxValue="0.87442624742816832"/>
    </cacheField>
    <cacheField name="32.83" numFmtId="0">
      <sharedItems containsSemiMixedTypes="0" containsString="0" containsNumber="1" minValue="0" maxValue="0.153059846414423"/>
    </cacheField>
    <cacheField name="32.89" numFmtId="0">
      <sharedItems containsSemiMixedTypes="0" containsString="0" containsNumber="1" minValue="0" maxValue="0.97199552175848158"/>
    </cacheField>
    <cacheField name="33.1" numFmtId="0">
      <sharedItems containsSemiMixedTypes="0" containsString="0" containsNumber="1" minValue="0" maxValue="30.004469162966359"/>
    </cacheField>
    <cacheField name="33.11" numFmtId="0">
      <sharedItems containsSemiMixedTypes="0" containsString="0" containsNumber="1" minValue="0" maxValue="1.711011704631239"/>
    </cacheField>
    <cacheField name="33.23" numFmtId="0">
      <sharedItems containsSemiMixedTypes="0" containsString="0" containsNumber="1" minValue="0" maxValue="0.40339465211924158"/>
    </cacheField>
    <cacheField name="33.28" numFmtId="0">
      <sharedItems containsSemiMixedTypes="0" containsString="0" containsNumber="1" minValue="0" maxValue="0.53669549248714787"/>
    </cacheField>
    <cacheField name="33.32" numFmtId="0">
      <sharedItems containsSemiMixedTypes="0" containsString="0" containsNumber="1" minValue="0" maxValue="0.18285033972626838"/>
    </cacheField>
    <cacheField name="33.33" numFmtId="0">
      <sharedItems containsSemiMixedTypes="0" containsString="0" containsNumber="1" minValue="0" maxValue="31.488373597634041"/>
    </cacheField>
    <cacheField name="33.34" numFmtId="0">
      <sharedItems containsSemiMixedTypes="0" containsString="0" containsNumber="1" minValue="0" maxValue="36.129307661464587"/>
    </cacheField>
    <cacheField name="33.35" numFmtId="0">
      <sharedItems containsSemiMixedTypes="0" containsString="0" containsNumber="1" minValue="0" maxValue="0.3936137959542495"/>
    </cacheField>
    <cacheField name="33.36" numFmtId="0">
      <sharedItems containsSemiMixedTypes="0" containsString="0" containsNumber="1" minValue="0" maxValue="1.80459873010297"/>
    </cacheField>
    <cacheField name="33.47" numFmtId="0">
      <sharedItems containsSemiMixedTypes="0" containsString="0" containsNumber="1" minValue="0" maxValue="0.34005012739467017"/>
    </cacheField>
    <cacheField name="33.48" numFmtId="0">
      <sharedItems containsSemiMixedTypes="0" containsString="0" containsNumber="1" minValue="0" maxValue="0.24670582622933107"/>
    </cacheField>
    <cacheField name="33.53" numFmtId="0">
      <sharedItems containsSemiMixedTypes="0" containsString="0" containsNumber="1" minValue="0" maxValue="7.7714722296995138"/>
    </cacheField>
    <cacheField name="33.69" numFmtId="0">
      <sharedItems containsSemiMixedTypes="0" containsString="0" containsNumber="1" minValue="0" maxValue="24.021035681766921"/>
    </cacheField>
    <cacheField name="33.71" numFmtId="0">
      <sharedItems containsSemiMixedTypes="0" containsString="0" containsNumber="1" minValue="0" maxValue="0.349478011860961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cms" refreshedDate="43322.528971064814" createdVersion="6" refreshedVersion="6" minRefreshableVersion="3" recordCount="1602">
  <cacheSource type="worksheet">
    <worksheetSource ref="A1:H1603" sheet="Locoweed Field Volatiles 2018"/>
  </cacheSource>
  <cacheFields count="8">
    <cacheField name="Concat" numFmtId="0">
      <sharedItems count="20">
        <s v="E- 204C"/>
        <s v="E- 212C"/>
        <s v="E- 218A"/>
        <s v="E- 223E"/>
        <s v="E- 223G"/>
        <s v="E- 223H"/>
        <s v="E- 223I"/>
        <s v="E- 226G"/>
        <s v="E- 227H"/>
        <s v="E- 462B"/>
        <s v="E+ 254C"/>
        <s v="E+ 254G"/>
        <s v="E+ 254I"/>
        <s v="E+ 256J"/>
        <s v="E+ 256K"/>
        <s v="E+ 270C"/>
        <s v="E+ 297F"/>
        <s v="E+ 297G"/>
        <s v="E+ 309A"/>
        <s v="E+ 309B"/>
      </sharedItems>
    </cacheField>
    <cacheField name="Peak#" numFmtId="0">
      <sharedItems containsSemiMixedTypes="0" containsString="0" containsNumber="1" containsInteger="1" minValue="1" maxValue="133"/>
    </cacheField>
    <cacheField name="RT" numFmtId="0">
      <sharedItems containsSemiMixedTypes="0" containsString="0" containsNumber="1" minValue="4.3230000000000004" maxValue="33.713000000000001"/>
    </cacheField>
    <cacheField name="RT2" numFmtId="0">
      <sharedItems containsSemiMixedTypes="0" containsString="0" containsNumber="1" minValue="4.32" maxValue="33.71" count="533">
        <n v="4.49"/>
        <n v="4.55"/>
        <n v="4.71"/>
        <n v="4.8099999999999996"/>
        <n v="4.9000000000000004"/>
        <n v="4.9800000000000004"/>
        <n v="5.12"/>
        <n v="5.2"/>
        <n v="5.29"/>
        <n v="5.51"/>
        <n v="5.66"/>
        <n v="6.1"/>
        <n v="6.25"/>
        <n v="6.49"/>
        <n v="7.12"/>
        <n v="7.35"/>
        <n v="7.58"/>
        <n v="8.1199999999999992"/>
        <n v="8.26"/>
        <n v="8.57"/>
        <n v="8.64"/>
        <n v="8.93"/>
        <n v="8.9700000000000006"/>
        <n v="9.18"/>
        <n v="9.26"/>
        <n v="9.36"/>
        <n v="9.51"/>
        <n v="9.65"/>
        <n v="9.82"/>
        <n v="10.039999999999999"/>
        <n v="10.29"/>
        <n v="10.4"/>
        <n v="10.49"/>
        <n v="10.59"/>
        <n v="10.65"/>
        <n v="10.77"/>
        <n v="11.09"/>
        <n v="11.22"/>
        <n v="11.41"/>
        <n v="11.56"/>
        <n v="11.62"/>
        <n v="11.75"/>
        <n v="11.91"/>
        <n v="11.97"/>
        <n v="12.13"/>
        <n v="12.22"/>
        <n v="12.32"/>
        <n v="12.44"/>
        <n v="12.5"/>
        <n v="12.54"/>
        <n v="12.59"/>
        <n v="12.7"/>
        <n v="12.84"/>
        <n v="13.22"/>
        <n v="13.56"/>
        <n v="13.62"/>
        <n v="13.7"/>
        <n v="13.84"/>
        <n v="14.01"/>
        <n v="14.15"/>
        <n v="14.43"/>
        <n v="14.52"/>
        <n v="14.59"/>
        <n v="14.83"/>
        <n v="15.03"/>
        <n v="15.27"/>
        <n v="15.34"/>
        <n v="15.52"/>
        <n v="15.64"/>
        <n v="15.88"/>
        <n v="16.350000000000001"/>
        <n v="16.66"/>
        <n v="16.760000000000002"/>
        <n v="17.14"/>
        <n v="17.28"/>
        <n v="17.36"/>
        <n v="17.46"/>
        <n v="17.54"/>
        <n v="17.73"/>
        <n v="17.809999999999999"/>
        <n v="17.920000000000002"/>
        <n v="18.05"/>
        <n v="18.309999999999999"/>
        <n v="18.45"/>
        <n v="18.739999999999998"/>
        <n v="18.84"/>
        <n v="19.63"/>
        <n v="20.22"/>
        <n v="20.96"/>
        <n v="21.4"/>
        <n v="22.51"/>
        <n v="22.73"/>
        <n v="23.01"/>
        <n v="23.48"/>
        <n v="23.67"/>
        <n v="23.93"/>
        <n v="24.04"/>
        <n v="24.26"/>
        <n v="25.92"/>
        <n v="27.43"/>
        <n v="27.51"/>
        <n v="28.48"/>
        <n v="28.59"/>
        <n v="28.64"/>
        <n v="28.73"/>
        <n v="28.89"/>
        <n v="29.05"/>
        <n v="29.19"/>
        <n v="29.23"/>
        <n v="29.28"/>
        <n v="29.43"/>
        <n v="29.46"/>
        <n v="29.54"/>
        <n v="29.62"/>
        <n v="29.67"/>
        <n v="29.74"/>
        <n v="29.84"/>
        <n v="29.89"/>
        <n v="30.01"/>
        <n v="30.11"/>
        <n v="30.18"/>
        <n v="30.25"/>
        <n v="30.82"/>
        <n v="30.96"/>
        <n v="31.01"/>
        <n v="31.29"/>
        <n v="31.69"/>
        <n v="31.78"/>
        <n v="31.99"/>
        <n v="32.24"/>
        <n v="32.36"/>
        <n v="32.729999999999997"/>
        <n v="33.1"/>
        <n v="4.8899999999999997"/>
        <n v="5.19"/>
        <n v="5.35"/>
        <n v="5.52"/>
        <n v="5.67"/>
        <n v="6.11"/>
        <n v="8.2200000000000006"/>
        <n v="8.27"/>
        <n v="8.91"/>
        <n v="9.19"/>
        <n v="9.25"/>
        <n v="11.11"/>
        <n v="12.55"/>
        <n v="12.71"/>
        <n v="13.23"/>
        <n v="15.42"/>
        <n v="15.53"/>
        <n v="15.57"/>
        <n v="15.71"/>
        <n v="17.09"/>
        <n v="17.45"/>
        <n v="17.71"/>
        <n v="17.8"/>
        <n v="18.010000000000002"/>
        <n v="18.04"/>
        <n v="18.440000000000001"/>
        <n v="18.53"/>
        <n v="18.73"/>
        <n v="19.21"/>
        <n v="20.97"/>
        <n v="25.85"/>
        <n v="27.97"/>
        <n v="29.29"/>
        <n v="29.42"/>
        <n v="29.47"/>
        <n v="29.9"/>
        <n v="30.24"/>
        <n v="30.81"/>
        <n v="31.13"/>
        <n v="31.36"/>
        <n v="32.74"/>
        <n v="33.340000000000003"/>
        <n v="33.479999999999997"/>
        <n v="33.69"/>
        <n v="6.27"/>
        <n v="8.1999999999999993"/>
        <n v="8.92"/>
        <n v="9.83"/>
        <n v="11.23"/>
        <n v="15.47"/>
        <n v="15.58"/>
        <n v="16.77"/>
        <n v="17.12"/>
        <n v="17.559999999999999"/>
        <n v="17.7"/>
        <n v="18.850000000000001"/>
        <n v="21.18"/>
        <n v="23.66"/>
        <n v="23.92"/>
        <n v="25.38"/>
        <n v="26.02"/>
        <n v="27.25"/>
        <n v="27.67"/>
        <n v="28.62"/>
        <n v="29.16"/>
        <n v="29.31"/>
        <n v="29.53"/>
        <n v="29.82"/>
        <n v="29.94"/>
        <n v="32.89"/>
        <n v="33.28"/>
        <n v="4.5"/>
        <n v="4.82"/>
        <n v="6.35"/>
        <n v="7.36"/>
        <n v="7.81"/>
        <n v="8.65"/>
        <n v="9.52"/>
        <n v="9.66"/>
        <n v="10.48"/>
        <n v="10.76"/>
        <n v="11.12"/>
        <n v="11.21"/>
        <n v="11.55"/>
        <n v="11.63"/>
        <n v="11.77"/>
        <n v="12.15"/>
        <n v="12.23"/>
        <n v="12.31"/>
        <n v="12.52"/>
        <n v="12.63"/>
        <n v="13.16"/>
        <n v="13.46"/>
        <n v="13.57"/>
        <n v="13.64"/>
        <n v="14.41"/>
        <n v="15.35"/>
        <n v="16.12"/>
        <n v="17.2"/>
        <n v="17.38"/>
        <n v="17.55"/>
        <n v="17.93"/>
        <n v="18.059999999999999"/>
        <n v="18.46"/>
        <n v="20.23"/>
        <n v="20.65"/>
        <n v="20.88"/>
        <n v="23.85"/>
        <n v="27.12"/>
        <n v="28.6"/>
        <n v="29.21"/>
        <n v="29.41"/>
        <n v="29.83"/>
        <n v="33.11"/>
        <n v="5.28"/>
        <n v="6.34"/>
        <n v="8.2799999999999994"/>
        <n v="8.9600000000000009"/>
        <n v="11.1"/>
        <n v="11.26"/>
        <n v="14.82"/>
        <n v="15.41"/>
        <n v="16.98"/>
        <n v="17.690000000000001"/>
        <n v="18.07"/>
        <n v="18.72"/>
        <n v="21.17"/>
        <n v="21.7"/>
        <n v="23.47"/>
        <n v="25.76"/>
        <n v="28.53"/>
        <n v="28.55"/>
        <n v="30.47"/>
        <n v="31.02"/>
        <n v="31.3"/>
        <n v="31.37"/>
        <n v="31.59"/>
        <n v="31.7"/>
        <n v="31.77"/>
        <n v="31.85"/>
        <n v="32.08"/>
        <n v="32.17"/>
        <n v="32.28"/>
        <n v="32.549999999999997"/>
        <n v="33.33"/>
        <n v="33.53"/>
        <n v="4.88"/>
        <n v="13.03"/>
        <n v="15.87"/>
        <n v="17.059999999999999"/>
        <n v="18.02"/>
        <n v="18.43"/>
        <n v="19.41"/>
        <n v="19.57"/>
        <n v="30.45"/>
        <n v="31.27"/>
        <n v="31.43"/>
        <n v="31.51"/>
        <n v="31.76"/>
        <n v="31.82"/>
        <n v="32.21"/>
        <n v="33.71"/>
        <n v="5.21"/>
        <n v="5.3"/>
        <n v="5.36"/>
        <n v="10.3"/>
        <n v="10.58"/>
        <n v="11.27"/>
        <n v="14.53"/>
        <n v="14.58"/>
        <n v="15.05"/>
        <n v="17.149999999999999"/>
        <n v="26.28"/>
        <n v="27.66"/>
        <n v="29.88"/>
        <n v="29.93"/>
        <n v="30.02"/>
        <n v="30.26"/>
        <n v="33.35"/>
        <n v="5.94"/>
        <n v="6.5"/>
        <n v="8.23"/>
        <n v="8.77"/>
        <n v="9.1999999999999993"/>
        <n v="9.31"/>
        <n v="9.58"/>
        <n v="9.84"/>
        <n v="9.94"/>
        <n v="10.050000000000001"/>
        <n v="10.199999999999999"/>
        <n v="10.41"/>
        <n v="10.75"/>
        <n v="10.95"/>
        <n v="11.06"/>
        <n v="11.13"/>
        <n v="11.38"/>
        <n v="11.46"/>
        <n v="11.6"/>
        <n v="11.96"/>
        <n v="12.02"/>
        <n v="12.12"/>
        <n v="12.49"/>
        <n v="12.58"/>
        <n v="12.64"/>
        <n v="12.85"/>
        <n v="13.25"/>
        <n v="13.32"/>
        <n v="13.41"/>
        <n v="13.45"/>
        <n v="13.54"/>
        <n v="13.63"/>
        <n v="13.69"/>
        <n v="13.93"/>
        <n v="14.08"/>
        <n v="14.22"/>
        <n v="14.69"/>
        <n v="15.12"/>
        <n v="15.14"/>
        <n v="15.2"/>
        <n v="15.28"/>
        <n v="15.4"/>
        <n v="15.55"/>
        <n v="16.29"/>
        <n v="16.34"/>
        <n v="16.670000000000002"/>
        <n v="16.940000000000001"/>
        <n v="17.02"/>
        <n v="17.29"/>
        <n v="17.57"/>
        <n v="18.47"/>
        <n v="19.559999999999999"/>
        <n v="20.66"/>
        <n v="21.41"/>
        <n v="31.12"/>
        <n v="31.4"/>
        <n v="31.5"/>
        <n v="31.54"/>
        <n v="31.84"/>
        <n v="4.91"/>
        <n v="8.24"/>
        <n v="9.67"/>
        <n v="11.14"/>
        <n v="11.64"/>
        <n v="11.78"/>
        <n v="11.92"/>
        <n v="14.62"/>
        <n v="17.5"/>
        <n v="29.75"/>
        <n v="29.92"/>
        <n v="17.489999999999998"/>
        <n v="28.49"/>
        <n v="31.74"/>
        <n v="5.31"/>
        <n v="5.39"/>
        <n v="8.2899999999999991"/>
        <n v="11.29"/>
        <n v="12.56"/>
        <n v="15.6"/>
        <n v="17.21"/>
        <n v="29.91"/>
        <n v="31.15"/>
        <n v="31.33"/>
        <n v="31.67"/>
        <n v="4.53"/>
        <n v="4.75"/>
        <n v="4.84"/>
        <n v="5.01"/>
        <n v="5.54"/>
        <n v="6.12"/>
        <n v="6.26"/>
        <n v="6.36"/>
        <n v="7.02"/>
        <n v="7.13"/>
        <n v="7.37"/>
        <n v="8.34"/>
        <n v="8.94"/>
        <n v="9"/>
        <n v="10.5"/>
        <n v="10.61"/>
        <n v="10.91"/>
        <n v="11.02"/>
        <n v="11.61"/>
        <n v="12.34"/>
        <n v="12.62"/>
        <n v="13.14"/>
        <n v="13.4"/>
        <n v="13.61"/>
        <n v="13.85"/>
        <n v="14.09"/>
        <n v="14.42"/>
        <n v="14.54"/>
        <n v="16.11"/>
        <n v="17.37"/>
        <n v="17.72"/>
        <n v="21.69"/>
        <n v="29.87"/>
        <n v="30.97"/>
        <n v="31.48"/>
        <n v="31.6"/>
        <n v="31.72"/>
        <n v="6.51"/>
        <n v="10.6"/>
        <n v="16.97"/>
        <n v="17.48"/>
        <n v="24.36"/>
        <n v="31.83"/>
        <n v="32.83"/>
        <n v="4.7300000000000004"/>
        <n v="4.99"/>
        <n v="5.14"/>
        <n v="11.42"/>
        <n v="14.23"/>
        <n v="15.72"/>
        <n v="17.07"/>
        <n v="26.01"/>
        <n v="31.73"/>
        <n v="31.81"/>
        <n v="4.32"/>
        <n v="5.23"/>
        <n v="9.06"/>
        <n v="12.01"/>
        <n v="13.33"/>
        <n v="14.93"/>
        <n v="17"/>
        <n v="17.77"/>
        <n v="18"/>
        <n v="18.14"/>
        <n v="20.57"/>
        <n v="20.62"/>
        <n v="20.89"/>
        <n v="21.32"/>
        <n v="23.77"/>
        <n v="25.45"/>
        <n v="25.91"/>
        <n v="26.12"/>
        <n v="26.56"/>
        <n v="28.18"/>
        <n v="28.95"/>
        <n v="8.9499999999999993"/>
        <n v="10.28"/>
        <n v="10.84"/>
        <n v="15.54"/>
        <n v="17.079999999999998"/>
        <n v="18.41"/>
        <n v="20.239999999999998"/>
        <n v="31.31"/>
        <n v="31.52"/>
        <n v="33.47"/>
        <n v="9.2799999999999994"/>
        <n v="14.6"/>
        <n v="16.989999999999998"/>
        <n v="17.47"/>
        <n v="17.91"/>
        <n v="30.17"/>
        <n v="30.23"/>
        <n v="4.8499999999999996"/>
        <n v="5.62"/>
        <n v="13"/>
        <n v="17.03"/>
        <n v="30.46"/>
        <n v="32.25"/>
        <n v="32.35"/>
        <n v="32.6"/>
        <n v="33.229999999999997"/>
        <n v="33.32"/>
        <n v="5.1100000000000003"/>
        <n v="5.4"/>
        <n v="5.48"/>
        <n v="5.65"/>
        <n v="8.2100000000000009"/>
        <n v="8.35"/>
        <n v="9.11"/>
        <n v="9.35"/>
        <n v="11.54"/>
        <n v="12.35"/>
        <n v="12.99"/>
        <n v="14.72"/>
        <n v="18.3"/>
        <n v="18.38"/>
        <n v="18.91"/>
        <n v="25.37"/>
        <n v="25.67"/>
        <n v="26.29"/>
        <n v="26.52"/>
        <n v="29.68"/>
        <n v="29.98"/>
        <n v="31.55"/>
        <n v="33.36"/>
        <n v="4.8"/>
        <n v="5.22"/>
        <n v="5.38"/>
        <n v="6.33"/>
        <n v="12.69"/>
        <n v="15.04"/>
        <n v="17.010000000000002"/>
        <n v="24.35"/>
        <n v="28.65"/>
        <n v="31.26"/>
        <n v="31.8"/>
        <n v="32.54"/>
      </sharedItems>
    </cacheField>
    <cacheField name="-  -------" numFmtId="0">
      <sharedItems containsMixedTypes="1" containsNumber="1" containsInteger="1" minValue="19174" maxValue="17292201"/>
    </cacheField>
    <cacheField name="Area" numFmtId="0">
      <sharedItems containsSemiMixedTypes="0" containsString="0" containsNumber="1" containsInteger="1" minValue="1000405" maxValue="237312184"/>
    </cacheField>
    <cacheField name="------" numFmtId="10">
      <sharedItems containsSemiMixedTypes="0" containsString="0" containsNumber="1" minValue="0" maxValue="1"/>
    </cacheField>
    <cacheField name="-------" numFmtId="10">
      <sharedItems containsSemiMixedTypes="0" containsString="0" containsNumber="1" minValue="6.7000000000000002E-4" maxValue="0.37407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s v="204C"/>
    <n v="13.5"/>
    <n v="0"/>
    <n v="0.67418768813837904"/>
    <n v="0"/>
    <n v="0"/>
    <n v="0.24475741041514174"/>
    <n v="0.53017001319251622"/>
    <n v="0"/>
    <n v="0"/>
    <n v="0"/>
    <n v="0.60747428805089709"/>
    <n v="0"/>
    <n v="0"/>
    <n v="0"/>
    <n v="0"/>
    <n v="0"/>
    <n v="2.3833365472486086"/>
    <n v="0"/>
    <n v="2.3833365472486086"/>
    <n v="1.0196486827001334"/>
    <n v="0"/>
    <n v="0"/>
    <n v="0"/>
    <n v="0.30297127929960221"/>
    <n v="0"/>
    <n v="0"/>
    <n v="1.1410644671282502"/>
    <n v="0"/>
    <n v="0"/>
    <n v="0"/>
    <n v="0"/>
    <n v="0.54822352400418572"/>
    <n v="0"/>
    <n v="0"/>
    <n v="0"/>
    <n v="0"/>
    <n v="0"/>
    <n v="0"/>
    <n v="0"/>
    <n v="0"/>
    <n v="0.43949789866780081"/>
    <n v="0"/>
    <n v="0"/>
    <n v="0"/>
    <n v="0"/>
    <n v="0.36811032063005106"/>
    <n v="0"/>
    <n v="0"/>
    <n v="0.68689456460475407"/>
    <n v="0"/>
    <n v="0"/>
    <n v="2.4440440215283008"/>
    <n v="0"/>
    <n v="0"/>
    <n v="0"/>
    <n v="0"/>
    <n v="0"/>
    <n v="0"/>
    <n v="2.1557332528893265"/>
    <n v="0"/>
    <n v="0"/>
    <n v="2.1557332528893265"/>
    <n v="0"/>
    <n v="0.73627225615431346"/>
    <n v="0"/>
    <n v="0.58737540645161934"/>
    <n v="0"/>
    <n v="0"/>
    <n v="0.44316380995989418"/>
    <n v="0"/>
    <n v="0.67761391407152416"/>
    <n v="0"/>
    <n v="0"/>
    <n v="0"/>
    <n v="0"/>
    <n v="0"/>
    <n v="1.2558858741611327"/>
    <n v="0"/>
    <n v="0"/>
    <n v="0"/>
    <n v="0"/>
    <n v="0"/>
    <n v="0.22789981879201754"/>
    <n v="0.4185995086262071"/>
    <n v="0"/>
    <n v="0"/>
    <n v="0"/>
    <n v="0"/>
    <n v="0.38900494926235002"/>
    <n v="0"/>
    <n v="0"/>
    <n v="0"/>
    <n v="0.47207692733985357"/>
    <n v="0"/>
    <n v="0"/>
    <n v="0"/>
    <n v="0.91127851054210185"/>
    <n v="0"/>
    <n v="0"/>
    <n v="0.91127851054210185"/>
    <n v="0"/>
    <n v="1.3115246404489751"/>
    <n v="0"/>
    <n v="1.3115246404489751"/>
    <n v="0"/>
    <n v="0"/>
    <n v="0.36488762873318831"/>
    <n v="0.28304291492168621"/>
    <n v="0"/>
    <n v="0"/>
    <n v="4.8388407470292591"/>
    <n v="0"/>
    <n v="0"/>
    <n v="4.8388407470292591"/>
    <n v="8.8071217019022949"/>
    <n v="0"/>
    <n v="0"/>
    <n v="8.8071217019022949"/>
    <n v="0"/>
    <n v="0.2890592890886281"/>
    <n v="0"/>
    <n v="0"/>
    <n v="0"/>
    <n v="0.55149845769680883"/>
    <n v="0"/>
    <n v="2.6237825467432425"/>
    <n v="0"/>
    <n v="2.6237825467432425"/>
    <n v="0"/>
    <n v="0.34153993433916763"/>
    <n v="0"/>
    <n v="0"/>
    <n v="1.4371567557293159"/>
    <n v="0"/>
    <n v="0"/>
    <n v="0.6250605482412861"/>
    <n v="0"/>
    <n v="0"/>
    <n v="2.7401325487200721"/>
    <n v="0"/>
    <n v="0"/>
    <n v="0"/>
    <n v="0"/>
    <n v="0"/>
    <n v="1.8335480680106266"/>
    <n v="0"/>
    <n v="0"/>
    <n v="0"/>
    <n v="0"/>
    <n v="0"/>
    <n v="0"/>
    <n v="1.8319223033265655"/>
    <n v="0"/>
    <n v="0"/>
    <n v="0"/>
    <n v="0"/>
    <n v="0"/>
    <n v="0.49632694203024658"/>
    <n v="0"/>
    <n v="0"/>
    <n v="0"/>
    <n v="0"/>
    <n v="0.72827361928904177"/>
    <n v="0"/>
    <n v="0"/>
    <n v="0.94082438055231021"/>
    <n v="0"/>
    <n v="0"/>
    <n v="0.24436998525778317"/>
    <n v="0"/>
    <n v="0"/>
    <n v="0.66500859565610715"/>
    <n v="0"/>
    <n v="0"/>
    <n v="0.36521925965267482"/>
    <n v="0"/>
    <n v="0"/>
    <n v="0"/>
    <n v="0.61008428816708282"/>
    <n v="0"/>
    <n v="1.1723107031068656"/>
    <n v="0"/>
    <n v="0"/>
    <n v="0.70772545824622535"/>
    <n v="0"/>
    <n v="0"/>
    <n v="0.23080801507840323"/>
    <n v="0"/>
    <n v="0.36688431016714784"/>
    <n v="0"/>
    <n v="0.49167804910912694"/>
    <n v="0"/>
    <n v="0"/>
    <n v="0"/>
    <n v="0.58726507177897358"/>
    <n v="0"/>
    <n v="0"/>
    <n v="0"/>
    <n v="0"/>
    <n v="0.84001213347051606"/>
    <n v="0"/>
    <n v="0.84001213347051606"/>
    <n v="18.808427537829122"/>
    <n v="0"/>
    <n v="18.808427537829122"/>
    <n v="0"/>
    <n v="0"/>
    <n v="0"/>
    <n v="0"/>
    <n v="0"/>
    <n v="6.1202847704466237"/>
    <n v="0"/>
    <n v="6.1202847704466237"/>
    <n v="0"/>
    <n v="0"/>
    <n v="0"/>
    <n v="0"/>
    <n v="0"/>
    <n v="0"/>
    <n v="0"/>
    <n v="0"/>
    <n v="0.27886189952339602"/>
    <n v="0"/>
    <n v="0"/>
    <n v="0.62977819136562652"/>
    <n v="0"/>
    <n v="0"/>
    <n v="0"/>
    <n v="0.23598078872740741"/>
    <n v="0.2539078743933369"/>
    <n v="0"/>
    <n v="0"/>
    <n v="0.28374964193473184"/>
    <n v="0"/>
    <n v="0"/>
    <n v="0.22951074680608288"/>
    <n v="0"/>
    <n v="0"/>
    <n v="0"/>
    <n v="0"/>
    <n v="0.31541694678717558"/>
    <n v="0.69862242981858047"/>
    <n v="0"/>
    <n v="0"/>
    <n v="0"/>
    <n v="0.95360418656556667"/>
    <n v="0"/>
    <n v="0"/>
    <n v="0"/>
    <n v="0"/>
    <n v="0"/>
    <n v="0.28374901503318273"/>
    <n v="0"/>
    <n v="0.41148877332167799"/>
    <n v="0"/>
    <n v="0"/>
    <n v="0"/>
    <n v="0"/>
    <n v="0"/>
    <n v="0.34964995071300026"/>
    <n v="0"/>
    <n v="0.76547228547658852"/>
    <n v="0"/>
    <n v="0"/>
    <n v="0"/>
    <n v="0"/>
    <n v="0"/>
    <n v="1.3994116403581163"/>
    <n v="0"/>
    <n v="0"/>
    <n v="0"/>
    <n v="0"/>
    <n v="0"/>
    <n v="0"/>
    <n v="0.24312349601094188"/>
    <n v="0"/>
    <n v="0"/>
    <n v="0"/>
    <n v="2.4539862621630393"/>
    <n v="2.4539862621630393"/>
    <n v="0"/>
    <n v="0"/>
    <n v="0"/>
    <n v="0"/>
    <n v="0.327190157879722"/>
    <n v="0.76953147300716562"/>
    <n v="0"/>
    <n v="0.76953147300716562"/>
    <n v="0.26760232976676501"/>
    <n v="0"/>
    <n v="0.26760232976676501"/>
    <n v="0"/>
    <n v="0"/>
    <n v="0"/>
    <n v="0"/>
    <n v="0"/>
    <n v="0"/>
    <n v="0"/>
    <n v="0"/>
    <n v="0"/>
    <n v="0"/>
    <n v="0"/>
    <n v="0"/>
    <n v="0"/>
    <n v="32.306288048222271"/>
    <n v="0"/>
    <n v="0"/>
    <n v="0"/>
    <n v="0.22052578483685639"/>
    <n v="0"/>
    <n v="0.36460447820016734"/>
    <n v="0"/>
    <n v="0"/>
    <n v="0"/>
    <n v="3.0045305757020819"/>
    <n v="0"/>
    <n v="0"/>
    <n v="0"/>
    <n v="3.0045305757020819"/>
    <n v="0"/>
    <n v="0.47913103253777856"/>
    <n v="0"/>
    <n v="0"/>
    <n v="0"/>
    <n v="0"/>
    <n v="0"/>
    <n v="0"/>
    <n v="0"/>
    <n v="0.781592640877943"/>
    <n v="0"/>
    <n v="0"/>
    <n v="0.57432874934561928"/>
    <n v="0"/>
    <n v="0.26959399598833161"/>
    <n v="0"/>
    <n v="0"/>
    <n v="0"/>
    <n v="0"/>
    <n v="0"/>
    <n v="1.1783435856812676"/>
    <n v="0"/>
    <n v="0"/>
    <n v="0"/>
    <n v="0"/>
    <n v="0.51758329285639004"/>
    <n v="0.51758329285639004"/>
    <n v="0"/>
    <n v="0"/>
    <n v="0"/>
    <n v="0"/>
    <n v="0.31474929663735862"/>
    <n v="0"/>
    <n v="0"/>
    <n v="0"/>
    <n v="0"/>
    <n v="0"/>
    <n v="0.67105840457233568"/>
    <n v="0.67105840457233568"/>
    <n v="1.1111111111111112"/>
    <n v="0"/>
    <n v="1.1111111111111112"/>
    <n v="0"/>
    <n v="0"/>
    <n v="0"/>
    <n v="0"/>
    <n v="0"/>
    <n v="0.28613688303379559"/>
    <n v="0.73861394240747413"/>
    <n v="0"/>
    <n v="0"/>
    <n v="0.73861394240747413"/>
    <n v="0"/>
    <n v="0"/>
    <n v="0"/>
    <n v="0"/>
    <n v="0"/>
    <n v="0"/>
    <n v="0.3320264943640297"/>
    <n v="0"/>
    <n v="0.3320264943640297"/>
    <n v="0"/>
    <n v="0"/>
    <n v="0"/>
    <n v="0.32352424658762857"/>
    <n v="0"/>
    <n v="0"/>
    <n v="0"/>
    <n v="0.25079614407066902"/>
    <n v="0.26677941699994845"/>
    <n v="0.23052611834848052"/>
    <n v="0"/>
    <n v="0.56139347174818022"/>
    <n v="0.56139347174818022"/>
    <n v="0"/>
    <n v="0.32220858920320061"/>
    <n v="0.32220858920320061"/>
    <n v="0"/>
    <n v="0"/>
    <n v="0"/>
    <n v="0.22738513262018684"/>
    <n v="0.22738513262018684"/>
    <n v="0.66868161183242403"/>
    <n v="0.43263750604855516"/>
    <n v="0"/>
    <n v="0"/>
    <n v="0"/>
    <n v="0"/>
    <n v="0"/>
    <n v="0"/>
    <n v="0"/>
    <n v="0"/>
    <n v="0"/>
    <n v="0.31130112914999419"/>
    <n v="0"/>
    <n v="0"/>
    <n v="0"/>
    <n v="0"/>
    <n v="0"/>
    <n v="0"/>
    <n v="0"/>
    <n v="0"/>
    <n v="0"/>
    <n v="0.21162294697056513"/>
    <n v="0.44613887574485311"/>
    <n v="0"/>
    <n v="0"/>
    <n v="0"/>
    <n v="0"/>
    <n v="16.748219871257827"/>
    <n v="0"/>
    <n v="16.748219871257827"/>
    <n v="0"/>
    <n v="0"/>
    <n v="0.63460575122824636"/>
    <n v="0"/>
    <n v="0"/>
    <n v="0.56135752939269701"/>
    <n v="0"/>
    <n v="1.4145903896326868"/>
    <n v="5.1485744133392606"/>
    <n v="0"/>
    <n v="41.730455988961857"/>
    <n v="0"/>
    <n v="0.30133109587991108"/>
    <n v="0"/>
    <n v="0.60806859071946651"/>
    <n v="0.35839397352018004"/>
    <n v="0"/>
    <n v="0"/>
    <n v="0"/>
    <n v="0"/>
    <n v="0.402516558350617"/>
    <n v="0.54861826301295069"/>
    <n v="0"/>
    <n v="0"/>
    <n v="0.44816376774852318"/>
    <n v="0.24614140006842419"/>
    <n v="0.27217411379734247"/>
    <n v="0"/>
    <n v="7.7972357570266677"/>
    <n v="0"/>
    <n v="7.7972357570266677"/>
    <n v="0"/>
    <n v="0"/>
    <n v="0.45281349653837499"/>
    <n v="0"/>
    <n v="0"/>
    <n v="0.82472764680132682"/>
    <n v="0"/>
    <n v="0"/>
    <n v="0"/>
    <n v="0"/>
    <n v="0"/>
    <n v="0"/>
    <n v="0.63995322144227318"/>
    <n v="0"/>
    <n v="0.22444329261733154"/>
    <n v="0"/>
    <n v="0.36473529165675117"/>
    <n v="0"/>
    <n v="0"/>
    <n v="0.49969005987411313"/>
    <n v="0"/>
    <n v="0"/>
    <n v="0"/>
    <n v="0"/>
    <n v="0"/>
    <n v="0.27215635158678397"/>
    <n v="0.325029228239892"/>
    <n v="0"/>
    <n v="0.25174506404885955"/>
    <n v="0"/>
    <n v="0"/>
    <n v="0"/>
    <n v="0"/>
    <n v="0"/>
    <n v="0"/>
    <n v="0.24158737824840529"/>
    <n v="0"/>
    <n v="0"/>
    <n v="0"/>
    <n v="0"/>
    <n v="0"/>
    <n v="0"/>
    <n v="0"/>
    <n v="0"/>
    <n v="0"/>
    <n v="0"/>
    <n v="0"/>
    <n v="0"/>
    <n v="0"/>
    <n v="0"/>
    <n v="0"/>
    <n v="0"/>
    <n v="2.0902193244325016"/>
    <n v="0"/>
    <n v="0"/>
    <n v="0"/>
    <n v="0"/>
    <n v="0"/>
    <n v="0"/>
    <n v="1.1794527834888509"/>
    <n v="0"/>
    <n v="0"/>
    <n v="0"/>
    <n v="0"/>
    <n v="0"/>
    <n v="0"/>
    <n v="3.0427090890109092"/>
    <n v="0"/>
    <n v="0"/>
    <n v="0"/>
    <n v="0.95865513234685773"/>
    <n v="0"/>
    <n v="0"/>
    <n v="0"/>
    <n v="0.23327361887110745"/>
    <n v="0"/>
    <n v="0"/>
    <n v="0"/>
    <n v="1.6481339941042834"/>
    <n v="0"/>
    <n v="0"/>
    <n v="0"/>
    <n v="13.592393502591737"/>
    <n v="0"/>
    <n v="0"/>
    <n v="0"/>
    <n v="0"/>
    <n v="0"/>
    <n v="0"/>
    <n v="0"/>
    <n v="0"/>
    <n v="0"/>
    <n v="0"/>
    <n v="0"/>
    <n v="0"/>
    <n v="0"/>
  </r>
  <r>
    <x v="0"/>
    <s v="212C"/>
    <n v="12.24"/>
    <n v="0"/>
    <n v="0"/>
    <n v="0"/>
    <n v="0"/>
    <n v="0"/>
    <n v="0"/>
    <n v="0"/>
    <n v="0"/>
    <n v="0"/>
    <n v="0"/>
    <n v="0"/>
    <n v="0"/>
    <n v="0"/>
    <n v="0"/>
    <n v="2.7856355280143172"/>
    <n v="0"/>
    <n v="0"/>
    <n v="2.7856355280143172"/>
    <n v="0"/>
    <n v="0"/>
    <n v="0"/>
    <n v="0"/>
    <n v="0"/>
    <n v="0"/>
    <n v="4.6645442352988455"/>
    <n v="0"/>
    <n v="0"/>
    <n v="0"/>
    <n v="0"/>
    <n v="0"/>
    <n v="0.61164202317836469"/>
    <n v="0"/>
    <n v="0"/>
    <n v="0.8780151809027521"/>
    <n v="0"/>
    <n v="0"/>
    <n v="0"/>
    <n v="0"/>
    <n v="0"/>
    <n v="0"/>
    <n v="0.36124545954465681"/>
    <n v="0"/>
    <n v="0"/>
    <n v="0"/>
    <n v="0"/>
    <n v="0.29982523138311795"/>
    <n v="0"/>
    <n v="0"/>
    <n v="0.35301040639250969"/>
    <n v="0"/>
    <n v="0"/>
    <n v="0"/>
    <n v="0"/>
    <n v="0"/>
    <n v="0"/>
    <n v="0"/>
    <n v="0"/>
    <n v="1.9855724003911726"/>
    <n v="0"/>
    <n v="0"/>
    <n v="1.9855724003911726"/>
    <n v="0"/>
    <n v="0"/>
    <n v="0"/>
    <n v="0.28833337889563909"/>
    <n v="0"/>
    <n v="0"/>
    <n v="0"/>
    <n v="0"/>
    <n v="0"/>
    <n v="0"/>
    <n v="0"/>
    <n v="0.25359164415526553"/>
    <n v="0"/>
    <n v="0"/>
    <n v="0"/>
    <n v="0.9582815705505997"/>
    <n v="0"/>
    <n v="0"/>
    <n v="0"/>
    <n v="0"/>
    <n v="0"/>
    <n v="0.50025910463549383"/>
    <n v="0"/>
    <n v="0"/>
    <n v="0.2618436163644704"/>
    <n v="0"/>
    <n v="0"/>
    <n v="0"/>
    <n v="0"/>
    <n v="0"/>
    <n v="0"/>
    <n v="0"/>
    <n v="0"/>
    <n v="0"/>
    <n v="0"/>
    <n v="0.2657836119897265"/>
    <n v="0"/>
    <n v="0.2657836119897265"/>
    <n v="1.7393522225883729"/>
    <n v="0"/>
    <n v="0"/>
    <n v="1.7393522225883729"/>
    <n v="0"/>
    <n v="0"/>
    <n v="0"/>
    <n v="0"/>
    <n v="0"/>
    <n v="0"/>
    <n v="6.578622657978336"/>
    <n v="0"/>
    <n v="0"/>
    <n v="6.578622657978336"/>
    <n v="12.11747846876033"/>
    <n v="0"/>
    <n v="0"/>
    <n v="12.11747846876033"/>
    <n v="0"/>
    <n v="0"/>
    <n v="0"/>
    <n v="0"/>
    <n v="0"/>
    <n v="0"/>
    <n v="0"/>
    <n v="0.50396533131745869"/>
    <n v="0"/>
    <n v="0.503965331317458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4956204901657672"/>
    <n v="0"/>
    <n v="0"/>
    <n v="0"/>
    <n v="0"/>
    <n v="0.503948412260400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667814684262181"/>
    <n v="0"/>
    <n v="0"/>
    <n v="0"/>
    <n v="0"/>
    <n v="0"/>
    <n v="0"/>
    <n v="0"/>
    <n v="0"/>
    <n v="0.37685126415953502"/>
    <n v="0.37685126415953502"/>
    <n v="11.961607723722075"/>
    <n v="0"/>
    <n v="11.961607723722075"/>
    <n v="0"/>
    <n v="0"/>
    <n v="0"/>
    <n v="0"/>
    <n v="0"/>
    <n v="0"/>
    <n v="2.3923310766075461"/>
    <n v="2.3923310766075461"/>
    <n v="0"/>
    <n v="0"/>
    <n v="0"/>
    <n v="0"/>
    <n v="0"/>
    <n v="0"/>
    <n v="0"/>
    <n v="0"/>
    <n v="0.30783223470985255"/>
    <n v="0"/>
    <n v="0"/>
    <n v="0.34559032753807489"/>
    <n v="0"/>
    <n v="0"/>
    <n v="0"/>
    <n v="0"/>
    <n v="0"/>
    <n v="0"/>
    <n v="0"/>
    <n v="0"/>
    <n v="0"/>
    <n v="0"/>
    <n v="0"/>
    <n v="0"/>
    <n v="0"/>
    <n v="0"/>
    <n v="0"/>
    <n v="0"/>
    <n v="0.88196542328087424"/>
    <n v="0"/>
    <n v="0"/>
    <n v="0"/>
    <n v="0.41687150640535481"/>
    <n v="0"/>
    <n v="0"/>
    <n v="0"/>
    <n v="0"/>
    <n v="0"/>
    <n v="0"/>
    <n v="0"/>
    <n v="0"/>
    <n v="0"/>
    <n v="0"/>
    <n v="0"/>
    <n v="0"/>
    <n v="0"/>
    <n v="0"/>
    <n v="0"/>
    <n v="1.0658567480691592"/>
    <n v="0"/>
    <n v="0"/>
    <n v="0"/>
    <n v="0.32546522831614566"/>
    <n v="0"/>
    <n v="0"/>
    <n v="0.82784946183672681"/>
    <n v="0"/>
    <n v="0"/>
    <n v="0.52640309883158043"/>
    <n v="0"/>
    <n v="0"/>
    <n v="0"/>
    <n v="0.24151620334758273"/>
    <n v="0"/>
    <n v="0"/>
    <n v="2.0750875568351641"/>
    <n v="2.0750875568351641"/>
    <n v="0"/>
    <n v="0"/>
    <n v="0"/>
    <n v="0"/>
    <n v="0"/>
    <n v="1.340364159493082"/>
    <n v="0"/>
    <n v="1.340364159493082"/>
    <n v="1.2860134759193302"/>
    <n v="0"/>
    <n v="1.2860134759193302"/>
    <n v="0"/>
    <n v="0"/>
    <n v="0"/>
    <n v="0"/>
    <n v="0"/>
    <n v="0"/>
    <n v="0"/>
    <n v="0"/>
    <n v="0"/>
    <n v="0"/>
    <n v="0"/>
    <n v="25.026451158485489"/>
    <n v="0"/>
    <n v="0"/>
    <n v="0"/>
    <n v="0"/>
    <n v="0"/>
    <n v="0"/>
    <n v="0"/>
    <n v="0"/>
    <n v="0"/>
    <n v="0"/>
    <n v="5.012180100664863"/>
    <n v="0"/>
    <n v="0"/>
    <n v="0"/>
    <n v="0"/>
    <n v="5.012180100664863"/>
    <n v="0"/>
    <n v="0"/>
    <n v="0"/>
    <n v="0"/>
    <n v="0"/>
    <n v="0"/>
    <n v="0"/>
    <n v="0.41395427969406989"/>
    <n v="0"/>
    <n v="0"/>
    <n v="0"/>
    <n v="0.45838825116276338"/>
    <n v="0"/>
    <n v="0"/>
    <n v="0.26083538354177421"/>
    <n v="0"/>
    <n v="0"/>
    <n v="0.26968023763773591"/>
    <n v="0"/>
    <n v="0.39592738184388249"/>
    <n v="0"/>
    <n v="0"/>
    <n v="0"/>
    <n v="0"/>
    <n v="0"/>
    <n v="0.6440696598470762"/>
    <n v="0.6440696598470762"/>
    <n v="0"/>
    <n v="0"/>
    <n v="0"/>
    <n v="0.26007474086390936"/>
    <n v="0"/>
    <n v="0"/>
    <n v="0"/>
    <n v="0.24373712745713799"/>
    <n v="0"/>
    <n v="0.79976001437557465"/>
    <n v="0"/>
    <n v="0.79976001437557465"/>
    <n v="1.2254901960784315"/>
    <n v="0"/>
    <n v="1.2254901960784315"/>
    <n v="0"/>
    <n v="0.36361174456696194"/>
    <n v="0"/>
    <n v="0"/>
    <n v="0"/>
    <n v="0"/>
    <n v="1.1246364118467944"/>
    <n v="0"/>
    <n v="0"/>
    <n v="1.1246364118467944"/>
    <n v="0"/>
    <n v="0"/>
    <n v="0"/>
    <n v="0"/>
    <n v="0"/>
    <n v="0"/>
    <n v="0"/>
    <n v="0.53268626471104863"/>
    <n v="0.53268626471104863"/>
    <n v="0"/>
    <n v="0"/>
    <n v="0"/>
    <n v="0.39661558236195066"/>
    <n v="0"/>
    <n v="0"/>
    <n v="0"/>
    <n v="0"/>
    <n v="0"/>
    <n v="0"/>
    <n v="0"/>
    <n v="0.93545037538574027"/>
    <n v="0.93545037538574027"/>
    <n v="0"/>
    <n v="0.39573793606415114"/>
    <n v="0.39573793606415114"/>
    <n v="0"/>
    <n v="0"/>
    <n v="0"/>
    <n v="0"/>
    <n v="0"/>
    <n v="0"/>
    <n v="0"/>
    <n v="0"/>
    <n v="0"/>
    <n v="0"/>
    <n v="0"/>
    <n v="0"/>
    <n v="0"/>
    <n v="0"/>
    <n v="0.30547667303357001"/>
    <n v="0"/>
    <n v="0"/>
    <n v="0"/>
    <n v="0"/>
    <n v="0"/>
    <n v="0"/>
    <n v="0"/>
    <n v="0"/>
    <n v="0"/>
    <n v="0"/>
    <n v="0"/>
    <n v="0.30852758412526909"/>
    <n v="0.63126479321328299"/>
    <n v="0"/>
    <n v="0"/>
    <n v="0.24257900608670466"/>
    <n v="0"/>
    <n v="12.444165920226466"/>
    <n v="0"/>
    <n v="12.444165920226466"/>
    <n v="0"/>
    <n v="0"/>
    <n v="0.63246723774727609"/>
    <n v="0"/>
    <n v="0"/>
    <n v="0.41559399844920403"/>
    <n v="0"/>
    <n v="1.5181941725162758"/>
    <n v="4.1325778645507762"/>
    <n v="0"/>
    <n v="34.608727360538268"/>
    <n v="0"/>
    <n v="0"/>
    <n v="0"/>
    <n v="0.76177553979798784"/>
    <n v="0"/>
    <n v="0.60303022313595933"/>
    <n v="0"/>
    <n v="0"/>
    <n v="0.44277696572658481"/>
    <n v="0"/>
    <n v="0"/>
    <n v="0.48513489740531635"/>
    <n v="0"/>
    <n v="0.37734215511078867"/>
    <n v="0"/>
    <n v="0"/>
    <n v="0"/>
    <n v="2.6875164353150045"/>
    <n v="0"/>
    <n v="2.6875164353150045"/>
    <n v="0"/>
    <n v="0"/>
    <n v="0.47776152468022409"/>
    <n v="0"/>
    <n v="0"/>
    <n v="0"/>
    <n v="0.68562000442202198"/>
    <n v="0"/>
    <n v="0"/>
    <n v="0"/>
    <n v="0"/>
    <n v="0"/>
    <n v="0.3289281541916883"/>
    <n v="0"/>
    <n v="0"/>
    <n v="0"/>
    <n v="0.4833016818286201"/>
    <n v="0"/>
    <n v="0.24565684469174928"/>
    <n v="0"/>
    <n v="0"/>
    <n v="0"/>
    <n v="0"/>
    <n v="0"/>
    <n v="0.31390331663465298"/>
    <n v="0"/>
    <n v="0"/>
    <n v="0"/>
    <n v="0"/>
    <n v="0"/>
    <n v="0"/>
    <n v="0.2663078644619391"/>
    <n v="0"/>
    <n v="0"/>
    <n v="0"/>
    <n v="0"/>
    <n v="0"/>
    <n v="0"/>
    <n v="0"/>
    <n v="0.34497361599349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716232659968208"/>
    <n v="0"/>
    <n v="0"/>
    <n v="0"/>
    <n v="0"/>
    <n v="0"/>
    <n v="0"/>
    <n v="0"/>
    <n v="0"/>
    <n v="0"/>
    <n v="0"/>
    <n v="0"/>
    <n v="0"/>
    <n v="0.57541784542452079"/>
    <n v="0"/>
    <n v="0"/>
    <n v="2.4928612540858808"/>
    <n v="0"/>
    <n v="0"/>
    <n v="0"/>
    <n v="0"/>
    <n v="0"/>
    <n v="1.2992456083179766"/>
    <n v="0"/>
    <n v="0"/>
    <n v="0"/>
    <n v="0.24670582622933107"/>
    <n v="0"/>
    <n v="0.60795509851924034"/>
    <n v="0"/>
  </r>
  <r>
    <x v="0"/>
    <s v="218A"/>
    <n v="7.42"/>
    <n v="0"/>
    <n v="0"/>
    <n v="0"/>
    <n v="0"/>
    <n v="0"/>
    <n v="0"/>
    <n v="0"/>
    <n v="0"/>
    <n v="0"/>
    <n v="0"/>
    <n v="0"/>
    <n v="0"/>
    <n v="0"/>
    <n v="0"/>
    <n v="4.3193151152969085"/>
    <n v="0"/>
    <n v="0"/>
    <n v="4.3193151152969085"/>
    <n v="0"/>
    <n v="0"/>
    <n v="0"/>
    <n v="0"/>
    <n v="0"/>
    <n v="0"/>
    <n v="14.327799750866781"/>
    <n v="0"/>
    <n v="0"/>
    <n v="0"/>
    <n v="0"/>
    <n v="0"/>
    <n v="0"/>
    <n v="0"/>
    <n v="0"/>
    <n v="0"/>
    <n v="0"/>
    <n v="0"/>
    <n v="0"/>
    <n v="0"/>
    <n v="0"/>
    <n v="1.1951033687558861"/>
    <n v="0"/>
    <n v="0"/>
    <n v="0"/>
    <n v="0"/>
    <n v="0.54735178373162097"/>
    <n v="0"/>
    <n v="0"/>
    <n v="0"/>
    <n v="0.78115610640849154"/>
    <n v="0"/>
    <n v="0"/>
    <n v="0"/>
    <n v="0.57900579860153489"/>
    <n v="0"/>
    <n v="0"/>
    <n v="0"/>
    <n v="0"/>
    <n v="3.323347095133494"/>
    <n v="0"/>
    <n v="0"/>
    <n v="3.323347095133494"/>
    <n v="0"/>
    <n v="0"/>
    <n v="0"/>
    <n v="0"/>
    <n v="0"/>
    <n v="0"/>
    <n v="0"/>
    <n v="0"/>
    <n v="0"/>
    <n v="1.0714048849587288"/>
    <n v="0"/>
    <n v="0"/>
    <n v="0"/>
    <n v="0"/>
    <n v="0"/>
    <n v="1.852212943497298"/>
    <n v="0"/>
    <n v="0"/>
    <n v="0"/>
    <n v="0"/>
    <n v="0"/>
    <n v="0"/>
    <n v="0"/>
    <n v="0"/>
    <n v="0"/>
    <n v="0.80111623688595801"/>
    <n v="0"/>
    <n v="0"/>
    <n v="0"/>
    <n v="0"/>
    <n v="0"/>
    <n v="0"/>
    <n v="0"/>
    <n v="0"/>
    <n v="0"/>
    <n v="1.7144440677692772"/>
    <n v="0"/>
    <n v="1.7144440677692772"/>
    <n v="0"/>
    <n v="1.5690495811195704"/>
    <n v="0"/>
    <n v="1.5690495811195704"/>
    <n v="0"/>
    <n v="0"/>
    <n v="0"/>
    <n v="0.44450691340046355"/>
    <n v="0"/>
    <n v="0"/>
    <n v="11.816316016933913"/>
    <n v="0"/>
    <n v="0"/>
    <n v="11.816316016933913"/>
    <n v="0"/>
    <n v="2.7593654356998498"/>
    <n v="0"/>
    <n v="2.75936543569984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776186721135827"/>
    <n v="0"/>
    <n v="0"/>
    <n v="0"/>
    <n v="0"/>
    <n v="0"/>
    <n v="0"/>
    <n v="0"/>
    <n v="1.1261427271863533"/>
    <n v="0"/>
    <n v="0"/>
    <n v="0"/>
    <n v="0"/>
    <n v="0.949499044205525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963918063940528"/>
    <n v="0"/>
    <n v="3.963918063940528"/>
    <n v="21.501435796011489"/>
    <n v="0"/>
    <n v="21.501435796011489"/>
    <n v="0"/>
    <n v="0"/>
    <n v="0"/>
    <n v="0"/>
    <n v="0"/>
    <n v="0"/>
    <n v="4.9988884070129824"/>
    <n v="4.9988884070129824"/>
    <n v="0"/>
    <n v="0"/>
    <n v="0"/>
    <n v="0"/>
    <n v="0"/>
    <n v="0"/>
    <n v="0"/>
    <n v="0"/>
    <n v="0.495469069450737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8766466504273596"/>
    <n v="0"/>
    <n v="0"/>
    <n v="0"/>
    <n v="0"/>
    <n v="0"/>
    <n v="0"/>
    <n v="0"/>
    <n v="0"/>
    <n v="0"/>
    <n v="0.45842882819735747"/>
    <n v="0"/>
    <n v="0"/>
    <n v="0"/>
    <n v="0"/>
    <n v="0"/>
    <n v="0"/>
    <n v="0"/>
    <n v="0"/>
    <n v="0"/>
    <n v="1.0384001648671464"/>
    <n v="0"/>
    <n v="0"/>
    <n v="0"/>
    <n v="0"/>
    <n v="0.45988084722808753"/>
    <n v="0"/>
    <n v="0"/>
    <n v="0"/>
    <n v="0"/>
    <n v="0"/>
    <n v="0.69927489730145242"/>
    <n v="0"/>
    <n v="0"/>
    <n v="0.77071030333629265"/>
    <n v="0"/>
    <n v="0"/>
    <n v="5.7823537695521496"/>
    <n v="5.7823537695521496"/>
    <n v="0"/>
    <n v="0"/>
    <n v="0"/>
    <n v="0"/>
    <n v="0"/>
    <n v="1.7894547158506098"/>
    <n v="0"/>
    <n v="1.7894547158506098"/>
    <n v="0"/>
    <n v="3.3282717323092967"/>
    <n v="3.3282717323092967"/>
    <n v="0"/>
    <n v="0"/>
    <n v="0"/>
    <n v="0"/>
    <n v="0"/>
    <n v="0"/>
    <n v="0"/>
    <n v="0"/>
    <n v="0"/>
    <n v="0"/>
    <n v="0"/>
    <n v="0"/>
    <n v="58.843337605779361"/>
    <n v="0"/>
    <n v="0"/>
    <n v="0"/>
    <n v="0"/>
    <n v="0"/>
    <n v="0"/>
    <n v="0"/>
    <n v="0"/>
    <n v="0"/>
    <n v="10.143824163367684"/>
    <n v="0"/>
    <n v="0"/>
    <n v="0"/>
    <n v="0"/>
    <n v="10.143824163367684"/>
    <n v="0"/>
    <n v="0"/>
    <n v="0"/>
    <n v="1.029568832278138"/>
    <n v="0"/>
    <n v="0"/>
    <n v="0.66704444179377498"/>
    <n v="0"/>
    <n v="0"/>
    <n v="0"/>
    <n v="0"/>
    <n v="0.7121255932465026"/>
    <n v="0"/>
    <n v="0"/>
    <n v="0.65534007666245919"/>
    <n v="0"/>
    <n v="0"/>
    <n v="0"/>
    <n v="0"/>
    <n v="0"/>
    <n v="1.2012114560289149"/>
    <n v="0"/>
    <n v="0"/>
    <n v="0"/>
    <n v="0"/>
    <n v="1.3714474772840581"/>
    <n v="1.3714474772840581"/>
    <n v="0"/>
    <n v="0"/>
    <n v="0"/>
    <n v="0"/>
    <n v="0"/>
    <n v="0"/>
    <n v="0"/>
    <n v="1.3370986024326001"/>
    <n v="0"/>
    <n v="1.1026361766942827"/>
    <n v="0"/>
    <n v="1.1026361766942827"/>
    <n v="0"/>
    <n v="2.0215633423180592"/>
    <n v="2.0215633423180592"/>
    <n v="0"/>
    <n v="0"/>
    <n v="0"/>
    <n v="0"/>
    <n v="0"/>
    <n v="0"/>
    <n v="3.1314617976532562"/>
    <n v="0"/>
    <n v="0"/>
    <n v="3.1314617976532562"/>
    <n v="0"/>
    <n v="0"/>
    <n v="0"/>
    <n v="0"/>
    <n v="0"/>
    <n v="0"/>
    <n v="0"/>
    <n v="1.0557877106498668"/>
    <n v="1.0557877106498668"/>
    <n v="0"/>
    <n v="0.73926459315138859"/>
    <n v="0"/>
    <n v="0.91250596627705338"/>
    <n v="0"/>
    <n v="0"/>
    <n v="0"/>
    <n v="0.81087817174699206"/>
    <n v="0"/>
    <n v="0"/>
    <n v="0"/>
    <n v="2.046145915333955"/>
    <n v="2.046145915333955"/>
    <n v="1.7047284228382455"/>
    <n v="0"/>
    <n v="1.7047284228382455"/>
    <n v="0"/>
    <n v="0"/>
    <n v="0.63688917258204614"/>
    <n v="0"/>
    <n v="0.63688917258204614"/>
    <n v="0"/>
    <n v="0"/>
    <n v="0"/>
    <n v="0"/>
    <n v="0"/>
    <n v="0.67799201023929989"/>
    <n v="0"/>
    <n v="0"/>
    <n v="0"/>
    <n v="0.67639588104912896"/>
    <n v="0"/>
    <n v="0"/>
    <n v="0"/>
    <n v="0.71242866127878113"/>
    <n v="0"/>
    <n v="0"/>
    <n v="0"/>
    <n v="0"/>
    <n v="0"/>
    <n v="0"/>
    <n v="0.56462447808424177"/>
    <n v="0.58572613570346099"/>
    <n v="1.1673167465284218"/>
    <n v="0"/>
    <n v="0.54032139143817082"/>
    <n v="0"/>
    <n v="0"/>
    <n v="6.1107292926184602"/>
    <n v="0"/>
    <n v="6.1107292926184602"/>
    <n v="0"/>
    <n v="0"/>
    <n v="0"/>
    <n v="0"/>
    <n v="0.7129347936266357"/>
    <n v="0"/>
    <n v="0"/>
    <n v="1.8820546639378797"/>
    <n v="2.6641317652744343"/>
    <n v="0"/>
    <n v="16.663675648176987"/>
    <n v="0.56781848325439477"/>
    <n v="0"/>
    <n v="0"/>
    <n v="1.5640978687016915"/>
    <n v="0"/>
    <n v="0"/>
    <n v="0.72384218590649829"/>
    <n v="0"/>
    <n v="0"/>
    <n v="0.94451283268887121"/>
    <n v="0"/>
    <n v="1.0104768563369395"/>
    <n v="0.67814660113760916"/>
    <n v="0"/>
    <n v="0.53309972566037167"/>
    <n v="0"/>
    <n v="0"/>
    <n v="2.3363663085497564"/>
    <n v="0"/>
    <n v="2.3363663085497564"/>
    <n v="1.0101165809383374"/>
    <n v="0"/>
    <n v="0"/>
    <n v="0"/>
    <n v="0"/>
    <n v="0"/>
    <n v="0"/>
    <n v="0"/>
    <n v="0"/>
    <n v="0"/>
    <n v="1.0389180880462277"/>
    <n v="0"/>
    <n v="0"/>
    <n v="0"/>
    <n v="0"/>
    <n v="0"/>
    <n v="0.477442635294495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658379135753706"/>
    <n v="0"/>
    <n v="0"/>
    <n v="0"/>
    <n v="0"/>
    <n v="0"/>
    <n v="0"/>
    <n v="0"/>
    <n v="0"/>
    <n v="0"/>
    <n v="0"/>
    <n v="0"/>
    <n v="0"/>
    <n v="0.67937983474446084"/>
    <n v="0"/>
    <n v="0.45173643973241401"/>
    <n v="9.7890044260439719"/>
    <n v="0"/>
    <n v="0"/>
    <n v="0.53669549248714787"/>
    <n v="0"/>
    <n v="0"/>
    <n v="0"/>
    <n v="0"/>
    <n v="0"/>
    <n v="0"/>
    <n v="0"/>
    <n v="0"/>
    <n v="0"/>
    <n v="0"/>
  </r>
  <r>
    <x v="0"/>
    <s v="223E"/>
    <n v="11.35"/>
    <n v="0"/>
    <n v="0"/>
    <n v="0.38532352898886912"/>
    <n v="0"/>
    <n v="0"/>
    <n v="0"/>
    <n v="0"/>
    <n v="0"/>
    <n v="0"/>
    <n v="0"/>
    <n v="0.33718954788994876"/>
    <n v="0"/>
    <n v="0"/>
    <n v="0"/>
    <n v="6.4782196186399474"/>
    <n v="0"/>
    <n v="0"/>
    <n v="6.47821961863994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3595806923060645"/>
    <n v="0"/>
    <n v="0"/>
    <n v="0"/>
    <n v="0.37465750567564643"/>
    <n v="0"/>
    <n v="0"/>
    <n v="0.5166802398160274"/>
    <n v="0"/>
    <n v="1.9102845174116487"/>
    <n v="0"/>
    <n v="0"/>
    <n v="1.9102845174116487"/>
    <n v="0"/>
    <n v="0.30877577087695268"/>
    <n v="0"/>
    <n v="0"/>
    <n v="0.61750940395318388"/>
    <n v="0"/>
    <n v="0"/>
    <n v="0.33156343486437373"/>
    <n v="0"/>
    <n v="0"/>
    <n v="0"/>
    <n v="0.65285011943171323"/>
    <n v="0"/>
    <n v="0"/>
    <n v="0"/>
    <n v="1.1832529496976478"/>
    <n v="0"/>
    <n v="0"/>
    <n v="0"/>
    <n v="0"/>
    <n v="0"/>
    <n v="0"/>
    <n v="1.124640702152665"/>
    <n v="0"/>
    <n v="0"/>
    <n v="0.6823331073065525"/>
    <n v="0"/>
    <n v="0"/>
    <n v="0"/>
    <n v="0"/>
    <n v="0"/>
    <n v="0"/>
    <n v="0"/>
    <n v="0"/>
    <n v="0"/>
    <n v="0.5512343830144234"/>
    <n v="0"/>
    <n v="0.5512343830144234"/>
    <n v="0"/>
    <n v="2.668144042803108"/>
    <n v="0"/>
    <n v="2.668144042803108"/>
    <n v="0"/>
    <n v="0"/>
    <n v="0"/>
    <n v="0"/>
    <n v="0.64636577119960792"/>
    <n v="0"/>
    <n v="0"/>
    <n v="6.7879358937629348"/>
    <n v="0"/>
    <n v="6.7879358937629348"/>
    <n v="0"/>
    <n v="0.48259305224603422"/>
    <n v="0"/>
    <n v="0.48259305224603422"/>
    <n v="0"/>
    <n v="0"/>
    <n v="0"/>
    <n v="0"/>
    <n v="0"/>
    <n v="1.9845728867801211"/>
    <n v="0"/>
    <n v="1.8206184306452047"/>
    <n v="0"/>
    <n v="1.8206184306452047"/>
    <n v="0.50926255363052753"/>
    <n v="0"/>
    <n v="0"/>
    <n v="0"/>
    <n v="0.97687289452888992"/>
    <n v="0"/>
    <n v="0"/>
    <n v="0"/>
    <n v="0"/>
    <n v="0.30688444292348327"/>
    <n v="0"/>
    <n v="0"/>
    <n v="0"/>
    <n v="0"/>
    <n v="0"/>
    <n v="0"/>
    <n v="0"/>
    <n v="0"/>
    <n v="0"/>
    <n v="0.29835483477200769"/>
    <n v="0"/>
    <n v="0"/>
    <n v="1.3680446916151647"/>
    <n v="0"/>
    <n v="0"/>
    <n v="0"/>
    <n v="0"/>
    <n v="0"/>
    <n v="0"/>
    <n v="0.30885975982668995"/>
    <n v="0"/>
    <n v="0"/>
    <n v="0"/>
    <n v="0.751395816082156"/>
    <n v="0"/>
    <n v="0"/>
    <n v="0"/>
    <n v="0"/>
    <n v="0.74431351239219401"/>
    <n v="0"/>
    <n v="0"/>
    <n v="0.35138396704725378"/>
    <n v="0"/>
    <n v="0.6468201141529647"/>
    <n v="0"/>
    <n v="0"/>
    <n v="0"/>
    <n v="0"/>
    <n v="0"/>
    <n v="0"/>
    <n v="0"/>
    <n v="0.30058326513124856"/>
    <n v="0"/>
    <n v="0.78078248898391767"/>
    <n v="0.61165282295631618"/>
    <n v="0"/>
    <n v="0"/>
    <n v="0"/>
    <n v="0"/>
    <n v="0"/>
    <n v="0"/>
    <n v="0.86674388910734301"/>
    <n v="0"/>
    <n v="0"/>
    <n v="0"/>
    <n v="0"/>
    <n v="0.61297715383613249"/>
    <n v="0"/>
    <n v="0.72475497986822135"/>
    <n v="0"/>
    <n v="0"/>
    <n v="1.0382906023164622"/>
    <n v="0"/>
    <n v="1.0382906023164622"/>
    <n v="13.012640170677471"/>
    <n v="0"/>
    <n v="13.012640170677471"/>
    <n v="0"/>
    <n v="0"/>
    <n v="0"/>
    <n v="0"/>
    <n v="0.38461234610730544"/>
    <n v="0"/>
    <n v="0.92758743352862272"/>
    <n v="0.92758743352862272"/>
    <n v="0"/>
    <n v="0"/>
    <n v="0"/>
    <n v="0"/>
    <n v="0"/>
    <n v="0"/>
    <n v="0.5300542617919396"/>
    <n v="0"/>
    <n v="0"/>
    <n v="0.51497724203312933"/>
    <n v="0"/>
    <n v="0"/>
    <n v="0"/>
    <n v="0.29978522678289166"/>
    <n v="0"/>
    <n v="0.31566257810370357"/>
    <n v="0"/>
    <n v="0"/>
    <n v="0"/>
    <n v="0"/>
    <n v="0"/>
    <n v="0"/>
    <n v="0"/>
    <n v="0"/>
    <n v="0"/>
    <n v="0.51980044363135247"/>
    <n v="0"/>
    <n v="0"/>
    <n v="1.0685598758197294"/>
    <n v="0"/>
    <n v="0"/>
    <n v="0"/>
    <n v="0.34671297750469782"/>
    <n v="0"/>
    <n v="0"/>
    <n v="0"/>
    <n v="0"/>
    <n v="0"/>
    <n v="0.39857085091091149"/>
    <n v="0"/>
    <n v="0"/>
    <n v="0"/>
    <n v="0"/>
    <n v="0"/>
    <n v="0"/>
    <n v="0"/>
    <n v="0"/>
    <n v="0"/>
    <n v="0"/>
    <n v="0.37449268094493343"/>
    <n v="0"/>
    <n v="0"/>
    <n v="0.7174654269951195"/>
    <n v="0.80392330787262312"/>
    <n v="0"/>
    <n v="0"/>
    <n v="0"/>
    <n v="0"/>
    <n v="0.46226743975790818"/>
    <n v="0"/>
    <n v="0"/>
    <n v="0"/>
    <n v="0.95554744089167309"/>
    <n v="0"/>
    <n v="0"/>
    <n v="3.0850743621535179"/>
    <n v="3.0850743621535179"/>
    <n v="0"/>
    <n v="0.32248546200010841"/>
    <n v="0"/>
    <n v="0"/>
    <n v="0"/>
    <n v="1.589193042655815"/>
    <n v="0"/>
    <n v="1.589193042655815"/>
    <n v="0"/>
    <n v="0.74263917977985472"/>
    <n v="0.74263917977985472"/>
    <n v="0"/>
    <n v="0"/>
    <n v="0"/>
    <n v="0"/>
    <n v="0"/>
    <n v="0"/>
    <n v="0"/>
    <n v="0"/>
    <n v="0"/>
    <n v="0"/>
    <n v="0"/>
    <n v="0"/>
    <n v="0"/>
    <n v="0"/>
    <n v="0"/>
    <n v="68.025942300405632"/>
    <n v="0"/>
    <n v="0.50356133785808843"/>
    <n v="0"/>
    <n v="0"/>
    <n v="0"/>
    <n v="0.57815126482083912"/>
    <n v="0"/>
    <n v="5.3409693946101733"/>
    <n v="0"/>
    <n v="0"/>
    <n v="0"/>
    <n v="5.3409693946101733"/>
    <n v="0"/>
    <n v="0"/>
    <n v="0.65716566085934014"/>
    <n v="0"/>
    <n v="0"/>
    <n v="0"/>
    <n v="0"/>
    <n v="0"/>
    <n v="0"/>
    <n v="0.40971472261734931"/>
    <n v="0"/>
    <n v="0"/>
    <n v="0.73418123455477624"/>
    <n v="0"/>
    <n v="0"/>
    <n v="0.55197480436995716"/>
    <n v="0"/>
    <n v="0"/>
    <n v="0"/>
    <n v="0"/>
    <n v="0"/>
    <n v="0.65199876386611699"/>
    <n v="0"/>
    <n v="0"/>
    <n v="0"/>
    <n v="1.1553924104764366"/>
    <n v="1.1553924104764366"/>
    <n v="0"/>
    <n v="0"/>
    <n v="0"/>
    <n v="0"/>
    <n v="0"/>
    <n v="0.47191728277482159"/>
    <n v="0"/>
    <n v="0.41500401988885849"/>
    <n v="0"/>
    <n v="0.68372709455082681"/>
    <n v="0"/>
    <n v="0.68372709455082681"/>
    <n v="0"/>
    <n v="1.3215859030837005"/>
    <n v="1.3215859030837005"/>
    <n v="0"/>
    <n v="0"/>
    <n v="0"/>
    <n v="0"/>
    <n v="0"/>
    <n v="0"/>
    <n v="0"/>
    <n v="1.3587841216144398"/>
    <n v="0"/>
    <n v="1.3587841216144398"/>
    <n v="0"/>
    <n v="0"/>
    <n v="0.79803548183984618"/>
    <n v="0"/>
    <n v="0.29765053153137805"/>
    <n v="0"/>
    <n v="0"/>
    <n v="1.1059619037131418"/>
    <n v="1.1059619037131418"/>
    <n v="0"/>
    <n v="0.70661766650055391"/>
    <n v="0"/>
    <n v="0.50425274177196666"/>
    <n v="0"/>
    <n v="0"/>
    <n v="0"/>
    <n v="0.31871627872333219"/>
    <n v="0"/>
    <n v="0"/>
    <n v="0"/>
    <n v="1.9005243134880843"/>
    <n v="1.9005243134880843"/>
    <n v="0"/>
    <n v="0.72178182837786309"/>
    <n v="0.72178182837786309"/>
    <n v="0"/>
    <n v="0.36691446980430426"/>
    <n v="0"/>
    <n v="0.31154625961146037"/>
    <n v="0.31154625961146037"/>
    <n v="0.49361108385371893"/>
    <n v="0.41941415637932938"/>
    <n v="0"/>
    <n v="0"/>
    <n v="0"/>
    <n v="0"/>
    <n v="0"/>
    <n v="0"/>
    <n v="0"/>
    <n v="0.57956159121233197"/>
    <n v="0"/>
    <n v="0"/>
    <n v="0"/>
    <n v="0.46499091761269951"/>
    <n v="0"/>
    <n v="0"/>
    <n v="0"/>
    <n v="0"/>
    <n v="0"/>
    <n v="0.43674024542018286"/>
    <n v="0"/>
    <n v="0.51003679988732065"/>
    <n v="0.75650308952061684"/>
    <n v="0"/>
    <n v="0.39941676009410154"/>
    <n v="0"/>
    <n v="0"/>
    <n v="7.3004734431298033"/>
    <n v="0"/>
    <n v="7.3004734431298033"/>
    <n v="0"/>
    <n v="0"/>
    <n v="0"/>
    <n v="0.42620952171199777"/>
    <n v="0"/>
    <n v="0.36245588917558902"/>
    <n v="0"/>
    <n v="2.006360996270157"/>
    <n v="2.6985712613961539"/>
    <n v="0"/>
    <n v="21.368469738764212"/>
    <n v="0.38110544914114219"/>
    <n v="0"/>
    <n v="0.31847577794234389"/>
    <n v="0.46941567334015538"/>
    <n v="0"/>
    <n v="0"/>
    <n v="0.31507150228678116"/>
    <n v="0.3638647823085539"/>
    <n v="0"/>
    <n v="0"/>
    <n v="0"/>
    <n v="0"/>
    <n v="0"/>
    <n v="0.43508569177552914"/>
    <n v="0"/>
    <n v="0"/>
    <n v="0"/>
    <n v="3.537200064567724"/>
    <n v="0"/>
    <n v="3.537200064567724"/>
    <n v="0"/>
    <n v="2.3020218783130488"/>
    <n v="0"/>
    <n v="0"/>
    <n v="0"/>
    <n v="0"/>
    <n v="0"/>
    <n v="0"/>
    <n v="0"/>
    <n v="0"/>
    <n v="0.292851695328129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222363158036796"/>
    <n v="0"/>
    <n v="0"/>
    <n v="0"/>
    <n v="0"/>
    <n v="0"/>
    <n v="0"/>
    <n v="0"/>
    <n v="0"/>
    <n v="0"/>
    <n v="0"/>
    <n v="0"/>
    <n v="0"/>
    <n v="0.31325441712505908"/>
    <n v="0"/>
    <n v="0"/>
    <n v="0"/>
    <n v="1.711011704631239"/>
    <n v="0"/>
    <n v="0"/>
    <n v="0"/>
    <n v="0"/>
    <n v="0"/>
    <n v="0"/>
    <n v="0"/>
    <n v="0"/>
    <n v="0"/>
    <n v="0"/>
    <n v="0"/>
    <n v="0"/>
  </r>
  <r>
    <x v="0"/>
    <s v="223G"/>
    <n v="7.37"/>
    <n v="0"/>
    <n v="0"/>
    <n v="0"/>
    <n v="0"/>
    <n v="0"/>
    <n v="0"/>
    <n v="0"/>
    <n v="0"/>
    <n v="0"/>
    <n v="0"/>
    <n v="0"/>
    <n v="0"/>
    <n v="0"/>
    <n v="0"/>
    <n v="5.4701153363036559"/>
    <n v="0"/>
    <n v="0"/>
    <n v="5.4701153363036559"/>
    <n v="0"/>
    <n v="0"/>
    <n v="0"/>
    <n v="0"/>
    <n v="0"/>
    <n v="0"/>
    <n v="2.4438739218607042"/>
    <n v="0"/>
    <n v="0"/>
    <n v="0"/>
    <n v="0"/>
    <n v="0.75009557050013176"/>
    <n v="0"/>
    <n v="0"/>
    <n v="0"/>
    <n v="0.97251700171330657"/>
    <n v="0"/>
    <n v="0"/>
    <n v="0"/>
    <n v="0"/>
    <n v="0"/>
    <n v="0"/>
    <n v="0"/>
    <n v="0"/>
    <n v="0"/>
    <n v="0"/>
    <n v="0.3550681350441009"/>
    <n v="0"/>
    <n v="0"/>
    <n v="0"/>
    <n v="0.48174188597464723"/>
    <n v="0"/>
    <n v="0"/>
    <n v="0"/>
    <n v="0.47954059268070248"/>
    <n v="0"/>
    <n v="0.48389200703802859"/>
    <n v="0"/>
    <n v="0"/>
    <n v="2.61585402760719"/>
    <n v="0"/>
    <n v="0"/>
    <n v="2.61585402760719"/>
    <n v="0"/>
    <n v="0"/>
    <n v="0"/>
    <n v="0"/>
    <n v="0"/>
    <n v="0"/>
    <n v="0"/>
    <n v="0"/>
    <n v="0"/>
    <n v="0.34822377525794301"/>
    <n v="0"/>
    <n v="0"/>
    <n v="0"/>
    <n v="0"/>
    <n v="0"/>
    <n v="0"/>
    <n v="0.85910987340123857"/>
    <n v="0"/>
    <n v="0"/>
    <n v="0"/>
    <n v="0"/>
    <n v="0.31944516353424446"/>
    <n v="0"/>
    <n v="0"/>
    <n v="0"/>
    <n v="0"/>
    <n v="0"/>
    <n v="0"/>
    <n v="0"/>
    <n v="0.90664443869598543"/>
    <n v="0"/>
    <n v="0"/>
    <n v="0"/>
    <n v="0"/>
    <n v="1.3989834132958494"/>
    <n v="0"/>
    <n v="0"/>
    <n v="1.3989834132958494"/>
    <n v="1.1571839753273794"/>
    <n v="0"/>
    <n v="0"/>
    <n v="1.1571839753273794"/>
    <n v="0"/>
    <n v="0"/>
    <n v="0"/>
    <n v="0"/>
    <n v="0"/>
    <n v="0"/>
    <n v="9.4452632402298757"/>
    <n v="0"/>
    <n v="0"/>
    <n v="9.4452632402298757"/>
    <n v="6.6210746386832033"/>
    <n v="0"/>
    <n v="0"/>
    <n v="6.62107463868320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3383402570623333"/>
    <n v="0"/>
    <n v="0"/>
    <n v="0"/>
    <n v="0"/>
    <n v="0"/>
    <n v="0"/>
    <n v="0"/>
    <n v="0.465730597879883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8250591600974371"/>
    <n v="0.38250591600974371"/>
    <n v="20.203269008214622"/>
    <n v="0"/>
    <n v="20.203269008214622"/>
    <n v="0"/>
    <n v="0"/>
    <n v="0"/>
    <n v="0"/>
    <n v="0"/>
    <n v="0"/>
    <n v="0.92708256842433878"/>
    <n v="0.92708256842433878"/>
    <n v="0"/>
    <n v="0"/>
    <n v="0"/>
    <n v="0"/>
    <n v="0"/>
    <n v="0"/>
    <n v="0"/>
    <n v="0"/>
    <n v="0"/>
    <n v="0"/>
    <n v="0"/>
    <n v="1.1419248894425733"/>
    <n v="0"/>
    <n v="0"/>
    <n v="0"/>
    <n v="0"/>
    <n v="0"/>
    <n v="0"/>
    <n v="0"/>
    <n v="0"/>
    <n v="0"/>
    <n v="0"/>
    <n v="0"/>
    <n v="0"/>
    <n v="0"/>
    <n v="0"/>
    <n v="0"/>
    <n v="0"/>
    <n v="1.5656951456402324"/>
    <n v="0"/>
    <n v="0"/>
    <n v="0"/>
    <n v="0"/>
    <n v="0"/>
    <n v="0"/>
    <n v="0"/>
    <n v="0"/>
    <n v="0.3999938039598378"/>
    <n v="0"/>
    <n v="0"/>
    <n v="0"/>
    <n v="0"/>
    <n v="0"/>
    <n v="0"/>
    <n v="0"/>
    <n v="0"/>
    <n v="0"/>
    <n v="0"/>
    <n v="0.7692174203093699"/>
    <n v="0"/>
    <n v="0"/>
    <n v="1.0024172614040354"/>
    <n v="0"/>
    <n v="0"/>
    <n v="0"/>
    <n v="0"/>
    <n v="0"/>
    <n v="0"/>
    <n v="0"/>
    <n v="0.56664726503589125"/>
    <n v="0"/>
    <n v="0"/>
    <n v="0.34031958829196729"/>
    <n v="0"/>
    <n v="0"/>
    <n v="5.2542117091394029"/>
    <n v="5.2542117091394029"/>
    <n v="0"/>
    <n v="0"/>
    <n v="0"/>
    <n v="0"/>
    <n v="0"/>
    <n v="1.2655605480025061"/>
    <n v="0"/>
    <n v="1.2655605480025061"/>
    <n v="0"/>
    <n v="0.74107032715360632"/>
    <n v="0.74107032715360632"/>
    <n v="0"/>
    <n v="0"/>
    <n v="7.600429492731382"/>
    <n v="0"/>
    <n v="0"/>
    <n v="0"/>
    <n v="0"/>
    <n v="0"/>
    <n v="0"/>
    <n v="0"/>
    <n v="0"/>
    <n v="0.79619051009457908"/>
    <n v="0"/>
    <n v="0"/>
    <n v="0"/>
    <n v="0"/>
    <n v="0"/>
    <n v="0"/>
    <n v="0"/>
    <n v="0"/>
    <n v="0"/>
    <n v="0"/>
    <n v="5.4640506874987995"/>
    <n v="0"/>
    <n v="0"/>
    <n v="0"/>
    <n v="0"/>
    <n v="5.4640506874987995"/>
    <n v="0"/>
    <n v="0"/>
    <n v="0"/>
    <n v="0"/>
    <n v="0"/>
    <n v="0.427544282150016"/>
    <n v="0"/>
    <n v="0"/>
    <n v="0"/>
    <n v="0"/>
    <n v="0"/>
    <n v="0.85597416926134229"/>
    <n v="0"/>
    <n v="0"/>
    <n v="0.45484984353726676"/>
    <n v="0"/>
    <n v="0"/>
    <n v="0"/>
    <n v="0"/>
    <n v="0"/>
    <n v="0"/>
    <n v="0"/>
    <n v="0.3266648849422803"/>
    <n v="0"/>
    <n v="0"/>
    <n v="0.37918770744061281"/>
    <n v="0.37918770744061281"/>
    <n v="0"/>
    <n v="0"/>
    <n v="0"/>
    <n v="0"/>
    <n v="0"/>
    <n v="0"/>
    <n v="0"/>
    <n v="0"/>
    <n v="0.67154175968678809"/>
    <n v="0"/>
    <n v="0"/>
    <n v="0.67154175968678809"/>
    <n v="2.0352781546811398"/>
    <n v="0"/>
    <n v="2.0352781546811398"/>
    <n v="0"/>
    <n v="0"/>
    <n v="0"/>
    <n v="0"/>
    <n v="0"/>
    <n v="0"/>
    <n v="0"/>
    <n v="1.3794924135227786"/>
    <n v="0"/>
    <n v="1.3794924135227786"/>
    <n v="0"/>
    <n v="0"/>
    <n v="0"/>
    <n v="0"/>
    <n v="0"/>
    <n v="0"/>
    <n v="0.31825548312195662"/>
    <n v="0"/>
    <n v="0.31825548312195662"/>
    <n v="0.33874419349439278"/>
    <n v="0"/>
    <n v="0"/>
    <n v="0.54965216862405464"/>
    <n v="0"/>
    <n v="0"/>
    <n v="0.37172661874853247"/>
    <n v="0.64596215185639949"/>
    <n v="0"/>
    <n v="0"/>
    <n v="0.60724429567380134"/>
    <n v="0"/>
    <n v="0.60724429567380134"/>
    <n v="0.52584643285544852"/>
    <n v="0"/>
    <n v="0.52584643285544852"/>
    <n v="0"/>
    <n v="0"/>
    <n v="0.43446347762595727"/>
    <n v="0"/>
    <n v="0.43446347762595727"/>
    <n v="0"/>
    <n v="0"/>
    <n v="0"/>
    <n v="0"/>
    <n v="0"/>
    <n v="0"/>
    <n v="0"/>
    <n v="0"/>
    <n v="0.86331723645056269"/>
    <n v="0"/>
    <n v="0"/>
    <n v="0"/>
    <n v="0"/>
    <n v="0"/>
    <n v="0"/>
    <n v="0"/>
    <n v="0"/>
    <n v="0"/>
    <n v="0"/>
    <n v="0"/>
    <n v="0"/>
    <n v="0.35264588419968901"/>
    <n v="0.99911265932395599"/>
    <n v="0"/>
    <n v="0.35964790178290046"/>
    <n v="3.1130942961980059"/>
    <n v="0"/>
    <n v="13.597189016259442"/>
    <n v="0"/>
    <n v="13.597189016259442"/>
    <n v="0.79068047361519145"/>
    <n v="0.88755394297021373"/>
    <n v="1.4905820017974836"/>
    <n v="0"/>
    <n v="0"/>
    <n v="0"/>
    <n v="0"/>
    <n v="1.4995398042852317"/>
    <n v="4.0527755861043371"/>
    <n v="0"/>
    <n v="40.976906952013969"/>
    <n v="0.57603396772200277"/>
    <n v="0"/>
    <n v="0"/>
    <n v="0.67781642169222345"/>
    <n v="0"/>
    <n v="0"/>
    <n v="0.36607312254762331"/>
    <n v="0"/>
    <n v="0"/>
    <n v="1.5507720808763508"/>
    <n v="1.0127303885186116"/>
    <n v="0"/>
    <n v="0.97149917717360446"/>
    <n v="0"/>
    <n v="0.34857192390171793"/>
    <n v="0.3936324745350091"/>
    <n v="0"/>
    <n v="8.5397312799104714"/>
    <n v="0"/>
    <n v="8.5397312799104714"/>
    <n v="0"/>
    <n v="0"/>
    <n v="7.1237690388309991"/>
    <n v="0"/>
    <n v="0"/>
    <n v="0"/>
    <n v="0"/>
    <n v="0"/>
    <n v="0"/>
    <n v="0"/>
    <n v="0.35312270290297293"/>
    <n v="0"/>
    <n v="1.4173962467082071"/>
    <n v="0"/>
    <n v="0"/>
    <n v="0"/>
    <n v="1.9790798053794536"/>
    <n v="0"/>
    <n v="0"/>
    <n v="0"/>
    <n v="0"/>
    <n v="0"/>
    <n v="0"/>
    <n v="3.7060307770476468"/>
    <n v="0"/>
    <n v="0"/>
    <n v="0"/>
    <n v="0"/>
    <n v="0"/>
    <n v="2.3639582789692475"/>
    <n v="0"/>
    <n v="0"/>
    <n v="0"/>
    <n v="0"/>
    <n v="0"/>
    <n v="0"/>
    <n v="0.51440396714959558"/>
    <n v="0"/>
    <n v="0"/>
    <n v="0"/>
    <n v="0.6775253611438169"/>
    <n v="0"/>
    <n v="0"/>
    <n v="0"/>
    <n v="0"/>
    <n v="0"/>
    <n v="0"/>
    <n v="0"/>
    <n v="0"/>
    <n v="1.3259635982143538"/>
    <n v="0"/>
    <n v="0"/>
    <n v="0"/>
    <n v="0.63630184042305615"/>
    <n v="0"/>
    <n v="0"/>
    <n v="0"/>
    <n v="0"/>
    <n v="0.60254976115778458"/>
    <n v="0"/>
    <n v="0"/>
    <n v="0"/>
    <n v="0"/>
    <n v="0"/>
    <n v="0"/>
    <n v="0.56760918465318611"/>
    <n v="9.4045390184986566"/>
    <n v="0.60965027788999937"/>
    <n v="0.34180151242562268"/>
    <n v="0"/>
    <n v="0"/>
    <n v="0"/>
    <n v="0.79588820940304295"/>
    <n v="0"/>
    <n v="0"/>
    <n v="0"/>
    <n v="3.1675545644199796"/>
    <n v="0"/>
    <n v="40.623794010287924"/>
    <n v="0"/>
    <n v="0"/>
    <n v="0"/>
    <n v="5.6404597054315566"/>
    <n v="0"/>
    <n v="0"/>
    <n v="0"/>
    <n v="0"/>
    <n v="31.488373597634041"/>
    <n v="0"/>
    <n v="0"/>
    <n v="0"/>
    <n v="0"/>
    <n v="0"/>
    <n v="7.7714722296995138"/>
    <n v="24.021035681766921"/>
    <n v="0"/>
  </r>
  <r>
    <x v="0"/>
    <s v="223H"/>
    <n v="11.86"/>
    <n v="0"/>
    <n v="0"/>
    <n v="0"/>
    <n v="0"/>
    <n v="0"/>
    <n v="0"/>
    <n v="0"/>
    <n v="0"/>
    <n v="0"/>
    <n v="0"/>
    <n v="0"/>
    <n v="0"/>
    <n v="0"/>
    <n v="3.0664868698773735"/>
    <n v="0"/>
    <n v="0"/>
    <n v="0"/>
    <n v="3.06648686987737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7645829302619849"/>
    <n v="0"/>
    <n v="0"/>
    <n v="0"/>
    <n v="0"/>
    <n v="0"/>
    <n v="0"/>
    <n v="0"/>
    <n v="0"/>
    <n v="1.3851041867768141"/>
    <n v="0"/>
    <n v="0"/>
    <n v="1.3851041867768141"/>
    <n v="0"/>
    <n v="0"/>
    <n v="0"/>
    <n v="0"/>
    <n v="0"/>
    <n v="0"/>
    <n v="0"/>
    <n v="0"/>
    <n v="0"/>
    <n v="0.45844838460401427"/>
    <n v="0"/>
    <n v="0"/>
    <n v="0"/>
    <n v="0"/>
    <n v="0"/>
    <n v="0.56957245138524193"/>
    <n v="0"/>
    <n v="0"/>
    <n v="0"/>
    <n v="0"/>
    <n v="0"/>
    <n v="0"/>
    <n v="0"/>
    <n v="0"/>
    <n v="0"/>
    <n v="0"/>
    <n v="0.36782519899497079"/>
    <n v="0"/>
    <n v="0"/>
    <n v="0"/>
    <n v="0"/>
    <n v="0"/>
    <n v="0"/>
    <n v="0"/>
    <n v="0"/>
    <n v="0.70543273709279175"/>
    <n v="0"/>
    <n v="0.70543273709279175"/>
    <n v="0"/>
    <n v="0"/>
    <n v="0"/>
    <n v="0"/>
    <n v="0"/>
    <n v="0"/>
    <n v="0"/>
    <n v="0.29170342298250168"/>
    <n v="0"/>
    <n v="0"/>
    <n v="4.7136874146904848"/>
    <n v="0"/>
    <n v="0"/>
    <n v="4.7136874146904848"/>
    <n v="0"/>
    <n v="0"/>
    <n v="0"/>
    <n v="0"/>
    <n v="0"/>
    <n v="0"/>
    <n v="0"/>
    <n v="0"/>
    <n v="0"/>
    <n v="0.296633863167196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7791885303233727"/>
    <n v="0"/>
    <n v="0"/>
    <n v="0"/>
    <n v="0"/>
    <n v="0"/>
    <n v="0"/>
    <n v="0.29513741461061899"/>
    <n v="0"/>
    <n v="0"/>
    <n v="0"/>
    <n v="0"/>
    <n v="0.44709447501537358"/>
    <n v="0"/>
    <n v="0"/>
    <n v="0"/>
    <n v="0"/>
    <n v="0"/>
    <n v="0"/>
    <n v="0"/>
    <n v="0"/>
    <n v="0"/>
    <n v="0"/>
    <n v="0.259035074176637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2692165564984137"/>
    <n v="0"/>
    <n v="9.2692165564984137"/>
    <n v="0"/>
    <n v="0"/>
    <n v="0.42201461268785917"/>
    <n v="0"/>
    <n v="0"/>
    <n v="0.51000710670184923"/>
    <n v="0"/>
    <n v="0.510007106701849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898849378172911"/>
    <n v="0"/>
    <n v="0"/>
    <n v="0"/>
    <n v="0"/>
    <n v="0"/>
    <n v="0"/>
    <n v="0"/>
    <n v="0"/>
    <n v="0"/>
    <n v="0.374759859329048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1478247000648077"/>
    <n v="0"/>
    <n v="0"/>
    <n v="0.31602345970865953"/>
    <n v="0"/>
    <n v="5.0150587697218771"/>
    <n v="0"/>
    <n v="5.0150587697218771"/>
    <n v="0"/>
    <n v="0"/>
    <n v="0"/>
    <n v="0"/>
    <n v="0"/>
    <n v="0.48448785952803447"/>
    <n v="0"/>
    <n v="0.48448785952803447"/>
    <n v="0.31264955072211531"/>
    <n v="0"/>
    <n v="0.31264955072211531"/>
    <n v="0"/>
    <n v="0"/>
    <n v="0"/>
    <n v="0"/>
    <n v="0"/>
    <n v="0"/>
    <n v="0"/>
    <n v="0"/>
    <n v="19.998391967068709"/>
    <n v="0"/>
    <n v="0"/>
    <n v="0"/>
    <n v="0"/>
    <n v="0"/>
    <n v="0"/>
    <n v="0"/>
    <n v="0"/>
    <n v="0"/>
    <n v="0"/>
    <n v="0"/>
    <n v="0"/>
    <n v="0"/>
    <n v="0"/>
    <n v="4.7130145379525432"/>
    <n v="0"/>
    <n v="0"/>
    <n v="0"/>
    <n v="4.7130145379525432"/>
    <n v="0"/>
    <n v="0"/>
    <n v="0"/>
    <n v="0.73990942686697636"/>
    <n v="0"/>
    <n v="0"/>
    <n v="0"/>
    <n v="0.36524872832036137"/>
    <n v="0"/>
    <n v="0"/>
    <n v="0"/>
    <n v="0.45563646813072023"/>
    <n v="0"/>
    <n v="0"/>
    <n v="0.48608859787303316"/>
    <n v="0"/>
    <n v="0"/>
    <n v="0"/>
    <n v="0.29397752654220299"/>
    <n v="0"/>
    <n v="0"/>
    <n v="0.32597348708688645"/>
    <n v="0"/>
    <n v="0"/>
    <n v="0"/>
    <n v="0.35936917778951727"/>
    <n v="0.35936917778951727"/>
    <n v="0"/>
    <n v="0"/>
    <n v="0.28025719128607801"/>
    <n v="0"/>
    <n v="0"/>
    <n v="0"/>
    <n v="0"/>
    <n v="0"/>
    <n v="0"/>
    <n v="0.90383880843948927"/>
    <n v="0"/>
    <n v="0.90383880843948927"/>
    <n v="1.2647554806070826"/>
    <n v="0"/>
    <n v="1.2647554806070826"/>
    <n v="0"/>
    <n v="0"/>
    <n v="0.33411761588059702"/>
    <n v="0"/>
    <n v="0.26101462624960231"/>
    <n v="0"/>
    <n v="1.8503731723912695"/>
    <n v="0"/>
    <n v="0"/>
    <n v="1.8503731723912695"/>
    <n v="0"/>
    <n v="0"/>
    <n v="0"/>
    <n v="0"/>
    <n v="0"/>
    <n v="0"/>
    <n v="0"/>
    <n v="0"/>
    <n v="0"/>
    <n v="0"/>
    <n v="0.46561702530649435"/>
    <n v="0"/>
    <n v="0.5754229375488209"/>
    <n v="0"/>
    <n v="0"/>
    <n v="0"/>
    <n v="0.37095022907190972"/>
    <n v="0"/>
    <n v="0"/>
    <n v="0"/>
    <n v="0.34048320078839367"/>
    <n v="0.34048320078839367"/>
    <n v="0"/>
    <n v="0.32328149165835807"/>
    <n v="0.32328149165835807"/>
    <n v="0"/>
    <n v="0"/>
    <n v="0.41090933777044347"/>
    <n v="0"/>
    <n v="0.41090933777044347"/>
    <n v="0"/>
    <n v="0"/>
    <n v="0"/>
    <n v="0"/>
    <n v="0"/>
    <n v="0"/>
    <n v="0"/>
    <n v="0"/>
    <n v="0"/>
    <n v="0"/>
    <n v="0"/>
    <n v="0"/>
    <n v="0"/>
    <n v="0.30809865698052852"/>
    <n v="0"/>
    <n v="0"/>
    <n v="0"/>
    <n v="0"/>
    <n v="0"/>
    <n v="0"/>
    <n v="0"/>
    <n v="0"/>
    <n v="0.26146451334625892"/>
    <n v="0"/>
    <n v="0.2905076318721701"/>
    <n v="0"/>
    <n v="0"/>
    <n v="8.1002779906591176"/>
    <n v="0"/>
    <n v="8.1002779906591176"/>
    <n v="0"/>
    <n v="0"/>
    <n v="0.63065134131183809"/>
    <n v="0"/>
    <n v="0"/>
    <n v="0"/>
    <n v="0"/>
    <n v="1.4264090489512316"/>
    <n v="2.4998465002485721"/>
    <n v="0"/>
    <n v="21.637356305218706"/>
    <n v="0.28389121414772506"/>
    <n v="0"/>
    <n v="0"/>
    <n v="0.34113507302562307"/>
    <n v="0"/>
    <n v="0"/>
    <n v="0"/>
    <n v="0"/>
    <n v="0"/>
    <n v="0.26746545035215097"/>
    <n v="0"/>
    <n v="0.32922991741246876"/>
    <n v="0"/>
    <n v="0"/>
    <n v="0"/>
    <n v="0"/>
    <n v="0"/>
    <n v="2.131683275335158"/>
    <n v="0"/>
    <n v="2.131683275335158"/>
    <n v="0"/>
    <n v="1.3672728311021634"/>
    <n v="0"/>
    <n v="0"/>
    <n v="0"/>
    <n v="0.37152418926579844"/>
    <n v="0"/>
    <n v="0"/>
    <n v="0"/>
    <n v="0"/>
    <n v="0"/>
    <n v="0"/>
    <n v="0"/>
    <n v="0"/>
    <n v="0"/>
    <n v="0"/>
    <n v="0"/>
    <n v="0"/>
    <n v="0"/>
    <n v="0"/>
    <n v="0"/>
    <n v="0.84630088655161595"/>
    <n v="0"/>
    <n v="0"/>
    <n v="0"/>
    <n v="0"/>
    <n v="0"/>
    <n v="0"/>
    <n v="0"/>
    <n v="0"/>
    <n v="0"/>
    <n v="0"/>
    <n v="0"/>
    <n v="0"/>
    <n v="6.6249177085589679"/>
    <n v="0"/>
    <n v="0"/>
    <n v="0"/>
    <n v="0"/>
    <n v="0"/>
    <n v="0"/>
    <n v="0"/>
    <n v="0.66372610278265198"/>
    <n v="0"/>
    <n v="0"/>
    <n v="0.28341397235246613"/>
    <n v="0"/>
    <n v="0"/>
    <n v="0"/>
    <n v="0.5041905696731428"/>
    <n v="0"/>
    <n v="0"/>
    <n v="0.25931912341301694"/>
    <n v="0"/>
    <n v="0"/>
    <n v="0"/>
    <n v="0"/>
    <n v="0.2572277101618386"/>
    <n v="0"/>
    <n v="0"/>
    <n v="0"/>
    <n v="0"/>
    <n v="0.66225993978524167"/>
    <n v="0"/>
    <n v="0"/>
    <n v="0"/>
    <n v="1.1827993381641395"/>
    <n v="0"/>
    <n v="0"/>
    <n v="0.77599662452137486"/>
    <n v="0"/>
    <n v="0"/>
    <n v="0"/>
    <n v="0"/>
    <n v="0"/>
    <n v="0"/>
    <n v="0"/>
    <n v="0"/>
    <n v="0"/>
    <n v="0.43938167120141081"/>
    <n v="0"/>
    <n v="0"/>
    <n v="1.0154823702557811"/>
    <n v="0"/>
    <n v="0"/>
    <n v="0"/>
    <n v="0"/>
    <n v="0"/>
    <n v="0"/>
    <n v="0"/>
    <n v="0"/>
    <n v="0"/>
    <n v="0"/>
    <n v="0"/>
    <n v="0"/>
    <n v="0.34947801186096145"/>
  </r>
  <r>
    <x v="0"/>
    <s v="223I"/>
    <n v="13.78"/>
    <n v="0"/>
    <n v="0"/>
    <n v="0"/>
    <n v="0"/>
    <n v="0"/>
    <n v="0"/>
    <n v="0"/>
    <n v="0"/>
    <n v="0"/>
    <n v="0"/>
    <n v="0"/>
    <n v="0"/>
    <n v="0"/>
    <n v="0"/>
    <n v="5.3777042481687172"/>
    <n v="0"/>
    <n v="0"/>
    <n v="5.3777042481687172"/>
    <n v="0"/>
    <n v="0"/>
    <n v="0"/>
    <n v="0"/>
    <n v="0"/>
    <n v="0"/>
    <n v="0"/>
    <n v="0"/>
    <n v="0.652458730005403"/>
    <n v="0"/>
    <n v="0"/>
    <n v="0"/>
    <n v="0"/>
    <n v="0.30200652677362988"/>
    <n v="0"/>
    <n v="0"/>
    <n v="0.3135771123761939"/>
    <n v="0"/>
    <n v="0"/>
    <n v="0"/>
    <n v="0"/>
    <n v="0"/>
    <n v="0"/>
    <n v="0"/>
    <n v="0"/>
    <n v="0"/>
    <n v="0"/>
    <n v="0"/>
    <n v="0"/>
    <n v="0"/>
    <n v="0.24796595266986507"/>
    <n v="0"/>
    <n v="0"/>
    <n v="0"/>
    <n v="0"/>
    <n v="0"/>
    <n v="0"/>
    <n v="0"/>
    <n v="0"/>
    <n v="1.1062344279511183"/>
    <n v="0"/>
    <n v="0"/>
    <n v="1.1062344279511183"/>
    <n v="0"/>
    <n v="0"/>
    <n v="0"/>
    <n v="0"/>
    <n v="0"/>
    <n v="0"/>
    <n v="0"/>
    <n v="0"/>
    <n v="0"/>
    <n v="0"/>
    <n v="0"/>
    <n v="0"/>
    <n v="0"/>
    <n v="0"/>
    <n v="0"/>
    <n v="0.97128407248405502"/>
    <n v="0"/>
    <n v="0"/>
    <n v="0"/>
    <n v="0"/>
    <n v="0"/>
    <n v="0"/>
    <n v="0"/>
    <n v="0"/>
    <n v="0"/>
    <n v="0"/>
    <n v="0.4150513014158706"/>
    <n v="0"/>
    <n v="0"/>
    <n v="0"/>
    <n v="0"/>
    <n v="0"/>
    <n v="0"/>
    <n v="0"/>
    <n v="0"/>
    <n v="0.59657577368757853"/>
    <n v="0"/>
    <n v="0.59657577368757853"/>
    <n v="0"/>
    <n v="0.72470157552317693"/>
    <n v="0"/>
    <n v="0.72470157552317693"/>
    <n v="0"/>
    <n v="0"/>
    <n v="0"/>
    <n v="0.33059571936144139"/>
    <n v="0"/>
    <n v="0"/>
    <n v="0"/>
    <n v="4.0294298549510561"/>
    <n v="0"/>
    <n v="4.0294298549510561"/>
    <n v="0"/>
    <n v="2.5828811476409927"/>
    <n v="0"/>
    <n v="2.5828811476409927"/>
    <n v="0"/>
    <n v="0"/>
    <n v="0"/>
    <n v="0"/>
    <n v="0"/>
    <n v="0"/>
    <n v="0.30261801666966659"/>
    <n v="0"/>
    <n v="0"/>
    <n v="0"/>
    <n v="0"/>
    <n v="0"/>
    <n v="0"/>
    <n v="0.35013817485815135"/>
    <n v="0"/>
    <n v="0"/>
    <n v="0"/>
    <n v="0"/>
    <n v="0"/>
    <n v="0"/>
    <n v="0"/>
    <n v="0"/>
    <n v="0"/>
    <n v="0"/>
    <n v="0"/>
    <n v="0"/>
    <n v="0.35533225361114235"/>
    <n v="0"/>
    <n v="0"/>
    <n v="0"/>
    <n v="0"/>
    <n v="0"/>
    <n v="0"/>
    <n v="0.36877390433433294"/>
    <n v="0"/>
    <n v="0"/>
    <n v="0.34533996966907249"/>
    <n v="0"/>
    <n v="0"/>
    <n v="0.25075808526430354"/>
    <n v="0"/>
    <n v="0"/>
    <n v="0"/>
    <n v="0"/>
    <n v="0"/>
    <n v="0"/>
    <n v="0"/>
    <n v="0"/>
    <n v="0.458472771162501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6785309757825115"/>
    <n v="0.26785309757825115"/>
    <n v="8.2095431341540603"/>
    <n v="0"/>
    <n v="8.2095431341540603"/>
    <n v="0"/>
    <n v="0"/>
    <n v="0"/>
    <n v="0"/>
    <n v="0"/>
    <n v="0"/>
    <n v="0.3151084334138628"/>
    <n v="0.31510843341386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0395395686907427"/>
    <n v="0"/>
    <n v="0.92138372758337883"/>
    <n v="0"/>
    <n v="0"/>
    <n v="0"/>
    <n v="0"/>
    <n v="0"/>
    <n v="0"/>
    <n v="0"/>
    <n v="0"/>
    <n v="0"/>
    <n v="0"/>
    <n v="0.42636992252022943"/>
    <n v="0"/>
    <n v="0"/>
    <n v="0"/>
    <n v="0.25722830609309122"/>
    <n v="0"/>
    <n v="0.86340246829031486"/>
    <n v="0"/>
    <n v="0"/>
    <n v="0"/>
    <n v="0"/>
    <n v="0.31353730248001038"/>
    <n v="0"/>
    <n v="0"/>
    <n v="0"/>
    <n v="0"/>
    <n v="0"/>
    <n v="0"/>
    <n v="0"/>
    <n v="0"/>
    <n v="0.5097983597998359"/>
    <n v="0"/>
    <n v="0"/>
    <n v="2.3819976915680297"/>
    <n v="2.3819976915680297"/>
    <n v="0"/>
    <n v="0"/>
    <n v="0"/>
    <n v="0"/>
    <n v="0"/>
    <n v="1.7080611516719502"/>
    <n v="0"/>
    <n v="1.7080611516719502"/>
    <n v="0"/>
    <n v="0.96921865594479317"/>
    <n v="0.96921865594479317"/>
    <n v="0"/>
    <n v="0"/>
    <n v="0"/>
    <n v="0"/>
    <n v="0"/>
    <n v="0"/>
    <n v="0"/>
    <n v="0"/>
    <n v="0"/>
    <n v="0"/>
    <n v="0"/>
    <n v="0"/>
    <n v="0"/>
    <n v="0"/>
    <n v="40.373017055718705"/>
    <n v="0"/>
    <n v="0"/>
    <n v="0"/>
    <n v="0"/>
    <n v="0"/>
    <n v="0"/>
    <n v="0"/>
    <n v="0"/>
    <n v="3.2825729595027746"/>
    <n v="0"/>
    <n v="0"/>
    <n v="0"/>
    <n v="3.2825729595027746"/>
    <n v="0"/>
    <n v="0"/>
    <n v="0"/>
    <n v="0"/>
    <n v="0"/>
    <n v="0"/>
    <n v="0"/>
    <n v="0.29362073286574947"/>
    <n v="0"/>
    <n v="0"/>
    <n v="0"/>
    <n v="0.52054975170018813"/>
    <n v="0"/>
    <n v="0"/>
    <n v="0"/>
    <n v="0"/>
    <n v="0"/>
    <n v="0"/>
    <n v="0"/>
    <n v="0"/>
    <n v="0"/>
    <n v="0.9473743971960793"/>
    <n v="0"/>
    <n v="0"/>
    <n v="0"/>
    <n v="0.56415123141217094"/>
    <n v="0.56415123141217094"/>
    <n v="0"/>
    <n v="0"/>
    <n v="0"/>
    <n v="0"/>
    <n v="0"/>
    <n v="0"/>
    <n v="0"/>
    <n v="0"/>
    <n v="0"/>
    <n v="0.45560893130164565"/>
    <n v="0"/>
    <n v="0.45560893130164565"/>
    <n v="1.088534107402032"/>
    <n v="0"/>
    <n v="1.088534107402032"/>
    <n v="0"/>
    <n v="0"/>
    <n v="0"/>
    <n v="0"/>
    <n v="0"/>
    <n v="0"/>
    <n v="0"/>
    <n v="0.70442028791593014"/>
    <n v="0"/>
    <n v="0.70442028791593014"/>
    <n v="0"/>
    <n v="0"/>
    <n v="0"/>
    <n v="0"/>
    <n v="0.26884710865066019"/>
    <n v="0"/>
    <n v="0"/>
    <n v="0.53206964768338805"/>
    <n v="0.53206964768338805"/>
    <n v="0.37684196087205279"/>
    <n v="0"/>
    <n v="0"/>
    <n v="0.52785894754606144"/>
    <n v="0"/>
    <n v="0"/>
    <n v="0"/>
    <n v="0.26500508276929419"/>
    <n v="0"/>
    <n v="0"/>
    <n v="0"/>
    <n v="0.94391093622811084"/>
    <n v="0.94391093622811084"/>
    <n v="0"/>
    <n v="0.55798094477015747"/>
    <n v="0.55798094477015747"/>
    <n v="0"/>
    <n v="0"/>
    <n v="0.35364836918250914"/>
    <n v="0"/>
    <n v="0.35364836918250914"/>
    <n v="0.46918039690369567"/>
    <n v="0.35448190433800442"/>
    <n v="0"/>
    <n v="0"/>
    <n v="0"/>
    <n v="0.47145252818338884"/>
    <n v="0"/>
    <n v="0"/>
    <n v="0"/>
    <n v="0.44170513960971564"/>
    <n v="0"/>
    <n v="0"/>
    <n v="0"/>
    <n v="0.34637008164112626"/>
    <n v="0"/>
    <n v="0.33129943963807729"/>
    <n v="0"/>
    <n v="0"/>
    <n v="0"/>
    <n v="0.28097701093128119"/>
    <n v="0"/>
    <n v="0.30978824877855132"/>
    <n v="0.81947434961647836"/>
    <n v="0.46355953628230218"/>
    <n v="0"/>
    <n v="0"/>
    <n v="0"/>
    <n v="9.2403373143044885"/>
    <n v="0"/>
    <n v="9.2403373143044885"/>
    <n v="0"/>
    <n v="0"/>
    <n v="0"/>
    <n v="0.72190449760002007"/>
    <n v="0"/>
    <n v="0"/>
    <n v="0"/>
    <n v="1.9174184285039821"/>
    <n v="3.3039239217118221"/>
    <n v="0"/>
    <n v="27.040267168970693"/>
    <n v="0.5340992105894411"/>
    <n v="0"/>
    <n v="0"/>
    <n v="1.1632862127115489"/>
    <n v="0"/>
    <n v="0"/>
    <n v="0"/>
    <n v="0"/>
    <n v="0.50152383578812065"/>
    <n v="0"/>
    <n v="0.62902108634360376"/>
    <n v="0"/>
    <n v="0"/>
    <n v="0"/>
    <n v="0.34626449887298733"/>
    <n v="0"/>
    <n v="0"/>
    <n v="3.3475150162334963"/>
    <n v="0"/>
    <n v="3.3475150162334963"/>
    <n v="0"/>
    <n v="3.4795434242272618"/>
    <n v="0"/>
    <n v="0"/>
    <n v="0.82445948823111459"/>
    <n v="0"/>
    <n v="0"/>
    <n v="0"/>
    <n v="0"/>
    <n v="0.29604097674056029"/>
    <n v="0"/>
    <n v="0"/>
    <n v="0"/>
    <n v="0.30767115355418162"/>
    <n v="0.34030018517209731"/>
    <n v="0"/>
    <n v="0.41003574902961576"/>
    <n v="0"/>
    <n v="0"/>
    <n v="0"/>
    <n v="0.294039107675330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573951033269862"/>
    <n v="0"/>
    <n v="0"/>
    <n v="0"/>
    <n v="0"/>
    <n v="0"/>
    <n v="0"/>
    <n v="0"/>
    <n v="0"/>
    <n v="0"/>
    <n v="0"/>
    <n v="0"/>
    <n v="0.65114623976352559"/>
    <n v="0"/>
    <n v="0"/>
    <n v="0"/>
    <n v="2.3833596350970909"/>
    <n v="0"/>
    <n v="0"/>
    <n v="0"/>
    <n v="0"/>
    <n v="0"/>
    <n v="0"/>
    <n v="0.3936137959542495"/>
    <n v="0"/>
    <n v="0"/>
    <n v="0"/>
    <n v="0"/>
    <n v="0.52126311536782499"/>
    <n v="0"/>
  </r>
  <r>
    <x v="0"/>
    <s v="226G"/>
    <n v="13.22"/>
    <n v="0"/>
    <n v="0"/>
    <n v="0"/>
    <n v="0"/>
    <n v="0"/>
    <n v="0"/>
    <n v="0"/>
    <n v="0"/>
    <n v="0"/>
    <n v="0"/>
    <n v="0"/>
    <n v="0"/>
    <n v="0"/>
    <n v="0"/>
    <n v="0"/>
    <n v="2.4813498831390914"/>
    <n v="0"/>
    <n v="2.48134988313909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9937302629997378"/>
    <n v="0.36939385847613865"/>
    <n v="0"/>
    <n v="0"/>
    <n v="0"/>
    <n v="0"/>
    <n v="0.29212027029442039"/>
    <n v="0"/>
    <n v="0"/>
    <n v="0"/>
    <n v="0"/>
    <n v="0"/>
    <n v="1.0152610089967939"/>
    <n v="0"/>
    <n v="1.0152610089967939"/>
    <n v="0"/>
    <n v="0.32708994615610976"/>
    <n v="0"/>
    <n v="0"/>
    <n v="0"/>
    <n v="0"/>
    <n v="0"/>
    <n v="0"/>
    <n v="1.0321118928518729"/>
    <n v="0"/>
    <n v="0"/>
    <n v="0"/>
    <n v="2.3547880099007861"/>
    <n v="0"/>
    <n v="0"/>
    <n v="0"/>
    <n v="0"/>
    <n v="0"/>
    <n v="0"/>
    <n v="0"/>
    <n v="0"/>
    <n v="1.0085521254815082"/>
    <n v="0"/>
    <n v="0.59212170789786089"/>
    <n v="0"/>
    <n v="1.4411893538648077"/>
    <n v="0"/>
    <n v="0"/>
    <n v="0"/>
    <n v="0"/>
    <n v="0"/>
    <n v="0"/>
    <n v="0"/>
    <n v="0"/>
    <n v="0"/>
    <n v="0"/>
    <n v="6.2490267375631117"/>
    <n v="6.2490267375631117"/>
    <n v="0"/>
    <n v="0"/>
    <n v="0"/>
    <n v="0"/>
    <n v="1.9138726972312612"/>
    <n v="0"/>
    <n v="0"/>
    <n v="1.4488372786926402"/>
    <n v="0"/>
    <n v="0.69341294727960689"/>
    <n v="0"/>
    <n v="4.0971230049942093"/>
    <n v="0"/>
    <n v="4.0971230049942093"/>
    <n v="0"/>
    <n v="0"/>
    <n v="1.506151179492909"/>
    <n v="1.506151179492909"/>
    <n v="0.76677453792435768"/>
    <n v="0"/>
    <n v="1.0650587846793154"/>
    <n v="1.536827119309917"/>
    <n v="0"/>
    <n v="5.9755150178908965"/>
    <n v="0"/>
    <n v="0"/>
    <n v="0.77392612679981487"/>
    <n v="0.77392612679981487"/>
    <n v="0"/>
    <n v="0"/>
    <n v="0"/>
    <n v="0"/>
    <n v="24.92075116169099"/>
    <n v="0"/>
    <n v="0"/>
    <n v="0"/>
    <n v="13.406308045028702"/>
    <n v="0"/>
    <n v="0"/>
    <n v="0"/>
    <n v="0"/>
    <n v="3.745510723527476"/>
    <n v="0"/>
    <n v="2.1708656885557711"/>
    <n v="0"/>
    <n v="0"/>
    <n v="0"/>
    <n v="0"/>
    <n v="3.6576030996199447"/>
    <n v="0"/>
    <n v="11.412720049823509"/>
    <n v="0"/>
    <n v="0"/>
    <n v="0"/>
    <n v="0"/>
    <n v="0"/>
    <n v="3.8082699002578542"/>
    <n v="0"/>
    <n v="0"/>
    <n v="2.6744885711594035"/>
    <n v="0"/>
    <n v="6.1194774885543683"/>
    <n v="0"/>
    <n v="8.0791365449560129"/>
    <n v="0"/>
    <n v="0"/>
    <n v="0"/>
    <n v="0"/>
    <n v="0"/>
    <n v="3.8420665334023352"/>
    <n v="0"/>
    <n v="5.401444304835918"/>
    <n v="0"/>
    <n v="2.4203357244512627"/>
    <n v="0"/>
    <n v="0"/>
    <n v="2.2314290466996991"/>
    <n v="2.6901949984148157"/>
    <n v="0"/>
    <n v="0"/>
    <n v="22.519583820411682"/>
    <n v="0"/>
    <n v="0"/>
    <n v="0"/>
    <n v="0"/>
    <n v="0"/>
    <n v="0"/>
    <n v="1.2710437703538404"/>
    <n v="0"/>
    <n v="0"/>
    <n v="1.82192835936244"/>
    <n v="0"/>
    <n v="0"/>
    <n v="0.41257736310320553"/>
    <n v="0"/>
    <n v="0"/>
    <n v="0"/>
    <n v="1.9052996446879158"/>
    <n v="0"/>
    <n v="4.7961919559553676"/>
    <n v="0"/>
    <n v="4.7961919559553676"/>
    <n v="0"/>
    <n v="27.681883243223766"/>
    <n v="27.681883243223766"/>
    <n v="0"/>
    <n v="0"/>
    <n v="0"/>
    <n v="0"/>
    <n v="2.0462856174840853"/>
    <n v="0"/>
    <n v="0"/>
    <n v="0"/>
    <n v="2.0684378347835959"/>
    <n v="1.1538447360214266"/>
    <n v="0"/>
    <n v="0"/>
    <n v="2.8443293204080811"/>
    <n v="1.83416600039004"/>
    <n v="0"/>
    <n v="1.9352793987042427"/>
    <n v="0"/>
    <n v="0"/>
    <n v="0"/>
    <n v="0"/>
    <n v="1.0145716535073839"/>
    <n v="0"/>
    <n v="2.027454449309336"/>
    <n v="0"/>
    <n v="1.0372369030757105"/>
    <n v="0"/>
    <n v="0.95789423652779604"/>
    <n v="0"/>
    <n v="1.4664883208644177"/>
    <n v="0"/>
    <n v="0"/>
    <n v="1.2368122740584258"/>
    <n v="0"/>
    <n v="2.8332497966026904"/>
    <n v="0"/>
    <n v="0"/>
    <n v="0"/>
    <n v="1.7845248159177733"/>
    <n v="0"/>
    <n v="0.51245371615384328"/>
    <n v="0"/>
    <n v="0"/>
    <n v="0"/>
    <n v="2.9891354610007941"/>
    <n v="0"/>
    <n v="0"/>
    <n v="2.5594937035716607"/>
    <n v="0"/>
    <n v="0"/>
    <n v="0"/>
    <n v="1.1523845672563349"/>
    <n v="0.32203298607049285"/>
    <n v="0.34960745862138487"/>
    <n v="0.40880020097022168"/>
    <n v="0"/>
    <n v="1.196163320861964"/>
    <n v="0"/>
    <n v="0"/>
    <n v="0.62221226474147651"/>
    <n v="0"/>
    <n v="0"/>
    <n v="0"/>
    <n v="0"/>
    <n v="0"/>
    <n v="0"/>
    <n v="1.2064399036312494"/>
    <n v="0"/>
    <n v="0"/>
    <n v="0"/>
    <n v="0"/>
    <n v="2.0134697664432535"/>
    <n v="0"/>
    <n v="0"/>
    <n v="4.0354721095112076"/>
    <n v="4.0354721095112076"/>
    <n v="0"/>
    <n v="1.2285288773078784"/>
    <n v="0.26065277329342545"/>
    <n v="0.32974288964874937"/>
    <n v="0"/>
    <n v="0"/>
    <n v="0.59577061196364067"/>
    <n v="0.59577061196364067"/>
    <n v="0"/>
    <n v="0"/>
    <n v="0"/>
    <n v="4.4111556727701728"/>
    <n v="0"/>
    <n v="0"/>
    <n v="0"/>
    <n v="0"/>
    <n v="0"/>
    <n v="9.1063306136926094"/>
    <n v="0"/>
    <n v="0"/>
    <n v="0"/>
    <n v="0"/>
    <n v="0"/>
    <n v="0"/>
    <n v="0"/>
    <n v="0"/>
    <n v="0"/>
    <n v="0"/>
    <n v="0"/>
    <n v="0.97178101826565788"/>
    <n v="0"/>
    <n v="0"/>
    <n v="0"/>
    <n v="0"/>
    <n v="1.0762855396387747"/>
    <n v="0"/>
    <n v="0"/>
    <n v="0"/>
    <n v="1.0762855396387747"/>
    <n v="0"/>
    <n v="0"/>
    <n v="0"/>
    <n v="0"/>
    <n v="0.54935991174816889"/>
    <n v="0"/>
    <n v="0"/>
    <n v="0"/>
    <n v="0"/>
    <n v="0"/>
    <n v="0"/>
    <n v="4.0875580394695881"/>
    <n v="0"/>
    <n v="0"/>
    <n v="0.32794525291196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013857838420335"/>
    <n v="0"/>
    <n v="0"/>
    <n v="0.65606202252917756"/>
    <n v="0"/>
    <n v="0.65606202252917756"/>
    <n v="1.1346444780635401"/>
    <n v="0"/>
    <n v="1.1346444780635401"/>
    <n v="0"/>
    <n v="0"/>
    <n v="0"/>
    <n v="0.2906322743352609"/>
    <n v="0"/>
    <n v="0"/>
    <n v="0"/>
    <n v="0.35196290411198911"/>
    <n v="0"/>
    <n v="0.35196290411198911"/>
    <n v="0"/>
    <n v="0"/>
    <n v="0"/>
    <n v="0.97267882473608569"/>
    <n v="0"/>
    <n v="0"/>
    <n v="0"/>
    <n v="0"/>
    <n v="0"/>
    <n v="0"/>
    <n v="0"/>
    <n v="0"/>
    <n v="0"/>
    <n v="0.50726141471525954"/>
    <n v="0"/>
    <n v="0"/>
    <n v="0"/>
    <n v="0"/>
    <n v="0"/>
    <n v="0"/>
    <n v="0"/>
    <n v="0"/>
    <n v="0"/>
    <n v="0"/>
    <n v="0"/>
    <n v="0"/>
    <n v="0.86596912472033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294150016186672"/>
    <n v="0"/>
    <n v="2.0294150016186672"/>
    <n v="0"/>
    <n v="0"/>
    <n v="0"/>
    <n v="0"/>
    <n v="0"/>
    <n v="0"/>
    <n v="0"/>
    <n v="0.54087590622584092"/>
    <n v="0.79926556971806928"/>
    <n v="0"/>
    <n v="7.5071862640890101"/>
    <n v="0"/>
    <n v="0"/>
    <n v="0"/>
    <n v="0"/>
    <n v="0"/>
    <n v="0"/>
    <n v="0"/>
    <n v="0"/>
    <n v="0.40807315228157426"/>
    <n v="0"/>
    <n v="0"/>
    <n v="0.40790290044877686"/>
    <n v="0"/>
    <n v="0"/>
    <n v="0"/>
    <n v="0"/>
    <n v="0"/>
    <n v="1.5162567515059224"/>
    <n v="0"/>
    <n v="1.5162567515059224"/>
    <n v="0"/>
    <n v="1.2078388525693917"/>
    <n v="0"/>
    <n v="0"/>
    <n v="0"/>
    <n v="0"/>
    <n v="0.73948112003355171"/>
    <n v="0"/>
    <n v="0"/>
    <n v="0"/>
    <n v="0"/>
    <n v="0"/>
    <n v="0"/>
    <n v="0"/>
    <n v="0"/>
    <n v="0"/>
    <n v="0.26145925597241226"/>
    <n v="0"/>
    <n v="0"/>
    <n v="0"/>
    <n v="0.37981488968008581"/>
    <n v="0"/>
    <n v="0"/>
    <n v="0"/>
    <n v="0"/>
    <n v="0"/>
    <n v="0"/>
    <n v="0"/>
    <n v="0"/>
    <n v="0.35061404412316921"/>
    <n v="0.28186139573954183"/>
    <n v="0"/>
    <n v="0"/>
    <n v="0"/>
    <n v="0.32872745003976156"/>
    <n v="0"/>
    <n v="0"/>
    <n v="0"/>
    <n v="0"/>
    <n v="0"/>
    <n v="0"/>
    <n v="0.2703209524105894"/>
    <n v="0"/>
    <n v="0"/>
    <n v="0.28252595972878219"/>
    <n v="0"/>
    <n v="0"/>
    <n v="0.34446979967297098"/>
    <n v="0"/>
    <n v="0"/>
    <n v="0"/>
    <n v="0"/>
    <n v="0"/>
    <n v="0"/>
    <n v="0"/>
    <n v="0"/>
    <n v="0"/>
    <n v="0"/>
    <n v="0"/>
    <n v="0"/>
    <n v="0"/>
    <n v="0"/>
    <n v="0"/>
    <n v="0"/>
    <n v="11.095890243094734"/>
    <n v="0"/>
    <n v="1.1245776111477301"/>
    <n v="0"/>
    <n v="0"/>
    <n v="0"/>
    <n v="0"/>
    <n v="0"/>
    <n v="0"/>
    <n v="0"/>
    <n v="0"/>
    <n v="0"/>
    <n v="0"/>
    <n v="0"/>
    <n v="0.70865263659815292"/>
    <n v="0"/>
    <n v="0"/>
    <n v="0"/>
    <n v="2.0442782648938218"/>
    <n v="0"/>
    <n v="0"/>
    <n v="0"/>
    <n v="0"/>
    <n v="0"/>
    <n v="0"/>
    <n v="0"/>
    <n v="0"/>
    <n v="0"/>
    <n v="0"/>
    <n v="0"/>
    <n v="0"/>
    <n v="0"/>
  </r>
  <r>
    <x v="0"/>
    <s v="227H"/>
    <n v="10.199999999999999"/>
    <n v="0"/>
    <n v="0"/>
    <n v="0"/>
    <n v="0"/>
    <n v="0"/>
    <n v="0"/>
    <n v="0"/>
    <n v="0"/>
    <n v="0"/>
    <n v="0"/>
    <n v="0"/>
    <n v="0"/>
    <n v="0"/>
    <n v="0"/>
    <n v="0"/>
    <n v="0"/>
    <n v="1.032707257612"/>
    <n v="1.0327072576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2964592742812764"/>
    <n v="0"/>
    <n v="0"/>
    <n v="0"/>
    <n v="0"/>
    <n v="0"/>
    <n v="0.59616450580418179"/>
    <n v="0"/>
    <n v="0.59616450580418179"/>
    <n v="0"/>
    <n v="0"/>
    <n v="0"/>
    <n v="0"/>
    <n v="0"/>
    <n v="0"/>
    <n v="0"/>
    <n v="0"/>
    <n v="0.85735086785425707"/>
    <n v="0"/>
    <n v="0"/>
    <n v="0"/>
    <n v="0"/>
    <n v="0.63057966130087351"/>
    <n v="0"/>
    <n v="0"/>
    <n v="0"/>
    <n v="0"/>
    <n v="0"/>
    <n v="0"/>
    <n v="0"/>
    <n v="0"/>
    <n v="0"/>
    <n v="0"/>
    <n v="0"/>
    <n v="0"/>
    <n v="0"/>
    <n v="0"/>
    <n v="0"/>
    <n v="0.62241284063398672"/>
    <n v="0"/>
    <n v="0"/>
    <n v="0"/>
    <n v="0"/>
    <n v="0"/>
    <n v="0.4533760799472496"/>
    <n v="0"/>
    <n v="0.4533760799472496"/>
    <n v="0"/>
    <n v="0"/>
    <n v="0"/>
    <n v="0"/>
    <n v="0"/>
    <n v="0"/>
    <n v="0"/>
    <n v="0"/>
    <n v="0"/>
    <n v="0"/>
    <n v="0"/>
    <n v="0"/>
    <n v="1.2533000808145465"/>
    <n v="1.2533000808145465"/>
    <n v="0"/>
    <n v="0"/>
    <n v="0"/>
    <n v="0"/>
    <n v="0"/>
    <n v="0"/>
    <n v="0"/>
    <n v="0"/>
    <n v="0"/>
    <n v="0.48354527225006028"/>
    <n v="0"/>
    <n v="0"/>
    <n v="0"/>
    <n v="0"/>
    <n v="0"/>
    <n v="0"/>
    <n v="0"/>
    <n v="0"/>
    <n v="4.4416012318661293"/>
    <n v="0"/>
    <n v="0"/>
    <n v="0"/>
    <n v="0"/>
    <n v="1.4949563868269802"/>
    <n v="0"/>
    <n v="0"/>
    <n v="0"/>
    <n v="0"/>
    <n v="0"/>
    <n v="0"/>
    <n v="0"/>
    <n v="0"/>
    <n v="0"/>
    <n v="0"/>
    <n v="0"/>
    <n v="0.69578844577567178"/>
    <n v="1.9453154444448828"/>
    <n v="0"/>
    <n v="0"/>
    <n v="0"/>
    <n v="0"/>
    <n v="0"/>
    <n v="0"/>
    <n v="0"/>
    <n v="0"/>
    <n v="0"/>
    <n v="0"/>
    <n v="0"/>
    <n v="0.92596432714587262"/>
    <n v="0"/>
    <n v="0"/>
    <n v="0"/>
    <n v="0"/>
    <n v="0.98729040080201724"/>
    <n v="0"/>
    <n v="0"/>
    <n v="0.52535572373777772"/>
    <n v="0"/>
    <n v="0.79099562176757798"/>
    <n v="0"/>
    <n v="0.35388719975197941"/>
    <n v="0"/>
    <n v="0"/>
    <n v="0"/>
    <n v="0.52797925129925782"/>
    <n v="0"/>
    <n v="0"/>
    <n v="1.2147829571525643"/>
    <n v="0.50877430098249143"/>
    <n v="0"/>
    <n v="0"/>
    <n v="0"/>
    <n v="0"/>
    <n v="0"/>
    <n v="0"/>
    <n v="0"/>
    <n v="0.82383129957595913"/>
    <n v="0"/>
    <n v="0"/>
    <n v="0"/>
    <n v="0"/>
    <n v="0"/>
    <n v="0"/>
    <n v="0"/>
    <n v="0"/>
    <n v="0.42237556551040423"/>
    <n v="0"/>
    <n v="0.42237556551040423"/>
    <n v="0"/>
    <n v="9.0913873143637733"/>
    <n v="9.0913873143637733"/>
    <n v="0"/>
    <n v="0"/>
    <n v="0"/>
    <n v="0"/>
    <n v="0"/>
    <n v="0"/>
    <n v="0"/>
    <n v="0"/>
    <n v="0"/>
    <n v="0.470885394294885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56813838566960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434104252703125"/>
    <n v="2.0434104252703125"/>
    <n v="0"/>
    <n v="0"/>
    <n v="0"/>
    <n v="0"/>
    <n v="0"/>
    <n v="0"/>
    <n v="0"/>
    <n v="0"/>
    <n v="0"/>
    <n v="0"/>
    <n v="0"/>
    <n v="2.16235100621320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43795678986184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705882352941178"/>
    <n v="0"/>
    <n v="1.47058823529411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3674165327489987"/>
    <n v="0"/>
    <n v="3.3674165327489987"/>
    <n v="0"/>
    <n v="0"/>
    <n v="0"/>
    <n v="0"/>
    <n v="0"/>
    <n v="0"/>
    <n v="0"/>
    <n v="0"/>
    <n v="1.3839087266994565"/>
    <n v="0"/>
    <n v="12.457111647779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8671194768472976"/>
    <n v="0.68671194768472976"/>
    <n v="0"/>
    <n v="0"/>
    <n v="0"/>
    <n v="0"/>
    <n v="0"/>
    <n v="0"/>
    <n v="0"/>
    <n v="0"/>
    <n v="0.86170439774013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68910359857391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319814333153801"/>
    <n v="0"/>
    <n v="0"/>
    <n v="0"/>
    <n v="0"/>
    <n v="0"/>
    <n v="0"/>
    <n v="0"/>
    <n v="0"/>
    <n v="0"/>
    <n v="0"/>
    <n v="0"/>
    <n v="0"/>
    <n v="0.76429846233791809"/>
    <n v="0"/>
    <n v="0"/>
    <n v="1.9830019332999358"/>
    <n v="0"/>
    <n v="0"/>
    <n v="0"/>
    <n v="0"/>
    <n v="0"/>
    <n v="0"/>
    <n v="0"/>
    <n v="0"/>
    <n v="0"/>
    <n v="0"/>
    <n v="0"/>
    <n v="0"/>
    <n v="0"/>
  </r>
  <r>
    <x v="0"/>
    <s v="462B"/>
    <n v="5.43"/>
    <n v="0"/>
    <n v="0"/>
    <n v="0"/>
    <n v="0"/>
    <n v="0"/>
    <n v="0"/>
    <n v="0"/>
    <n v="0"/>
    <n v="0"/>
    <n v="0"/>
    <n v="0"/>
    <n v="0"/>
    <n v="0"/>
    <n v="0"/>
    <n v="0"/>
    <n v="5.4668178405590844"/>
    <n v="0"/>
    <n v="5.46681784055908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095365054187501"/>
    <n v="0"/>
    <n v="1.2095365054187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0930894809193565"/>
    <n v="0"/>
    <n v="0"/>
    <n v="0"/>
    <n v="3.615538204948304"/>
    <n v="3.6155382049483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4144695170000217"/>
    <n v="0"/>
    <n v="0.84144695170000217"/>
    <n v="0"/>
    <n v="16.081224500151031"/>
    <n v="16.0812245001510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1350713571269617"/>
    <n v="5.13507135712696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807263911146745"/>
    <n v="1.38072639111467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8345643706759049"/>
    <n v="0.78345643706759049"/>
    <n v="2.7624309392265194"/>
    <n v="0"/>
    <n v="2.76243093922651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3303754936204131"/>
    <n v="4.3303754936204131"/>
    <n v="0"/>
    <n v="0"/>
    <n v="0"/>
    <n v="0"/>
    <n v="0"/>
    <n v="0"/>
    <n v="0"/>
    <n v="0"/>
    <n v="2.2996036611791193"/>
    <n v="0"/>
    <n v="17.4516193503891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275675567388036"/>
    <n v="2.2275675567388036"/>
    <n v="0.77729040219803569"/>
    <n v="0"/>
    <n v="0"/>
    <n v="0"/>
    <n v="0"/>
    <n v="0"/>
    <n v="0"/>
    <n v="0"/>
    <n v="0"/>
    <n v="0"/>
    <n v="0.875758465146349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948365026713778"/>
    <n v="0"/>
    <n v="0"/>
    <n v="0"/>
    <n v="0"/>
    <n v="0"/>
    <n v="0.79367627722438783"/>
    <n v="0"/>
    <n v="0"/>
    <n v="0.78120690868393095"/>
    <n v="0"/>
    <n v="0"/>
    <n v="0"/>
    <n v="0"/>
    <n v="0"/>
    <n v="0"/>
    <n v="0"/>
    <n v="0"/>
    <n v="0"/>
    <n v="0"/>
    <n v="0"/>
    <n v="0"/>
    <n v="0"/>
    <n v="0"/>
    <n v="0"/>
    <n v="0"/>
    <n v="0.85208722095471134"/>
    <n v="0"/>
    <n v="0"/>
    <n v="0"/>
    <n v="0"/>
    <n v="0"/>
    <n v="1.5564471372550661"/>
    <n v="0"/>
    <n v="0"/>
    <n v="0"/>
    <n v="11.423861439179099"/>
    <n v="0"/>
    <n v="0"/>
    <n v="0"/>
    <n v="0"/>
    <n v="0"/>
    <n v="0"/>
    <n v="0"/>
    <n v="0"/>
    <n v="0"/>
    <n v="0"/>
    <n v="0"/>
    <n v="2.1684964927827926"/>
    <n v="0"/>
    <n v="0"/>
    <n v="0"/>
    <n v="9.9783556119100165"/>
    <n v="0"/>
    <n v="0"/>
    <n v="0"/>
    <n v="0"/>
    <n v="0"/>
    <n v="0"/>
    <n v="0"/>
    <n v="0"/>
    <n v="0"/>
    <n v="0"/>
    <n v="0"/>
    <n v="0"/>
    <n v="0"/>
  </r>
  <r>
    <x v="1"/>
    <s v="254C"/>
    <n v="6.05"/>
    <n v="0"/>
    <n v="0"/>
    <n v="0"/>
    <n v="0"/>
    <n v="0"/>
    <n v="0"/>
    <n v="0"/>
    <n v="0"/>
    <n v="0"/>
    <n v="0"/>
    <n v="0"/>
    <n v="0"/>
    <n v="0"/>
    <n v="0"/>
    <n v="0"/>
    <n v="2.5477636596769098"/>
    <n v="0"/>
    <n v="2.5477636596769098"/>
    <n v="0"/>
    <n v="0"/>
    <n v="0"/>
    <n v="0"/>
    <n v="0"/>
    <n v="0"/>
    <n v="0"/>
    <n v="1.8282184644843358"/>
    <n v="0"/>
    <n v="0"/>
    <n v="0"/>
    <n v="0"/>
    <n v="0"/>
    <n v="0"/>
    <n v="0.71701322866812434"/>
    <n v="0"/>
    <n v="0"/>
    <n v="0"/>
    <n v="0.99770875624828692"/>
    <n v="0"/>
    <n v="0"/>
    <n v="0"/>
    <n v="0"/>
    <n v="0"/>
    <n v="0"/>
    <n v="0"/>
    <n v="0"/>
    <n v="0"/>
    <n v="0"/>
    <n v="0"/>
    <n v="0"/>
    <n v="0"/>
    <n v="0"/>
    <n v="0"/>
    <n v="0.87098271598210952"/>
    <n v="0"/>
    <n v="0"/>
    <n v="0"/>
    <n v="0"/>
    <n v="0"/>
    <n v="2.0093772746789078"/>
    <n v="0"/>
    <n v="2.0093772746789078"/>
    <n v="0"/>
    <n v="0"/>
    <n v="0"/>
    <n v="0"/>
    <n v="0"/>
    <n v="0"/>
    <n v="0"/>
    <n v="0"/>
    <n v="0"/>
    <n v="0"/>
    <n v="0"/>
    <n v="0"/>
    <n v="0"/>
    <n v="0"/>
    <n v="0"/>
    <n v="0"/>
    <n v="0"/>
    <n v="0.67403104352065413"/>
    <n v="0"/>
    <n v="0"/>
    <n v="0"/>
    <n v="0"/>
    <n v="0"/>
    <n v="0"/>
    <n v="0"/>
    <n v="0"/>
    <n v="0"/>
    <n v="0"/>
    <n v="0"/>
    <n v="0"/>
    <n v="0"/>
    <n v="0"/>
    <n v="0"/>
    <n v="0"/>
    <n v="0"/>
    <n v="1.9936181213231889"/>
    <n v="0"/>
    <n v="1.9936181213231889"/>
    <n v="0.58104667378252817"/>
    <n v="0"/>
    <n v="0"/>
    <n v="0.58104667378252817"/>
    <n v="0"/>
    <n v="0"/>
    <n v="0"/>
    <n v="0"/>
    <n v="0"/>
    <n v="0"/>
    <n v="0"/>
    <n v="7.508759189349874"/>
    <n v="0"/>
    <n v="7.508759189349874"/>
    <n v="0"/>
    <n v="1.8771671269077772"/>
    <n v="0"/>
    <n v="1.87716712690777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14653033892528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0911897896018277"/>
    <n v="0"/>
    <n v="0"/>
    <n v="0"/>
    <n v="0"/>
    <n v="0"/>
    <n v="0"/>
    <n v="0"/>
    <n v="0"/>
    <n v="0"/>
    <n v="25.563068746086365"/>
    <n v="0"/>
    <n v="25.5630687460863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025380613488005"/>
    <n v="0"/>
    <n v="0"/>
    <n v="0"/>
    <n v="0"/>
    <n v="0"/>
    <n v="0"/>
    <n v="0"/>
    <n v="0"/>
    <n v="0.67449537190259901"/>
    <n v="0"/>
    <n v="0"/>
    <n v="0"/>
    <n v="0"/>
    <n v="0"/>
    <n v="0"/>
    <n v="0"/>
    <n v="0"/>
    <n v="0"/>
    <n v="0"/>
    <n v="0.99931396510243353"/>
    <n v="0"/>
    <n v="0"/>
    <n v="0"/>
    <n v="0"/>
    <n v="0"/>
    <n v="0"/>
    <n v="0"/>
    <n v="0"/>
    <n v="0"/>
    <n v="0"/>
    <n v="1.0112193827973699"/>
    <n v="0"/>
    <n v="0"/>
    <n v="0"/>
    <n v="0"/>
    <n v="8.7644797498321481"/>
    <n v="8.7644797498321481"/>
    <n v="0"/>
    <n v="0"/>
    <n v="0"/>
    <n v="0"/>
    <n v="0"/>
    <n v="0"/>
    <n v="0.91845103495472935"/>
    <n v="0.91845103495472935"/>
    <n v="0"/>
    <n v="2.3679503572885041"/>
    <n v="2.3679503572885041"/>
    <n v="0"/>
    <n v="0"/>
    <n v="0"/>
    <n v="0"/>
    <n v="0"/>
    <n v="0"/>
    <n v="0"/>
    <n v="0"/>
    <n v="0"/>
    <n v="0"/>
    <n v="0"/>
    <n v="0"/>
    <n v="63.304287340506683"/>
    <n v="0"/>
    <n v="0"/>
    <n v="0"/>
    <n v="0.56132221301780794"/>
    <n v="0"/>
    <n v="0"/>
    <n v="0"/>
    <n v="0"/>
    <n v="0"/>
    <n v="0"/>
    <n v="3.8858047046346709"/>
    <n v="0"/>
    <n v="0"/>
    <n v="0"/>
    <n v="3.8858047046346709"/>
    <n v="0"/>
    <n v="0"/>
    <n v="0"/>
    <n v="0.62640842319411616"/>
    <n v="0"/>
    <n v="0"/>
    <n v="0"/>
    <n v="0.69444914821791148"/>
    <n v="0"/>
    <n v="0"/>
    <n v="0"/>
    <n v="0.56192565000497763"/>
    <n v="0"/>
    <n v="0"/>
    <n v="0.76278613184122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92451863896419195"/>
    <n v="0"/>
    <n v="0.92451863896419195"/>
    <n v="2.4793388429752068"/>
    <n v="0"/>
    <n v="2.4793388429752068"/>
    <n v="0"/>
    <n v="0"/>
    <n v="0"/>
    <n v="0"/>
    <n v="0"/>
    <n v="0"/>
    <n v="0"/>
    <n v="0.88539731107845487"/>
    <n v="0"/>
    <n v="0.88539731107845487"/>
    <n v="0"/>
    <n v="0"/>
    <n v="0"/>
    <n v="0"/>
    <n v="0"/>
    <n v="0"/>
    <n v="0"/>
    <n v="0"/>
    <n v="0"/>
    <n v="0"/>
    <n v="0"/>
    <n v="0"/>
    <n v="0.548330039017890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988051358935036"/>
    <n v="3.5988051358935036"/>
    <n v="0"/>
    <n v="0"/>
    <n v="0"/>
    <n v="0"/>
    <n v="0"/>
    <n v="0"/>
    <n v="0"/>
    <n v="0.51343561868272058"/>
    <n v="1.5955581353124186"/>
    <n v="0"/>
    <n v="10.300857856022853"/>
    <n v="0"/>
    <n v="0"/>
    <n v="0"/>
    <n v="0.49467399836645037"/>
    <n v="0"/>
    <n v="0"/>
    <n v="0"/>
    <n v="0"/>
    <n v="0"/>
    <n v="0"/>
    <n v="0"/>
    <n v="0"/>
    <n v="0"/>
    <n v="0"/>
    <n v="0"/>
    <n v="0"/>
    <n v="0"/>
    <n v="0"/>
    <n v="1.7562599093912066"/>
    <n v="1.7562599093912066"/>
    <n v="0"/>
    <n v="0"/>
    <n v="0"/>
    <n v="0"/>
    <n v="0"/>
    <n v="0"/>
    <n v="0"/>
    <n v="1.02220136623577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3929102076014419"/>
    <n v="0"/>
    <n v="0"/>
    <n v="0"/>
    <n v="0"/>
    <n v="0"/>
    <n v="0.79633741823721604"/>
    <n v="0"/>
    <n v="0"/>
    <n v="0"/>
    <n v="0"/>
    <n v="0"/>
    <n v="0"/>
    <n v="0"/>
    <n v="0"/>
    <n v="0"/>
    <n v="0"/>
    <n v="0"/>
    <n v="0"/>
    <n v="0.67707956350068221"/>
    <n v="0"/>
    <n v="0"/>
    <n v="0"/>
    <n v="0"/>
    <n v="0"/>
    <n v="0"/>
    <n v="0.59693828891591882"/>
    <n v="0"/>
    <n v="0"/>
    <n v="0"/>
    <n v="0"/>
    <n v="0"/>
    <n v="0"/>
    <n v="0"/>
    <n v="3.0371012050647712"/>
    <n v="0"/>
    <n v="0.61735022155901942"/>
    <n v="0"/>
    <n v="0"/>
    <n v="0"/>
    <n v="0"/>
    <n v="0"/>
    <n v="0"/>
    <n v="0"/>
    <n v="0"/>
    <n v="0"/>
    <n v="0"/>
    <n v="0.87442624742816832"/>
    <n v="0"/>
    <n v="0"/>
    <n v="2.9454666160933831"/>
    <n v="0"/>
    <n v="0"/>
    <n v="0"/>
    <n v="0"/>
    <n v="0"/>
    <n v="0"/>
    <n v="0"/>
    <n v="0"/>
    <n v="0"/>
    <n v="0"/>
    <n v="0"/>
    <n v="0"/>
    <n v="0"/>
  </r>
  <r>
    <x v="1"/>
    <s v="254G"/>
    <n v="15.19"/>
    <n v="0"/>
    <n v="0"/>
    <n v="0"/>
    <n v="0.75956624256950944"/>
    <n v="0"/>
    <n v="0"/>
    <n v="0"/>
    <n v="0.4084493128009557"/>
    <n v="0"/>
    <n v="0"/>
    <n v="0"/>
    <n v="0.5211482476136946"/>
    <n v="0"/>
    <n v="0"/>
    <n v="0"/>
    <n v="3.7517308601928097"/>
    <n v="0"/>
    <n v="3.7517308601928097"/>
    <n v="0"/>
    <n v="0"/>
    <n v="0.89468951106218275"/>
    <n v="0"/>
    <n v="0"/>
    <n v="0"/>
    <n v="0"/>
    <n v="17.04491920770889"/>
    <n v="0"/>
    <n v="0"/>
    <n v="0"/>
    <n v="0"/>
    <n v="0"/>
    <n v="0"/>
    <n v="0"/>
    <n v="0"/>
    <n v="0"/>
    <n v="0"/>
    <n v="0"/>
    <n v="0"/>
    <n v="0"/>
    <n v="0"/>
    <n v="0"/>
    <n v="1.046004292837476"/>
    <n v="0"/>
    <n v="0"/>
    <n v="0"/>
    <n v="0"/>
    <n v="0"/>
    <n v="0"/>
    <n v="0"/>
    <n v="0.65377642983566908"/>
    <n v="0"/>
    <n v="0.83380541452159629"/>
    <n v="0"/>
    <n v="0"/>
    <n v="0"/>
    <n v="0"/>
    <n v="0.416206071341572"/>
    <n v="1.7444527834134911"/>
    <n v="0"/>
    <n v="0"/>
    <n v="1.7444527834134911"/>
    <n v="0.22413206333224589"/>
    <n v="0"/>
    <n v="0.34183435028485404"/>
    <n v="0"/>
    <n v="0"/>
    <n v="0.21432117022980324"/>
    <n v="0"/>
    <n v="0"/>
    <n v="1.7291926911828741"/>
    <n v="0"/>
    <n v="0"/>
    <n v="0"/>
    <n v="0"/>
    <n v="0"/>
    <n v="2.1901611976543136"/>
    <n v="0"/>
    <n v="0"/>
    <n v="0"/>
    <n v="1.0523201447051629"/>
    <n v="0"/>
    <n v="0"/>
    <n v="0.64016359913405496"/>
    <n v="0"/>
    <n v="0"/>
    <n v="0"/>
    <n v="0"/>
    <n v="0"/>
    <n v="0.67388303698434016"/>
    <n v="0"/>
    <n v="0"/>
    <n v="0"/>
    <n v="1.5540181291740842"/>
    <n v="0"/>
    <n v="0"/>
    <n v="0"/>
    <n v="1.0318245511215942"/>
    <n v="0"/>
    <n v="1.0318245511215942"/>
    <n v="0"/>
    <n v="1.8492752136194979"/>
    <n v="0"/>
    <n v="1.8492752136194979"/>
    <n v="0"/>
    <n v="0"/>
    <n v="0"/>
    <n v="0.49847839684222744"/>
    <n v="0"/>
    <n v="0"/>
    <n v="0"/>
    <n v="3.4684783188754884"/>
    <n v="0"/>
    <n v="3.4684783188754884"/>
    <n v="9.5902289680282973"/>
    <n v="0"/>
    <n v="0"/>
    <n v="9.5902289680282973"/>
    <n v="0"/>
    <n v="0"/>
    <n v="0"/>
    <n v="0"/>
    <n v="0"/>
    <n v="1.1900471370159387"/>
    <n v="0"/>
    <n v="0.51865485586279936"/>
    <n v="0"/>
    <n v="0.51865485586279936"/>
    <n v="0"/>
    <n v="0"/>
    <n v="6.8803014978000494"/>
    <n v="0"/>
    <n v="0"/>
    <n v="0"/>
    <n v="26.619849674391023"/>
    <n v="0"/>
    <n v="0"/>
    <n v="0"/>
    <n v="0"/>
    <n v="0"/>
    <n v="2.6218760790776638"/>
    <n v="0"/>
    <n v="0.38993988470709429"/>
    <n v="0"/>
    <n v="1.9688331880369421"/>
    <n v="0"/>
    <n v="0"/>
    <n v="0"/>
    <n v="0"/>
    <n v="0.90588350888425662"/>
    <n v="0"/>
    <n v="4.0130324036953136"/>
    <n v="0"/>
    <n v="0"/>
    <n v="0"/>
    <n v="0"/>
    <n v="0"/>
    <n v="0"/>
    <n v="0"/>
    <n v="0"/>
    <n v="0"/>
    <n v="1.1517969297709889"/>
    <n v="0"/>
    <n v="0"/>
    <n v="2.6659904545226722"/>
    <n v="0"/>
    <n v="0"/>
    <n v="0"/>
    <n v="1.3506580544333597"/>
    <n v="0"/>
    <n v="0"/>
    <n v="1.500502181299173"/>
    <n v="0"/>
    <n v="0"/>
    <n v="1.2048096052642541"/>
    <n v="0"/>
    <n v="0"/>
    <n v="0"/>
    <n v="0.92724575520733832"/>
    <n v="0"/>
    <n v="0"/>
    <n v="2.7284293671229807"/>
    <n v="0"/>
    <n v="0"/>
    <n v="1.2010984186145601"/>
    <n v="0"/>
    <n v="0"/>
    <n v="0"/>
    <n v="0"/>
    <n v="0"/>
    <n v="1.8724031495778508"/>
    <n v="0"/>
    <n v="0"/>
    <n v="0"/>
    <n v="0"/>
    <n v="0.47706230244538933"/>
    <n v="0"/>
    <n v="0"/>
    <n v="0"/>
    <n v="0.8635766212296726"/>
    <n v="0"/>
    <n v="0.8635766212296726"/>
    <n v="0"/>
    <n v="22.051821178286616"/>
    <n v="22.051821178286616"/>
    <n v="0"/>
    <n v="0"/>
    <n v="0"/>
    <n v="0.32699223960577301"/>
    <n v="0"/>
    <n v="0"/>
    <n v="2.6187487486402725"/>
    <n v="2.6187487486402725"/>
    <n v="0"/>
    <n v="0"/>
    <n v="0"/>
    <n v="0.4296012503884224"/>
    <n v="0"/>
    <n v="0.37528737196602974"/>
    <n v="0"/>
    <n v="0"/>
    <n v="0.37972946149097653"/>
    <n v="0"/>
    <n v="0.26089391734976775"/>
    <n v="0"/>
    <n v="0"/>
    <n v="0"/>
    <n v="0"/>
    <n v="0.32187478979913314"/>
    <n v="0"/>
    <n v="0.22014636447438127"/>
    <n v="0"/>
    <n v="0"/>
    <n v="0"/>
    <n v="0.80978785566639377"/>
    <n v="0"/>
    <n v="0"/>
    <n v="0"/>
    <n v="0"/>
    <n v="0.58053664800770455"/>
    <n v="0"/>
    <n v="0"/>
    <n v="0"/>
    <n v="0.87296877966066677"/>
    <n v="0"/>
    <n v="0"/>
    <n v="0"/>
    <n v="0"/>
    <n v="0.46623714510054898"/>
    <n v="0"/>
    <n v="0"/>
    <n v="0.72112361318687079"/>
    <n v="0"/>
    <n v="0.29238694445820163"/>
    <n v="0"/>
    <n v="0"/>
    <n v="0"/>
    <n v="0.30574371438950548"/>
    <n v="0"/>
    <n v="0.26383598028864025"/>
    <n v="0"/>
    <n v="0.97285601507890163"/>
    <n v="0"/>
    <n v="0"/>
    <n v="0"/>
    <n v="0.25445417725644526"/>
    <n v="0"/>
    <n v="1.7131905875582925"/>
    <n v="0"/>
    <n v="0"/>
    <n v="0"/>
    <n v="0"/>
    <n v="0"/>
    <n v="0"/>
    <n v="0"/>
    <n v="0.42114973872836164"/>
    <n v="0"/>
    <n v="0"/>
    <n v="2.340806455827237"/>
    <n v="2.340806455827237"/>
    <n v="0.23213207960465679"/>
    <n v="0"/>
    <n v="0"/>
    <n v="0"/>
    <n v="0"/>
    <n v="0.75930378027994161"/>
    <n v="0"/>
    <n v="0.75930378027994161"/>
    <n v="3.8028385188669587"/>
    <n v="0"/>
    <n v="3.8028385188669587"/>
    <n v="0"/>
    <n v="0"/>
    <n v="0"/>
    <n v="0"/>
    <n v="0"/>
    <n v="0"/>
    <n v="0"/>
    <n v="0"/>
    <n v="16.224871787752075"/>
    <n v="0"/>
    <n v="0"/>
    <n v="0"/>
    <n v="0"/>
    <n v="0"/>
    <n v="0"/>
    <n v="0"/>
    <n v="0"/>
    <n v="0"/>
    <n v="0.35284854072777627"/>
    <n v="0"/>
    <n v="0.22652773777447124"/>
    <n v="0"/>
    <n v="0"/>
    <n v="1.2222962965167001"/>
    <n v="0"/>
    <n v="0"/>
    <n v="0"/>
    <n v="1.2222962965167001"/>
    <n v="0"/>
    <n v="0"/>
    <n v="0.28333444310782463"/>
    <n v="0"/>
    <n v="0"/>
    <n v="0"/>
    <n v="0"/>
    <n v="0"/>
    <n v="0.40653808274255976"/>
    <n v="0"/>
    <n v="0"/>
    <n v="0.24353431508258583"/>
    <n v="0"/>
    <n v="0"/>
    <n v="0"/>
    <n v="0"/>
    <n v="0"/>
    <n v="0"/>
    <n v="0"/>
    <n v="0"/>
    <n v="0"/>
    <n v="0"/>
    <n v="0"/>
    <n v="0"/>
    <n v="0"/>
    <n v="0.28715709150459467"/>
    <n v="0.28715709150459467"/>
    <n v="0"/>
    <n v="0"/>
    <n v="0"/>
    <n v="0"/>
    <n v="0"/>
    <n v="0"/>
    <n v="0.25977967643896216"/>
    <n v="0"/>
    <n v="0"/>
    <n v="0"/>
    <n v="0.4807025075433134"/>
    <n v="0.4807025075433134"/>
    <n v="0.9874917709019092"/>
    <n v="0"/>
    <n v="0.9874917709019092"/>
    <n v="0"/>
    <n v="0.29818163734631625"/>
    <n v="0"/>
    <n v="0"/>
    <n v="0"/>
    <n v="0"/>
    <n v="0"/>
    <n v="0.31196599110804252"/>
    <n v="0"/>
    <n v="0.31196599110804252"/>
    <n v="0"/>
    <n v="0"/>
    <n v="0"/>
    <n v="0"/>
    <n v="0"/>
    <n v="0"/>
    <n v="0"/>
    <n v="0.41093649131257137"/>
    <n v="0.41093649131257137"/>
    <n v="0.21484402372917921"/>
    <n v="0"/>
    <n v="0"/>
    <n v="0.21817657934277473"/>
    <n v="0"/>
    <n v="0.8026848052099812"/>
    <n v="0"/>
    <n v="0.21656396132975519"/>
    <n v="0"/>
    <n v="0"/>
    <n v="0"/>
    <n v="0.55760847710618922"/>
    <n v="0.55760847710618922"/>
    <n v="0.30527000196443171"/>
    <n v="0"/>
    <n v="0.30527000196443171"/>
    <n v="0"/>
    <n v="0"/>
    <n v="0"/>
    <n v="0.24544780450071979"/>
    <n v="0.24544780450071979"/>
    <n v="0.28825193957764877"/>
    <n v="0.32397429983569831"/>
    <n v="0"/>
    <n v="0"/>
    <n v="0"/>
    <n v="0"/>
    <n v="0"/>
    <n v="0"/>
    <n v="0.30675948487172855"/>
    <n v="0"/>
    <n v="0"/>
    <n v="0.22792383381259618"/>
    <n v="0"/>
    <n v="0"/>
    <n v="0"/>
    <n v="0"/>
    <n v="0"/>
    <n v="0"/>
    <n v="0"/>
    <n v="0"/>
    <n v="0"/>
    <n v="0"/>
    <n v="0.28951190919155734"/>
    <n v="0.2087915755509509"/>
    <n v="0"/>
    <n v="0.93284388379824423"/>
    <n v="0"/>
    <n v="6.6023411301091102"/>
    <n v="0"/>
    <n v="6.6023411301091102"/>
    <n v="0.98399296406759029"/>
    <n v="0"/>
    <n v="0.6756385595007901"/>
    <n v="0"/>
    <n v="0"/>
    <n v="0"/>
    <n v="0"/>
    <n v="0.85016656806454671"/>
    <n v="2.2759428736680656"/>
    <n v="0"/>
    <n v="21.983429605896511"/>
    <n v="0"/>
    <n v="0"/>
    <n v="0"/>
    <n v="0.43290707024511788"/>
    <n v="0"/>
    <n v="0"/>
    <n v="0"/>
    <n v="0"/>
    <n v="0.58377393395234634"/>
    <n v="0"/>
    <n v="0.57518384822835322"/>
    <n v="0"/>
    <n v="0.28654009801613411"/>
    <n v="0"/>
    <n v="0"/>
    <n v="0"/>
    <n v="0"/>
    <n v="3.186314224111964"/>
    <n v="0"/>
    <n v="3.186314224111964"/>
    <n v="0"/>
    <n v="0"/>
    <n v="2.3023163798900996"/>
    <n v="1.1067409661551559"/>
    <n v="0"/>
    <n v="0"/>
    <n v="0"/>
    <n v="0"/>
    <n v="0"/>
    <n v="0"/>
    <n v="0"/>
    <n v="0"/>
    <n v="0.38559946637035886"/>
    <n v="0"/>
    <n v="0"/>
    <n v="0"/>
    <n v="0.73145453558901696"/>
    <n v="0"/>
    <n v="0"/>
    <n v="0.2224622082058629"/>
    <n v="0"/>
    <n v="0"/>
    <n v="0"/>
    <n v="1.206911186380579"/>
    <n v="0.19542482678080403"/>
    <n v="0"/>
    <n v="0"/>
    <n v="0.23377708177392142"/>
    <n v="0"/>
    <n v="0.82933640095977135"/>
    <n v="0.53593086181967409"/>
    <n v="0"/>
    <n v="0"/>
    <n v="0"/>
    <n v="0"/>
    <n v="0.26809995695423894"/>
    <n v="0"/>
    <n v="0"/>
    <n v="0"/>
    <n v="0"/>
    <n v="0.24043315556216033"/>
    <n v="0"/>
    <n v="0"/>
    <n v="0.2779842792481676"/>
    <n v="0"/>
    <n v="0"/>
    <n v="0"/>
    <n v="0"/>
    <n v="0"/>
    <n v="0"/>
    <n v="0.59657508966807293"/>
    <n v="0"/>
    <n v="0"/>
    <n v="0"/>
    <n v="0.39240917662078384"/>
    <n v="0"/>
    <n v="0"/>
    <n v="0"/>
    <n v="0"/>
    <n v="0"/>
    <n v="0"/>
    <n v="0"/>
    <n v="0"/>
    <n v="0"/>
    <n v="0"/>
    <n v="0"/>
    <n v="1.4791403115360475"/>
    <n v="0"/>
    <n v="0.2867383568331463"/>
    <n v="0"/>
    <n v="0"/>
    <n v="0"/>
    <n v="0.3187822911577034"/>
    <n v="0"/>
    <n v="0"/>
    <n v="0"/>
    <n v="0.99633283383680205"/>
    <n v="0"/>
    <n v="6.9135888331004374"/>
    <n v="0"/>
    <n v="0"/>
    <n v="0"/>
    <n v="5.514731857375665"/>
    <n v="0"/>
    <n v="0"/>
    <n v="0"/>
    <n v="0"/>
    <n v="0"/>
    <n v="36.129307661464587"/>
    <n v="0"/>
    <n v="0"/>
    <n v="0"/>
    <n v="0"/>
    <n v="0"/>
    <n v="7.7031599378309306"/>
    <n v="0"/>
  </r>
  <r>
    <x v="1"/>
    <s v="254I"/>
    <n v="26.75"/>
    <n v="0"/>
    <n v="0"/>
    <n v="0"/>
    <n v="0"/>
    <n v="0"/>
    <n v="0"/>
    <n v="0"/>
    <n v="0"/>
    <n v="0"/>
    <n v="0"/>
    <n v="0"/>
    <n v="0"/>
    <n v="0"/>
    <n v="0"/>
    <n v="1.4582347268968345"/>
    <n v="0"/>
    <n v="0"/>
    <n v="1.45823472689683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4621992540529144"/>
    <n v="0.14621992540529144"/>
    <n v="0"/>
    <n v="0"/>
    <n v="0"/>
    <n v="0"/>
    <n v="0"/>
    <n v="0"/>
    <n v="0"/>
    <n v="0"/>
    <n v="0"/>
    <n v="0"/>
    <n v="0"/>
    <n v="0"/>
    <n v="0"/>
    <n v="0"/>
    <n v="0"/>
    <n v="0"/>
    <n v="0"/>
    <n v="0.12566917891568843"/>
    <n v="0"/>
    <n v="0"/>
    <n v="0"/>
    <n v="0"/>
    <n v="0"/>
    <n v="0"/>
    <n v="0"/>
    <n v="0"/>
    <n v="0"/>
    <n v="0"/>
    <n v="0"/>
    <n v="0"/>
    <n v="0"/>
    <n v="0"/>
    <n v="0"/>
    <n v="0"/>
    <n v="0"/>
    <n v="0.27720903378342088"/>
    <n v="0"/>
    <n v="0.27720903378342088"/>
    <n v="0"/>
    <n v="0.23156354965413295"/>
    <n v="0"/>
    <n v="0.23156354965413295"/>
    <n v="0"/>
    <n v="0"/>
    <n v="0"/>
    <n v="0"/>
    <n v="0"/>
    <n v="0"/>
    <n v="0"/>
    <n v="0.58033755472313342"/>
    <n v="0"/>
    <n v="0.58033755472313342"/>
    <n v="0"/>
    <n v="0"/>
    <n v="0"/>
    <n v="0"/>
    <n v="0"/>
    <n v="0"/>
    <n v="0"/>
    <n v="0"/>
    <n v="0"/>
    <n v="0.15171923911709581"/>
    <n v="0"/>
    <n v="0"/>
    <n v="0.40593549079689434"/>
    <n v="0.40593549079689434"/>
    <n v="0.12341451930991423"/>
    <n v="0"/>
    <n v="0"/>
    <n v="0"/>
    <n v="0"/>
    <n v="0.19428543707413953"/>
    <n v="0"/>
    <n v="0"/>
    <n v="0"/>
    <n v="0"/>
    <n v="0"/>
    <n v="0"/>
    <n v="0"/>
    <n v="0"/>
    <n v="0"/>
    <n v="0"/>
    <n v="0.34748585648738328"/>
    <n v="0"/>
    <n v="0"/>
    <n v="0"/>
    <n v="0"/>
    <n v="0"/>
    <n v="0.14195355566375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968059972519292"/>
    <n v="0"/>
    <n v="1.9968059972519292"/>
    <n v="0"/>
    <n v="0"/>
    <n v="0"/>
    <n v="0"/>
    <n v="0"/>
    <n v="0"/>
    <n v="1.1863702126031836"/>
    <n v="1.18637021260318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20515391563060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0376673686142696"/>
    <n v="0"/>
    <n v="0"/>
    <n v="0"/>
    <n v="0"/>
    <n v="0"/>
    <n v="0"/>
    <n v="0"/>
    <n v="0"/>
    <n v="0"/>
    <n v="0.7578904618011435"/>
    <n v="0.7578904618011435"/>
    <n v="0"/>
    <n v="0"/>
    <n v="0"/>
    <n v="0"/>
    <n v="0"/>
    <n v="0"/>
    <n v="0.20982178519086134"/>
    <n v="0.20982178519086134"/>
    <n v="0"/>
    <n v="0.20471222341221787"/>
    <n v="0.20471222341221787"/>
    <n v="0"/>
    <n v="2.63782313291288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2962267703467735"/>
    <n v="0"/>
    <n v="0.32962267703467735"/>
    <n v="0"/>
    <n v="0"/>
    <n v="0"/>
    <n v="0"/>
    <n v="0"/>
    <n v="0"/>
    <n v="0"/>
    <n v="0"/>
    <n v="0"/>
    <n v="0"/>
    <n v="0"/>
    <n v="0.16589575872253712"/>
    <n v="0"/>
    <n v="0"/>
    <n v="0"/>
    <n v="0"/>
    <n v="0"/>
    <n v="0"/>
    <n v="0"/>
    <n v="0"/>
    <n v="0"/>
    <n v="0.13192168516457278"/>
    <n v="0"/>
    <n v="0"/>
    <n v="0"/>
    <n v="0.14466804878057327"/>
    <n v="0.14466804878057327"/>
    <n v="0"/>
    <n v="0"/>
    <n v="0"/>
    <n v="0"/>
    <n v="0"/>
    <n v="0"/>
    <n v="0"/>
    <n v="0"/>
    <n v="0"/>
    <n v="0.13584846662870279"/>
    <n v="0"/>
    <n v="0.13584846662870279"/>
    <n v="0.56074766355140182"/>
    <n v="0"/>
    <n v="0.56074766355140182"/>
    <n v="0"/>
    <n v="0"/>
    <n v="0.124013409425506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9755750906064123"/>
    <n v="0.19755750906064123"/>
    <n v="0.1634732721802441"/>
    <n v="0"/>
    <n v="0.1634732721802441"/>
    <n v="0"/>
    <n v="0"/>
    <n v="0"/>
    <n v="0"/>
    <n v="0"/>
    <n v="0.13811308519554513"/>
    <n v="0"/>
    <n v="0"/>
    <n v="0.133102744177173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6079861490769465"/>
    <n v="0"/>
    <n v="0"/>
    <n v="0"/>
    <n v="0"/>
    <n v="3.417511055589197"/>
    <n v="0"/>
    <n v="3.417511055589197"/>
    <n v="0"/>
    <n v="0"/>
    <n v="0"/>
    <n v="0.13435339296711407"/>
    <n v="0"/>
    <n v="0.29312898632647144"/>
    <n v="0"/>
    <n v="0.88225489386676792"/>
    <n v="1.2851310164135541"/>
    <n v="0"/>
    <n v="9.2865649674638799"/>
    <n v="0.14068716925631997"/>
    <n v="0"/>
    <n v="0"/>
    <n v="0.18460999902109149"/>
    <n v="0"/>
    <n v="0"/>
    <n v="0"/>
    <n v="0"/>
    <n v="0"/>
    <n v="0.1550095077238208"/>
    <n v="0"/>
    <n v="0.16047906750255739"/>
    <n v="0"/>
    <n v="0.21364000168433489"/>
    <n v="0"/>
    <n v="0"/>
    <n v="0"/>
    <n v="1.1367466768027852"/>
    <n v="0"/>
    <n v="1.1367466768027852"/>
    <n v="0"/>
    <n v="0.38659875395651233"/>
    <n v="0"/>
    <n v="0"/>
    <n v="0"/>
    <n v="0.61307770070974055"/>
    <n v="0"/>
    <n v="0"/>
    <n v="0"/>
    <n v="0"/>
    <n v="0"/>
    <n v="0"/>
    <n v="0.14403571622781416"/>
    <n v="0"/>
    <n v="0"/>
    <n v="0"/>
    <n v="0.12827104970734474"/>
    <n v="0"/>
    <n v="0.17089466537820114"/>
    <n v="0"/>
    <n v="0"/>
    <n v="0"/>
    <n v="0"/>
    <n v="0"/>
    <n v="0.15527409641787829"/>
    <n v="0"/>
    <n v="0"/>
    <n v="0"/>
    <n v="0"/>
    <n v="0"/>
    <n v="0"/>
    <n v="0"/>
    <n v="0"/>
    <n v="0"/>
    <n v="0"/>
    <n v="0"/>
    <n v="0"/>
    <n v="0"/>
    <n v="0"/>
    <n v="0"/>
    <n v="0.241671034487347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1711450430856309"/>
    <n v="0"/>
    <n v="0"/>
    <n v="1.2401594219832108"/>
    <n v="0"/>
    <n v="0"/>
    <n v="0"/>
    <n v="0"/>
    <n v="0"/>
    <n v="0"/>
    <n v="0"/>
    <n v="0"/>
    <n v="0"/>
    <n v="0"/>
    <n v="0"/>
    <n v="0.92542219504186318"/>
    <n v="0"/>
    <n v="0.13292188452617018"/>
    <n v="0"/>
    <n v="1.0983037346282283"/>
    <n v="0"/>
    <n v="0"/>
    <n v="0"/>
    <n v="0"/>
    <n v="0"/>
    <n v="0"/>
    <n v="0"/>
    <n v="0"/>
    <n v="0"/>
    <n v="0"/>
    <n v="0"/>
    <n v="0.21193320788744552"/>
    <n v="0"/>
  </r>
  <r>
    <x v="1"/>
    <s v="256J"/>
    <n v="13.21"/>
    <n v="0"/>
    <n v="0"/>
    <n v="0.24107697087560978"/>
    <n v="0"/>
    <n v="0"/>
    <n v="0"/>
    <n v="0.23118204784123994"/>
    <n v="0"/>
    <n v="0"/>
    <n v="0"/>
    <n v="0.33202912093208525"/>
    <n v="0"/>
    <n v="0"/>
    <n v="0"/>
    <n v="2.1150200103741374"/>
    <n v="0"/>
    <n v="0"/>
    <n v="2.1150200103741374"/>
    <n v="0"/>
    <n v="0.47925126321740574"/>
    <n v="0"/>
    <n v="0"/>
    <n v="0"/>
    <n v="0.226251634638755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3813491885308394"/>
    <n v="0"/>
    <n v="0"/>
    <n v="0.46246151462362312"/>
    <n v="0"/>
    <n v="0"/>
    <n v="0"/>
    <n v="0"/>
    <n v="0"/>
    <n v="0"/>
    <n v="0.69797566100382658"/>
    <n v="0"/>
    <n v="0.69797566100382658"/>
    <n v="0"/>
    <n v="0"/>
    <n v="0.27877160650196753"/>
    <n v="0"/>
    <n v="0.21351329625976687"/>
    <n v="0"/>
    <n v="0"/>
    <n v="0"/>
    <n v="0"/>
    <n v="0"/>
    <n v="0"/>
    <n v="0"/>
    <n v="0"/>
    <n v="0"/>
    <n v="0"/>
    <n v="0.70866556318915064"/>
    <n v="0"/>
    <n v="0"/>
    <n v="0"/>
    <n v="0"/>
    <n v="0"/>
    <n v="0"/>
    <n v="0"/>
    <n v="0"/>
    <n v="0"/>
    <n v="0"/>
    <n v="0"/>
    <n v="0.38598642808941525"/>
    <n v="0"/>
    <n v="0"/>
    <n v="0"/>
    <n v="0"/>
    <n v="0"/>
    <n v="0"/>
    <n v="0"/>
    <n v="0.63015990060048854"/>
    <n v="0"/>
    <n v="0.63015990060048854"/>
    <n v="0"/>
    <n v="0.72908437029664641"/>
    <n v="0"/>
    <n v="0.72908437029664641"/>
    <n v="0"/>
    <n v="0"/>
    <n v="0"/>
    <n v="0"/>
    <n v="0"/>
    <n v="0"/>
    <n v="0"/>
    <n v="2.3281746831568206"/>
    <n v="0"/>
    <n v="2.3281746831568206"/>
    <n v="0"/>
    <n v="0"/>
    <n v="0"/>
    <n v="0"/>
    <n v="0"/>
    <n v="0"/>
    <n v="0"/>
    <n v="0"/>
    <n v="0"/>
    <n v="0"/>
    <n v="0.31259059191984334"/>
    <n v="0"/>
    <n v="0.32817396929246895"/>
    <n v="0.32817396929246895"/>
    <n v="0"/>
    <n v="0"/>
    <n v="0"/>
    <n v="0"/>
    <n v="0"/>
    <n v="0"/>
    <n v="0"/>
    <n v="0"/>
    <n v="0"/>
    <n v="0"/>
    <n v="0.54040701830071169"/>
    <n v="0"/>
    <n v="0"/>
    <n v="0"/>
    <n v="0"/>
    <n v="0"/>
    <n v="0"/>
    <n v="0.73551057015793475"/>
    <n v="0"/>
    <n v="0"/>
    <n v="0"/>
    <n v="0"/>
    <n v="0"/>
    <n v="0.21330404849243631"/>
    <n v="0"/>
    <n v="0"/>
    <n v="0"/>
    <n v="0"/>
    <n v="0"/>
    <n v="0"/>
    <n v="0.21838708470271226"/>
    <n v="0"/>
    <n v="0"/>
    <n v="0"/>
    <n v="0"/>
    <n v="0"/>
    <n v="0"/>
    <n v="0"/>
    <n v="0"/>
    <n v="0.214406912088628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170186397269796"/>
    <n v="1.3170186397269796"/>
    <n v="4.4808404167306168"/>
    <n v="0"/>
    <n v="4.4808404167306168"/>
    <n v="0"/>
    <n v="0"/>
    <n v="0"/>
    <n v="0"/>
    <n v="0"/>
    <n v="0"/>
    <n v="2.9863451677656467"/>
    <n v="2.98634516776564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3772515043190018"/>
    <n v="0"/>
    <n v="0"/>
    <n v="0"/>
    <n v="0"/>
    <n v="0.32473365997722087"/>
    <n v="0"/>
    <n v="0"/>
    <n v="0"/>
    <n v="0"/>
    <n v="0.410405094555350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6355111468510051"/>
    <n v="0"/>
    <n v="0"/>
    <n v="0"/>
    <n v="0.4517415749314464"/>
    <n v="0"/>
    <n v="0"/>
    <n v="0.60885295747957013"/>
    <n v="0"/>
    <n v="0"/>
    <n v="0"/>
    <n v="0"/>
    <n v="0"/>
    <n v="0"/>
    <n v="0"/>
    <n v="0.29359836343171392"/>
    <n v="0"/>
    <n v="1.5461747795046947"/>
    <n v="1.5461747795046947"/>
    <n v="0"/>
    <n v="0"/>
    <n v="0"/>
    <n v="0"/>
    <n v="0"/>
    <n v="0.74491636892531465"/>
    <n v="0"/>
    <n v="0.74491636892531465"/>
    <n v="0.57757762120616973"/>
    <n v="0"/>
    <n v="0.57757762120616973"/>
    <n v="0"/>
    <n v="0"/>
    <n v="0"/>
    <n v="0"/>
    <n v="0"/>
    <n v="0"/>
    <n v="0"/>
    <n v="0"/>
    <n v="0"/>
    <n v="17.962244407718519"/>
    <n v="0"/>
    <n v="0"/>
    <n v="0"/>
    <n v="0"/>
    <n v="0"/>
    <n v="0"/>
    <n v="0"/>
    <n v="0"/>
    <n v="0"/>
    <n v="0"/>
    <n v="0"/>
    <n v="0"/>
    <n v="0"/>
    <n v="2.2420707490712406"/>
    <n v="0"/>
    <n v="0"/>
    <n v="0"/>
    <n v="2.2420707490712406"/>
    <n v="0"/>
    <n v="0"/>
    <n v="0"/>
    <n v="0"/>
    <n v="0"/>
    <n v="0"/>
    <n v="0"/>
    <n v="0"/>
    <n v="0.25725988064852101"/>
    <n v="0"/>
    <n v="0"/>
    <n v="0.54421650481166717"/>
    <n v="0"/>
    <n v="0"/>
    <n v="0"/>
    <n v="0"/>
    <n v="0"/>
    <n v="0"/>
    <n v="0"/>
    <n v="0"/>
    <n v="0"/>
    <n v="0.66642491326556907"/>
    <n v="0"/>
    <n v="0"/>
    <n v="0"/>
    <n v="0.59503205111712765"/>
    <n v="0.59503205111712765"/>
    <n v="0"/>
    <n v="0"/>
    <n v="0"/>
    <n v="0"/>
    <n v="0"/>
    <n v="0"/>
    <n v="0"/>
    <n v="0"/>
    <n v="0"/>
    <n v="0"/>
    <n v="0.42027140077575958"/>
    <n v="0.42027140077575958"/>
    <n v="1.1355034065102194"/>
    <n v="0"/>
    <n v="1.1355034065102194"/>
    <n v="0"/>
    <n v="0"/>
    <n v="0"/>
    <n v="0"/>
    <n v="0"/>
    <n v="0"/>
    <n v="0"/>
    <n v="0.50883496016907925"/>
    <n v="0"/>
    <n v="0.50883496016907925"/>
    <n v="0"/>
    <n v="0"/>
    <n v="0"/>
    <n v="0"/>
    <n v="0"/>
    <n v="0"/>
    <n v="0"/>
    <n v="0.41867981882483191"/>
    <n v="0.41867981882483191"/>
    <n v="0.32206438098989609"/>
    <n v="0"/>
    <n v="0"/>
    <n v="0.36528713561387799"/>
    <n v="0"/>
    <n v="0"/>
    <n v="0"/>
    <n v="0.23638746659632706"/>
    <n v="0"/>
    <n v="0"/>
    <n v="0"/>
    <n v="0.81080932297783803"/>
    <n v="0.81080932297783803"/>
    <n v="0.33378712690746604"/>
    <n v="0"/>
    <n v="0.33378712690746604"/>
    <n v="0"/>
    <n v="0"/>
    <n v="0"/>
    <n v="0.2342351168654436"/>
    <n v="0.2342351168654436"/>
    <n v="0"/>
    <n v="0"/>
    <n v="0"/>
    <n v="0"/>
    <n v="0"/>
    <n v="0"/>
    <n v="0"/>
    <n v="0"/>
    <n v="0"/>
    <n v="0.21220625879942842"/>
    <n v="0"/>
    <n v="0"/>
    <n v="0.23467269027607865"/>
    <n v="0"/>
    <n v="0"/>
    <n v="0"/>
    <n v="0"/>
    <n v="0"/>
    <n v="0"/>
    <n v="0"/>
    <n v="0"/>
    <n v="0.24605467285577459"/>
    <n v="0.41465986680978162"/>
    <n v="0"/>
    <n v="0"/>
    <n v="0"/>
    <n v="0"/>
    <n v="9.777257392915141"/>
    <n v="0"/>
    <n v="9.777257392915141"/>
    <n v="0"/>
    <n v="0"/>
    <n v="0"/>
    <n v="0.40516395552184425"/>
    <n v="0"/>
    <n v="0.34611244956723231"/>
    <n v="0"/>
    <n v="1.7451943698397487"/>
    <n v="3.4657914718214662"/>
    <n v="0"/>
    <n v="28.284440017434299"/>
    <n v="0.3959501532509675"/>
    <n v="0"/>
    <n v="0"/>
    <n v="0.78326046415929407"/>
    <n v="0"/>
    <n v="0"/>
    <n v="0.34922742021028741"/>
    <n v="0"/>
    <n v="0"/>
    <n v="0.45937211645261805"/>
    <n v="0"/>
    <n v="0.3917469318528915"/>
    <n v="0.40304773198163474"/>
    <n v="0"/>
    <n v="0.2703418237511665"/>
    <n v="0.24703637164392012"/>
    <n v="0"/>
    <n v="2.8730160898846964"/>
    <n v="0"/>
    <n v="2.8730160898846964"/>
    <n v="1.1343159102089089"/>
    <n v="0"/>
    <n v="0"/>
    <n v="0"/>
    <n v="0"/>
    <n v="0"/>
    <n v="0"/>
    <n v="0"/>
    <n v="0"/>
    <n v="0"/>
    <n v="0.26728550742892476"/>
    <n v="0"/>
    <n v="0"/>
    <n v="0.31548271673503331"/>
    <n v="0"/>
    <n v="0"/>
    <n v="0.29054570031976501"/>
    <n v="0"/>
    <n v="0"/>
    <n v="0"/>
    <n v="0"/>
    <n v="0"/>
    <n v="0"/>
    <n v="0"/>
    <n v="0.204332778793780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0125468038106307"/>
    <n v="0"/>
    <n v="0"/>
    <n v="0"/>
    <n v="0"/>
    <n v="0"/>
    <n v="0.22536390453758731"/>
    <n v="0"/>
    <n v="0"/>
    <n v="0"/>
    <n v="0"/>
    <n v="1.3971217699942635"/>
    <n v="0"/>
    <n v="0"/>
    <n v="0"/>
    <n v="0"/>
    <n v="0"/>
    <n v="0"/>
    <n v="0"/>
    <n v="0"/>
    <n v="0"/>
    <n v="0"/>
    <n v="0"/>
    <n v="0"/>
    <n v="0.54161501317088789"/>
    <n v="0"/>
    <n v="0"/>
    <n v="1.6283760702168515"/>
    <n v="0"/>
    <n v="0"/>
    <n v="0"/>
    <n v="0"/>
    <n v="0"/>
    <n v="0"/>
    <n v="0"/>
    <n v="0"/>
    <n v="0"/>
    <n v="0"/>
    <n v="0"/>
    <n v="0"/>
    <n v="0"/>
  </r>
  <r>
    <x v="1"/>
    <s v="256K"/>
    <n v="11.78"/>
    <n v="0.69445343764592837"/>
    <n v="0"/>
    <n v="0"/>
    <n v="0"/>
    <n v="0"/>
    <n v="0"/>
    <n v="0"/>
    <n v="0"/>
    <n v="0"/>
    <n v="0"/>
    <n v="0"/>
    <n v="0"/>
    <n v="0"/>
    <n v="0"/>
    <n v="0"/>
    <n v="0"/>
    <n v="1.1015304012641625"/>
    <n v="1.1015304012641625"/>
    <n v="0"/>
    <n v="0"/>
    <n v="0"/>
    <n v="0"/>
    <n v="0"/>
    <n v="0"/>
    <n v="0"/>
    <n v="0"/>
    <n v="0"/>
    <n v="0"/>
    <n v="0.583341241752943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5305306861628831"/>
    <n v="0"/>
    <n v="0"/>
    <n v="0"/>
    <n v="0"/>
    <n v="0"/>
    <n v="0"/>
    <n v="0"/>
    <n v="0"/>
    <n v="1.6478501591732935"/>
    <n v="0"/>
    <n v="0"/>
    <n v="1.6478501591732935"/>
    <n v="0"/>
    <n v="0"/>
    <n v="0"/>
    <n v="0"/>
    <n v="0"/>
    <n v="0"/>
    <n v="0"/>
    <n v="0"/>
    <n v="0"/>
    <n v="0"/>
    <n v="0"/>
    <n v="0"/>
    <n v="0"/>
    <n v="0"/>
    <n v="0"/>
    <n v="1.0638850788419949"/>
    <n v="0"/>
    <n v="0"/>
    <n v="0"/>
    <n v="0"/>
    <n v="0"/>
    <n v="0"/>
    <n v="0"/>
    <n v="0"/>
    <n v="0"/>
    <n v="0"/>
    <n v="0"/>
    <n v="0"/>
    <n v="0"/>
    <n v="0"/>
    <n v="0"/>
    <n v="0"/>
    <n v="2.8380396265148602"/>
    <n v="0"/>
    <n v="0"/>
    <n v="0.53850359487976773"/>
    <n v="0"/>
    <n v="0.53850359487976773"/>
    <n v="0"/>
    <n v="0.94582971450395403"/>
    <n v="0"/>
    <n v="0.94582971450395403"/>
    <n v="0"/>
    <n v="0"/>
    <n v="0"/>
    <n v="0"/>
    <n v="0"/>
    <n v="0"/>
    <n v="0"/>
    <n v="6.9123063000396279"/>
    <n v="0"/>
    <n v="6.91230630003962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97924547586719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5525617440180464"/>
    <n v="0"/>
    <n v="0"/>
    <n v="0"/>
    <n v="0"/>
    <n v="0"/>
    <n v="0"/>
    <n v="0"/>
    <n v="0"/>
    <n v="0"/>
    <n v="0"/>
    <n v="0.3163158808814765"/>
    <n v="0"/>
    <n v="0"/>
    <n v="0"/>
    <n v="0.81740813232943776"/>
    <n v="0"/>
    <n v="0"/>
    <n v="0"/>
    <n v="0"/>
    <n v="0"/>
    <n v="0"/>
    <n v="0"/>
    <n v="0"/>
    <n v="0"/>
    <n v="0.53891748474244716"/>
    <n v="0.53891748474244716"/>
    <n v="11.409560192339365"/>
    <n v="0"/>
    <n v="11.409560192339365"/>
    <n v="0"/>
    <n v="0"/>
    <n v="0"/>
    <n v="0"/>
    <n v="0"/>
    <n v="0"/>
    <n v="0"/>
    <n v="0"/>
    <n v="0"/>
    <n v="0"/>
    <n v="0.41757186989940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6600954036812161"/>
    <n v="0"/>
    <n v="0"/>
    <n v="2.5792569660484288"/>
    <n v="0"/>
    <n v="0"/>
    <n v="0"/>
    <n v="0"/>
    <n v="0"/>
    <n v="0"/>
    <n v="0"/>
    <n v="0"/>
    <n v="0.32344148970144931"/>
    <n v="0"/>
    <n v="0"/>
    <n v="0"/>
    <n v="0.93540595048336272"/>
    <n v="0"/>
    <n v="0"/>
    <n v="0"/>
    <n v="0.58519441859416921"/>
    <n v="0"/>
    <n v="0"/>
    <n v="0"/>
    <n v="0"/>
    <n v="0"/>
    <n v="0"/>
    <n v="1.9666142823822925"/>
    <n v="0"/>
    <n v="0"/>
    <n v="0"/>
    <n v="0"/>
    <n v="0"/>
    <n v="0"/>
    <n v="0"/>
    <n v="0"/>
    <n v="0"/>
    <n v="0"/>
    <n v="2.7588611361766318"/>
    <n v="2.7588611361766318"/>
    <n v="0"/>
    <n v="0"/>
    <n v="0"/>
    <n v="0"/>
    <n v="0"/>
    <n v="1.1141794951957837"/>
    <n v="0"/>
    <n v="1.1141794951957837"/>
    <n v="0"/>
    <n v="2.2702216260210828"/>
    <n v="2.2702216260210828"/>
    <n v="0"/>
    <n v="0"/>
    <n v="0"/>
    <n v="0"/>
    <n v="8.4179765962173416"/>
    <n v="0"/>
    <n v="0"/>
    <n v="0"/>
    <n v="0"/>
    <n v="0.81870134053292065"/>
    <n v="0"/>
    <n v="0"/>
    <n v="0"/>
    <n v="0"/>
    <n v="0"/>
    <n v="0"/>
    <n v="0"/>
    <n v="0"/>
    <n v="0"/>
    <n v="0"/>
    <n v="0"/>
    <n v="0"/>
    <n v="0"/>
    <n v="4.3049623695131114"/>
    <n v="0"/>
    <n v="0"/>
    <n v="0"/>
    <n v="4.3049623695131114"/>
    <n v="0"/>
    <n v="0"/>
    <n v="0"/>
    <n v="0"/>
    <n v="0"/>
    <n v="0"/>
    <n v="0"/>
    <n v="0"/>
    <n v="0"/>
    <n v="0"/>
    <n v="4.0097687838925786"/>
    <n v="0"/>
    <n v="0"/>
    <n v="0"/>
    <n v="0.37909054686843657"/>
    <n v="0"/>
    <n v="0.46400816241483578"/>
    <n v="0"/>
    <n v="0"/>
    <n v="0"/>
    <n v="0.85716780273612614"/>
    <n v="0"/>
    <n v="0"/>
    <n v="0.36471190553509142"/>
    <n v="0"/>
    <n v="0.79020017000432841"/>
    <n v="0.79020017000432841"/>
    <n v="0"/>
    <n v="0"/>
    <n v="0"/>
    <n v="0"/>
    <n v="0"/>
    <n v="0"/>
    <n v="0"/>
    <n v="0"/>
    <n v="0"/>
    <n v="0.60338470415562817"/>
    <n v="0"/>
    <n v="0.60338470415562817"/>
    <n v="1.2733446519524618"/>
    <n v="0"/>
    <n v="1.2733446519524618"/>
    <n v="0"/>
    <n v="0"/>
    <n v="0.43305179342657502"/>
    <n v="0"/>
    <n v="0"/>
    <n v="0"/>
    <n v="0"/>
    <n v="0.82202162888127595"/>
    <n v="0"/>
    <n v="0.82202162888127595"/>
    <n v="0.57132895010049467"/>
    <n v="0.55329580988796756"/>
    <n v="0"/>
    <n v="0"/>
    <n v="0"/>
    <n v="0.58022015173422015"/>
    <n v="0"/>
    <n v="0.79307273639274922"/>
    <n v="0.79307273639274922"/>
    <n v="0.5201390898268371"/>
    <n v="0"/>
    <n v="0.50353511858246214"/>
    <n v="0.57883430049806728"/>
    <n v="0"/>
    <n v="0.39655897562584874"/>
    <n v="0"/>
    <n v="0.34001668785376638"/>
    <n v="0"/>
    <n v="0.48238499879293406"/>
    <n v="0"/>
    <n v="1.5258237919434334"/>
    <n v="1.5258237919434334"/>
    <n v="0.69048591282018201"/>
    <n v="0"/>
    <n v="0.69048591282018201"/>
    <n v="0.38860179282661916"/>
    <n v="0"/>
    <n v="0.48755846398251496"/>
    <n v="0"/>
    <n v="0.48755846398251496"/>
    <n v="0.45438719928144322"/>
    <n v="0.45559503677222674"/>
    <n v="0"/>
    <n v="0.74349733115258398"/>
    <n v="0"/>
    <n v="0"/>
    <n v="0.4045237469328738"/>
    <n v="0"/>
    <n v="0"/>
    <n v="0.46356518327227353"/>
    <n v="0.55871052638788032"/>
    <n v="0"/>
    <n v="0.60814744136077781"/>
    <n v="0"/>
    <n v="1.9803115389531669"/>
    <n v="0"/>
    <n v="0"/>
    <n v="0"/>
    <n v="0.68552271253410135"/>
    <n v="0.44833694525365742"/>
    <n v="0"/>
    <n v="0.38661486853549792"/>
    <n v="1.1290893320748137"/>
    <n v="0.43742245772895727"/>
    <n v="0"/>
    <n v="0"/>
    <n v="0.34256452934610498"/>
    <n v="10.687134566395756"/>
    <n v="0"/>
    <n v="10.687134566395756"/>
    <n v="0"/>
    <n v="0"/>
    <n v="0"/>
    <n v="0"/>
    <n v="0"/>
    <n v="0.52668512636392883"/>
    <n v="0"/>
    <n v="2.6147351371193319"/>
    <n v="3.485147415461201"/>
    <n v="0.32438531035851442"/>
    <n v="24.83312806012216"/>
    <n v="0.38231977312324589"/>
    <n v="0"/>
    <n v="0"/>
    <n v="1.1505303446631692"/>
    <n v="0"/>
    <n v="0.38247249184263032"/>
    <n v="0"/>
    <n v="0"/>
    <n v="0"/>
    <n v="0.71990813848245283"/>
    <n v="0.73007136373539872"/>
    <n v="0"/>
    <n v="0.77043273957270497"/>
    <n v="0"/>
    <n v="0"/>
    <n v="0.36826933475205603"/>
    <n v="0"/>
    <n v="2.8958570997844113"/>
    <n v="0"/>
    <n v="2.8958570997844113"/>
    <n v="0.53716801750776"/>
    <n v="0"/>
    <n v="0"/>
    <n v="0"/>
    <n v="0"/>
    <n v="0"/>
    <n v="0"/>
    <n v="0"/>
    <n v="0"/>
    <n v="0"/>
    <n v="0.82846522056312832"/>
    <n v="0"/>
    <n v="0.57803402911346702"/>
    <n v="0"/>
    <n v="0"/>
    <n v="0"/>
    <n v="0"/>
    <n v="0"/>
    <n v="0"/>
    <n v="0"/>
    <n v="0"/>
    <n v="0"/>
    <n v="0"/>
    <n v="0.33433131457581416"/>
    <n v="0"/>
    <n v="0"/>
    <n v="0"/>
    <n v="0"/>
    <n v="0"/>
    <n v="0"/>
    <n v="0"/>
    <n v="0"/>
    <n v="0"/>
    <n v="0"/>
    <n v="0"/>
    <n v="0"/>
    <n v="0.37725159847932749"/>
    <n v="0"/>
    <n v="0"/>
    <n v="0"/>
    <n v="0"/>
    <n v="0"/>
    <n v="0"/>
    <n v="0"/>
    <n v="0"/>
    <n v="0"/>
    <n v="0"/>
    <n v="0"/>
    <n v="0"/>
    <n v="0.82403068632013399"/>
    <n v="0"/>
    <n v="0"/>
    <n v="0"/>
    <n v="0"/>
    <n v="0"/>
    <n v="0"/>
    <n v="0"/>
    <n v="0"/>
    <n v="1.6799862249359294"/>
    <n v="0"/>
    <n v="0"/>
    <n v="0"/>
    <n v="0"/>
    <n v="0"/>
    <n v="0"/>
    <n v="0"/>
    <n v="1.4839121472010717"/>
    <n v="0"/>
    <n v="0"/>
    <n v="0"/>
    <n v="0"/>
    <n v="0"/>
    <n v="0"/>
    <n v="0"/>
    <n v="0"/>
    <n v="0"/>
    <n v="0"/>
    <n v="0"/>
    <n v="0.70012553103523856"/>
    <n v="0"/>
    <n v="0"/>
    <n v="0.97199552175848158"/>
    <n v="1.1012195886323719"/>
    <n v="0"/>
    <n v="0"/>
    <n v="0"/>
    <n v="0"/>
    <n v="0"/>
    <n v="0"/>
    <n v="0"/>
    <n v="0"/>
    <n v="0"/>
    <n v="0"/>
    <n v="0"/>
    <n v="0.48292599616118814"/>
    <n v="0"/>
  </r>
  <r>
    <x v="1"/>
    <s v="270C"/>
    <n v="13.37"/>
    <n v="0"/>
    <n v="0"/>
    <n v="0"/>
    <n v="0"/>
    <n v="0"/>
    <n v="0"/>
    <n v="0"/>
    <n v="0"/>
    <n v="0"/>
    <n v="0"/>
    <n v="0"/>
    <n v="0"/>
    <n v="0"/>
    <n v="0"/>
    <n v="3.9763884927150301"/>
    <n v="0"/>
    <n v="0"/>
    <n v="3.97638849271503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4912019217021945"/>
    <n v="0"/>
    <n v="0"/>
    <n v="0"/>
    <n v="0"/>
    <n v="0"/>
    <n v="1.100245025773952"/>
    <n v="0"/>
    <n v="1.100245025773952"/>
    <n v="0"/>
    <n v="0"/>
    <n v="0"/>
    <n v="0"/>
    <n v="0"/>
    <n v="0"/>
    <n v="0"/>
    <n v="0"/>
    <n v="0.36545342795950664"/>
    <n v="0"/>
    <n v="0"/>
    <n v="0"/>
    <n v="0.31031421329629311"/>
    <n v="0"/>
    <n v="0"/>
    <n v="0"/>
    <n v="0.4427529912551556"/>
    <n v="0"/>
    <n v="0"/>
    <n v="0"/>
    <n v="0"/>
    <n v="0.43103368339131692"/>
    <n v="0"/>
    <n v="0"/>
    <n v="0"/>
    <n v="0"/>
    <n v="0"/>
    <n v="0"/>
    <n v="0.55182514234394897"/>
    <n v="0"/>
    <n v="0"/>
    <n v="0"/>
    <n v="0"/>
    <n v="0"/>
    <n v="0.39433557014514314"/>
    <n v="0"/>
    <n v="0"/>
    <n v="0.39433557014514314"/>
    <n v="0"/>
    <n v="0.91928389829638624"/>
    <n v="0"/>
    <n v="0.91928389829638624"/>
    <n v="0"/>
    <n v="0"/>
    <n v="0"/>
    <n v="0"/>
    <n v="0"/>
    <n v="0"/>
    <n v="0"/>
    <n v="2.8909909695916105"/>
    <n v="0"/>
    <n v="2.8909909695916105"/>
    <n v="0"/>
    <n v="0"/>
    <n v="0.54847912149364386"/>
    <n v="0.54847912149364386"/>
    <n v="0"/>
    <n v="0"/>
    <n v="0"/>
    <n v="0"/>
    <n v="0.33051651813009397"/>
    <n v="0"/>
    <n v="0"/>
    <n v="0"/>
    <n v="0"/>
    <n v="0"/>
    <n v="0"/>
    <n v="0"/>
    <n v="0"/>
    <n v="0"/>
    <n v="2.9022252160016024"/>
    <n v="0"/>
    <n v="0"/>
    <n v="0"/>
    <n v="0"/>
    <n v="0"/>
    <n v="0.73363340069573058"/>
    <n v="0.40286744515864742"/>
    <n v="0"/>
    <n v="0"/>
    <n v="0"/>
    <n v="0"/>
    <n v="0"/>
    <n v="0"/>
    <n v="0"/>
    <n v="0.40951087445725665"/>
    <n v="0"/>
    <n v="0"/>
    <n v="0.68274099734831806"/>
    <n v="0"/>
    <n v="0"/>
    <n v="0"/>
    <n v="0"/>
    <n v="0"/>
    <n v="0"/>
    <n v="0"/>
    <n v="0"/>
    <n v="0"/>
    <n v="0"/>
    <n v="0"/>
    <n v="0.27170162146420712"/>
    <n v="0"/>
    <n v="0"/>
    <n v="0"/>
    <n v="0.34001904733437438"/>
    <n v="0"/>
    <n v="0"/>
    <n v="0"/>
    <n v="0"/>
    <n v="0"/>
    <n v="0"/>
    <n v="0"/>
    <n v="0"/>
    <n v="0"/>
    <n v="0"/>
    <n v="0"/>
    <n v="0"/>
    <n v="0"/>
    <n v="0"/>
    <n v="1.00211358719235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9563918355198482"/>
    <n v="0.79563918355198482"/>
    <n v="10.083663109124783"/>
    <n v="0"/>
    <n v="10.083663109124783"/>
    <n v="0"/>
    <n v="0"/>
    <n v="0"/>
    <n v="0"/>
    <n v="0"/>
    <n v="0"/>
    <n v="1.233976149829729"/>
    <n v="1.2339761498297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28209404983080272"/>
    <n v="0"/>
    <n v="0"/>
    <n v="0"/>
    <n v="0"/>
    <n v="0.35295658730519142"/>
    <n v="0"/>
    <n v="0"/>
    <n v="0.52443643690175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8442926579855857"/>
    <n v="0"/>
    <n v="0"/>
    <n v="0"/>
    <n v="0"/>
    <n v="0"/>
    <n v="0"/>
    <n v="0.2702177478162392"/>
    <n v="0"/>
    <n v="1.5554377447521102"/>
    <n v="1.5554377447521102"/>
    <n v="0"/>
    <n v="0"/>
    <n v="0"/>
    <n v="0"/>
    <n v="0"/>
    <n v="0"/>
    <n v="0.5373888527988685"/>
    <n v="0.5373888527988685"/>
    <n v="0.29218577197299805"/>
    <n v="0"/>
    <n v="0.29218577197299805"/>
    <n v="0"/>
    <n v="0"/>
    <n v="0"/>
    <n v="0"/>
    <n v="0"/>
    <n v="0"/>
    <n v="12.120494063684399"/>
    <n v="0"/>
    <n v="0"/>
    <n v="0"/>
    <n v="0.3225525847312255"/>
    <n v="0"/>
    <n v="0"/>
    <n v="0"/>
    <n v="0"/>
    <n v="0"/>
    <n v="0"/>
    <n v="0"/>
    <n v="0"/>
    <n v="0"/>
    <n v="0"/>
    <n v="0"/>
    <n v="0"/>
    <n v="1.919502398735323"/>
    <n v="0"/>
    <n v="0"/>
    <n v="0"/>
    <n v="1.9195023987353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2883872615720355"/>
    <n v="0.32883872615720355"/>
    <n v="0"/>
    <n v="0.27335338056608055"/>
    <n v="0"/>
    <n v="0"/>
    <n v="0"/>
    <n v="0"/>
    <n v="0"/>
    <n v="0"/>
    <n v="0"/>
    <n v="0.27034738088824212"/>
    <n v="0"/>
    <n v="0.27034738088824212"/>
    <n v="1.1219147344801796"/>
    <n v="0"/>
    <n v="1.1219147344801796"/>
    <n v="0"/>
    <n v="0"/>
    <n v="0"/>
    <n v="0"/>
    <n v="0"/>
    <n v="0"/>
    <n v="0"/>
    <n v="0"/>
    <n v="0.28451404426921806"/>
    <n v="0.28451404426921806"/>
    <n v="0"/>
    <n v="0"/>
    <n v="0"/>
    <n v="0"/>
    <n v="0"/>
    <n v="0"/>
    <n v="0"/>
    <n v="0"/>
    <n v="0"/>
    <n v="0"/>
    <n v="0"/>
    <n v="0"/>
    <n v="0"/>
    <n v="0"/>
    <n v="0.53557053645079467"/>
    <n v="0"/>
    <n v="0"/>
    <n v="0"/>
    <n v="0"/>
    <n v="0"/>
    <n v="0.44345401928182715"/>
    <n v="0.443454019281827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3280976273437349"/>
    <n v="0"/>
    <n v="3.5201098311173071"/>
    <n v="0"/>
    <n v="3.5201098311173071"/>
    <n v="0"/>
    <n v="0"/>
    <n v="0"/>
    <n v="0"/>
    <n v="0"/>
    <n v="0.32193523378996558"/>
    <n v="0"/>
    <n v="0.70703949474417871"/>
    <n v="1.2331085645568569"/>
    <n v="0"/>
    <n v="11.037318632051358"/>
    <n v="0"/>
    <n v="0"/>
    <n v="0"/>
    <n v="0"/>
    <n v="0"/>
    <n v="0"/>
    <n v="0"/>
    <n v="0"/>
    <n v="0"/>
    <n v="0"/>
    <n v="0.31368972035764803"/>
    <n v="0"/>
    <n v="0"/>
    <n v="0.27546655902465289"/>
    <n v="0"/>
    <n v="0"/>
    <n v="0"/>
    <n v="2.9281260631727126"/>
    <n v="0"/>
    <n v="2.9281260631727126"/>
    <n v="0"/>
    <n v="0"/>
    <n v="0.81408851985679509"/>
    <n v="0"/>
    <n v="0"/>
    <n v="0.64833271418547467"/>
    <n v="0"/>
    <n v="0"/>
    <n v="0"/>
    <n v="0"/>
    <n v="0"/>
    <n v="0"/>
    <n v="0"/>
    <n v="0"/>
    <n v="0"/>
    <n v="0"/>
    <n v="0.3998463039129726"/>
    <n v="0"/>
    <n v="0"/>
    <n v="0"/>
    <n v="0"/>
    <n v="0"/>
    <n v="0"/>
    <n v="0.46966141679123924"/>
    <n v="0.34262552213456438"/>
    <n v="0"/>
    <n v="0"/>
    <n v="0"/>
    <n v="0.55134858141941356"/>
    <n v="0"/>
    <n v="0"/>
    <n v="0"/>
    <n v="0"/>
    <n v="0"/>
    <n v="0"/>
    <n v="0"/>
    <n v="0"/>
    <n v="0.31322537894399821"/>
    <n v="0"/>
    <n v="0.33932891061088333"/>
    <n v="0"/>
    <n v="0"/>
    <n v="0"/>
    <n v="0"/>
    <n v="0"/>
    <n v="0"/>
    <n v="0.27933722191841254"/>
    <n v="0"/>
    <n v="0"/>
    <n v="0.45200395792011883"/>
    <n v="0"/>
    <n v="0"/>
    <n v="0"/>
    <n v="0.27716507103774046"/>
    <n v="0"/>
    <n v="0"/>
    <n v="0"/>
    <n v="0"/>
    <n v="0"/>
    <n v="0"/>
    <n v="0"/>
    <n v="0"/>
    <n v="0"/>
    <n v="0"/>
    <n v="0"/>
    <n v="0"/>
    <n v="1.0349588355280173"/>
    <n v="0"/>
    <n v="0"/>
    <n v="0"/>
    <n v="0"/>
    <n v="0"/>
    <n v="0"/>
    <n v="0"/>
    <n v="0"/>
    <n v="0"/>
    <n v="0.34649432553753712"/>
    <n v="0"/>
    <n v="3.5780651117565516"/>
    <n v="0"/>
    <n v="0"/>
    <n v="0"/>
    <n v="1.7277655221475137"/>
    <n v="0"/>
    <n v="0"/>
    <n v="0"/>
    <n v="0"/>
    <n v="1.628570720477337"/>
    <n v="0"/>
    <n v="0"/>
    <n v="0"/>
    <n v="0.34005012739467017"/>
    <n v="0"/>
    <n v="0"/>
    <n v="3.7085636439000256"/>
    <n v="0"/>
  </r>
  <r>
    <x v="1"/>
    <s v="297F"/>
    <n v="7.88"/>
    <n v="0"/>
    <n v="0"/>
    <n v="0"/>
    <n v="0"/>
    <n v="0"/>
    <n v="0"/>
    <n v="0"/>
    <n v="0"/>
    <n v="0"/>
    <n v="0"/>
    <n v="0"/>
    <n v="0"/>
    <n v="0"/>
    <n v="0"/>
    <n v="0"/>
    <n v="4.1465261309605292"/>
    <n v="0"/>
    <n v="4.1465261309605292"/>
    <n v="0"/>
    <n v="0"/>
    <n v="0"/>
    <n v="0"/>
    <n v="0"/>
    <n v="0"/>
    <n v="0"/>
    <n v="0"/>
    <n v="0"/>
    <n v="0"/>
    <n v="0"/>
    <n v="0"/>
    <n v="0"/>
    <n v="0"/>
    <n v="0"/>
    <n v="0"/>
    <n v="0.596567518312939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5160348550537983"/>
    <n v="0"/>
    <n v="1.5160348550537983"/>
    <n v="0"/>
    <n v="0"/>
    <n v="0"/>
    <n v="0"/>
    <n v="0"/>
    <n v="0"/>
    <n v="0"/>
    <n v="0"/>
    <n v="0"/>
    <n v="0"/>
    <n v="0"/>
    <n v="0"/>
    <n v="0"/>
    <n v="0"/>
    <n v="0"/>
    <n v="0"/>
    <n v="0"/>
    <n v="0.64075432106613883"/>
    <n v="0"/>
    <n v="0"/>
    <n v="0"/>
    <n v="0"/>
    <n v="0"/>
    <n v="0"/>
    <n v="0"/>
    <n v="0"/>
    <n v="0"/>
    <n v="0"/>
    <n v="0"/>
    <n v="0"/>
    <n v="0"/>
    <n v="0"/>
    <n v="0"/>
    <n v="0"/>
    <n v="0"/>
    <n v="0.72871973711601468"/>
    <n v="0"/>
    <n v="0.72871973711601468"/>
    <n v="0"/>
    <n v="0"/>
    <n v="0.46834779908668078"/>
    <n v="0.46834779908668078"/>
    <n v="0"/>
    <n v="0"/>
    <n v="0"/>
    <n v="0"/>
    <n v="0"/>
    <n v="0"/>
    <n v="0"/>
    <n v="5.9803339291838089"/>
    <n v="0"/>
    <n v="5.9803339291838089"/>
    <n v="0"/>
    <n v="0"/>
    <n v="0.50518954429945517"/>
    <n v="0.505189544299455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178900788784836"/>
    <n v="0.5178900788784836"/>
    <n v="24.879636339754839"/>
    <n v="0"/>
    <n v="24.8796363397548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0466678888457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57708892134635081"/>
    <n v="0"/>
    <n v="0"/>
    <n v="0.50556205148840483"/>
    <n v="0"/>
    <n v="0"/>
    <n v="0"/>
    <n v="0.5652106473728248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7560530724276884"/>
    <n v="9.7560530724276884"/>
    <n v="0"/>
    <n v="0"/>
    <n v="0"/>
    <n v="0"/>
    <n v="0"/>
    <n v="0"/>
    <n v="0.79947296835943693"/>
    <n v="0.79947296835943693"/>
    <n v="0"/>
    <n v="0"/>
    <n v="0"/>
    <n v="0"/>
    <n v="0"/>
    <n v="0"/>
    <n v="10.638890404884227"/>
    <n v="0"/>
    <n v="0"/>
    <n v="0"/>
    <n v="0"/>
    <n v="0"/>
    <n v="0"/>
    <n v="0.69877800138107793"/>
    <n v="0"/>
    <n v="0"/>
    <n v="0"/>
    <n v="0"/>
    <n v="0"/>
    <n v="0"/>
    <n v="0"/>
    <n v="0"/>
    <n v="0"/>
    <n v="0"/>
    <n v="0"/>
    <n v="0"/>
    <n v="0"/>
    <n v="2.390512734077479"/>
    <n v="0"/>
    <n v="0"/>
    <n v="2.390512734077479"/>
    <n v="0"/>
    <n v="0"/>
    <n v="0"/>
    <n v="0"/>
    <n v="0"/>
    <n v="0"/>
    <n v="0"/>
    <n v="0"/>
    <n v="0"/>
    <n v="0"/>
    <n v="0"/>
    <n v="0"/>
    <n v="0"/>
    <n v="0.75068354520214287"/>
    <n v="0"/>
    <n v="0"/>
    <n v="0"/>
    <n v="0.452239411898009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496089810074786"/>
    <n v="0"/>
    <n v="1.4496089810074786"/>
    <n v="1.9035532994923858"/>
    <n v="0"/>
    <n v="1.9035532994923858"/>
    <n v="0"/>
    <n v="0"/>
    <n v="0"/>
    <n v="0"/>
    <n v="0"/>
    <n v="0"/>
    <n v="0"/>
    <n v="0.41182630302528478"/>
    <n v="0"/>
    <n v="0.41182630302528478"/>
    <n v="0"/>
    <n v="0"/>
    <n v="0"/>
    <n v="0"/>
    <n v="0"/>
    <n v="0"/>
    <n v="0"/>
    <n v="0"/>
    <n v="0"/>
    <n v="0"/>
    <n v="0"/>
    <n v="0"/>
    <n v="0.706788866507646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9460963433019227"/>
    <n v="0"/>
    <n v="0"/>
    <n v="0"/>
    <n v="0"/>
    <n v="0"/>
    <n v="0"/>
    <n v="0"/>
    <n v="0"/>
    <n v="0"/>
    <n v="0"/>
    <n v="0"/>
    <n v="0"/>
    <n v="0"/>
    <n v="0"/>
    <n v="0"/>
    <n v="0"/>
    <n v="16.991895818293585"/>
    <n v="0"/>
    <n v="16.991895818293585"/>
    <n v="0"/>
    <n v="0"/>
    <n v="0.87655215589688418"/>
    <n v="0"/>
    <n v="0"/>
    <n v="0.83803452044666715"/>
    <n v="0"/>
    <n v="1.0770715993699518"/>
    <n v="5.5417267119500311"/>
    <n v="0"/>
    <n v="49.557138907513554"/>
    <n v="0"/>
    <n v="0"/>
    <n v="0"/>
    <n v="0.53479367088735463"/>
    <n v="0"/>
    <n v="0.57332150127116388"/>
    <n v="0"/>
    <n v="0"/>
    <n v="0.42571219469083371"/>
    <n v="0"/>
    <n v="0"/>
    <n v="0"/>
    <n v="0"/>
    <n v="0.56969877083042175"/>
    <n v="0"/>
    <n v="0"/>
    <n v="0"/>
    <n v="4.8594790111632138"/>
    <n v="0"/>
    <n v="4.8594790111632138"/>
    <n v="0"/>
    <n v="0"/>
    <n v="0.93572002145114419"/>
    <n v="0"/>
    <n v="0"/>
    <n v="0"/>
    <n v="1.3826110143414987"/>
    <n v="0"/>
    <n v="0"/>
    <n v="0"/>
    <n v="0"/>
    <n v="0"/>
    <n v="0.62167097383266712"/>
    <n v="0"/>
    <n v="0"/>
    <n v="0.7113848209936231"/>
    <n v="0"/>
    <n v="0.432351841249237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9911454241276509"/>
    <n v="0"/>
    <n v="0"/>
    <n v="0"/>
    <n v="2.2185559655145735"/>
    <n v="0"/>
    <n v="0"/>
    <n v="0"/>
    <n v="0"/>
    <n v="0"/>
    <n v="0"/>
    <n v="0"/>
    <n v="0"/>
    <n v="0"/>
    <n v="0"/>
    <n v="0"/>
    <n v="4.3161694338236414"/>
    <n v="0"/>
    <n v="0"/>
    <n v="0"/>
    <n v="7.1358531898695592"/>
    <n v="0"/>
    <n v="0"/>
    <n v="0"/>
    <n v="0"/>
    <n v="0"/>
    <n v="0"/>
    <n v="0"/>
    <n v="0"/>
    <n v="0"/>
    <n v="0"/>
    <n v="0"/>
    <n v="1.3610004999156267"/>
    <n v="0"/>
  </r>
  <r>
    <x v="1"/>
    <s v="297G"/>
    <n v="20.27"/>
    <n v="0"/>
    <n v="0"/>
    <n v="0"/>
    <n v="0"/>
    <n v="0"/>
    <n v="0"/>
    <n v="0"/>
    <n v="0"/>
    <n v="0"/>
    <n v="0"/>
    <n v="0"/>
    <n v="0"/>
    <n v="0.14667507268821248"/>
    <n v="0"/>
    <n v="1.6693355559226297"/>
    <n v="0"/>
    <n v="0"/>
    <n v="1.6693355559226297"/>
    <n v="0.285614667709508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7199090228482139"/>
    <n v="0"/>
    <n v="0"/>
    <n v="0"/>
    <n v="0"/>
    <n v="0"/>
    <n v="0"/>
    <n v="0.15114315687570143"/>
    <n v="0"/>
    <n v="0"/>
    <n v="0.20974701052301897"/>
    <n v="0"/>
    <n v="0"/>
    <n v="0"/>
    <n v="0"/>
    <n v="0.41529248083818815"/>
    <n v="0"/>
    <n v="0"/>
    <n v="0.41529248083818815"/>
    <n v="0"/>
    <n v="0"/>
    <n v="0"/>
    <n v="0"/>
    <n v="0"/>
    <n v="0"/>
    <n v="0"/>
    <n v="0"/>
    <n v="0"/>
    <n v="0"/>
    <n v="0"/>
    <n v="0"/>
    <n v="0"/>
    <n v="0"/>
    <n v="0"/>
    <n v="0"/>
    <n v="0"/>
    <n v="0.27266425634989444"/>
    <n v="0"/>
    <n v="0"/>
    <n v="0"/>
    <n v="0"/>
    <n v="0"/>
    <n v="0"/>
    <n v="0"/>
    <n v="0"/>
    <n v="0"/>
    <n v="0"/>
    <n v="0"/>
    <n v="0"/>
    <n v="0"/>
    <n v="0"/>
    <n v="0"/>
    <n v="0"/>
    <n v="0"/>
    <n v="0.20018724912930225"/>
    <n v="0"/>
    <n v="0.20018724912930225"/>
    <n v="0"/>
    <n v="0.14940703882071785"/>
    <n v="0"/>
    <n v="0.14940703882071785"/>
    <n v="0"/>
    <n v="0"/>
    <n v="0"/>
    <n v="0"/>
    <n v="0"/>
    <n v="0"/>
    <n v="0"/>
    <n v="1.015946049191105"/>
    <n v="0"/>
    <n v="1.015946049191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47200996272832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92941726961986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7927941166508548"/>
    <n v="0.47927941166508548"/>
    <n v="2.8456681212043602"/>
    <n v="0"/>
    <n v="2.8456681212043602"/>
    <n v="0"/>
    <n v="0.18701810502501415"/>
    <n v="0"/>
    <n v="0"/>
    <n v="0"/>
    <n v="0"/>
    <n v="0.41953188988351819"/>
    <n v="0.419531889883518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15873520083772122"/>
    <n v="0"/>
    <n v="0.265368729771697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40362420011897726"/>
    <n v="0"/>
    <n v="0"/>
    <n v="0"/>
    <n v="0"/>
    <n v="0"/>
    <n v="0"/>
    <n v="0"/>
    <n v="0"/>
    <n v="0"/>
    <n v="1.1139744331016681"/>
    <n v="1.1139744331016681"/>
    <n v="0"/>
    <n v="0"/>
    <n v="0"/>
    <n v="0"/>
    <n v="0"/>
    <n v="0"/>
    <n v="0.23367397491798655"/>
    <n v="0.23367397491798655"/>
    <n v="0"/>
    <n v="0"/>
    <n v="0"/>
    <n v="0"/>
    <n v="0"/>
    <n v="0"/>
    <n v="0"/>
    <n v="0"/>
    <n v="0"/>
    <n v="0"/>
    <n v="8.6573603018290495"/>
    <n v="0"/>
    <n v="0"/>
    <n v="0"/>
    <n v="0"/>
    <n v="0"/>
    <n v="0"/>
    <n v="0"/>
    <n v="0"/>
    <n v="0"/>
    <n v="0"/>
    <n v="0"/>
    <n v="0"/>
    <n v="0"/>
    <n v="0"/>
    <n v="0"/>
    <n v="0"/>
    <n v="0.90788052259580942"/>
    <n v="0"/>
    <n v="0"/>
    <n v="0.90788052259580942"/>
    <n v="0"/>
    <n v="0"/>
    <n v="0"/>
    <n v="0"/>
    <n v="0"/>
    <n v="0.17078158508482397"/>
    <n v="0"/>
    <n v="0"/>
    <n v="0"/>
    <n v="0"/>
    <n v="0"/>
    <n v="0.22757840798921222"/>
    <n v="0"/>
    <n v="0"/>
    <n v="0"/>
    <n v="0"/>
    <n v="0"/>
    <n v="0"/>
    <n v="0"/>
    <n v="0"/>
    <n v="0"/>
    <n v="0.24455841456487415"/>
    <n v="0"/>
    <n v="0"/>
    <n v="0"/>
    <n v="0.17090411051265592"/>
    <n v="0.17090411051265592"/>
    <n v="0"/>
    <n v="0"/>
    <n v="0"/>
    <n v="0"/>
    <n v="0"/>
    <n v="0"/>
    <n v="0"/>
    <n v="0"/>
    <n v="0"/>
    <n v="0.20675624963244382"/>
    <n v="0"/>
    <n v="0.20675624963244382"/>
    <n v="0.740009866798224"/>
    <n v="0"/>
    <n v="0.740009866798224"/>
    <n v="0"/>
    <n v="0"/>
    <n v="0"/>
    <n v="0"/>
    <n v="0"/>
    <n v="0"/>
    <n v="0"/>
    <n v="0.23030130899459875"/>
    <n v="0"/>
    <n v="0.23030130899459875"/>
    <n v="0"/>
    <n v="0"/>
    <n v="0"/>
    <n v="0"/>
    <n v="0"/>
    <n v="0"/>
    <n v="0"/>
    <n v="0.14833896214970088"/>
    <n v="0.14833896214970088"/>
    <n v="0"/>
    <n v="0"/>
    <n v="0"/>
    <n v="0.17628718769223573"/>
    <n v="0"/>
    <n v="0"/>
    <n v="0"/>
    <n v="0"/>
    <n v="0"/>
    <n v="0"/>
    <n v="0"/>
    <n v="0.24494499837297393"/>
    <n v="0.24494499837297393"/>
    <n v="0"/>
    <n v="0"/>
    <n v="0"/>
    <n v="0"/>
    <n v="0"/>
    <n v="0.15030068490056117"/>
    <n v="0"/>
    <n v="0.150300684900561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8150855047056123"/>
    <n v="0"/>
    <n v="3.8150855047056123"/>
    <n v="0"/>
    <n v="0"/>
    <n v="0"/>
    <n v="0"/>
    <n v="0"/>
    <n v="0"/>
    <n v="0"/>
    <n v="0.66107000878881716"/>
    <n v="1.1822645212871827"/>
    <n v="0"/>
    <n v="10.284976241998365"/>
    <n v="0.16251565126972861"/>
    <n v="0"/>
    <n v="0"/>
    <n v="0.31299369099601787"/>
    <n v="0"/>
    <n v="0"/>
    <n v="0"/>
    <n v="0"/>
    <n v="0"/>
    <n v="0"/>
    <n v="0"/>
    <n v="0"/>
    <n v="0"/>
    <n v="0"/>
    <n v="0"/>
    <n v="0"/>
    <n v="0"/>
    <n v="0.62013174850845487"/>
    <n v="0"/>
    <n v="0.62013174850845487"/>
    <n v="0"/>
    <n v="0.55171562581364297"/>
    <n v="0"/>
    <n v="0"/>
    <n v="0.47827873860054887"/>
    <n v="0"/>
    <n v="0"/>
    <n v="0"/>
    <n v="0"/>
    <n v="0"/>
    <n v="0"/>
    <n v="0"/>
    <n v="0"/>
    <n v="0"/>
    <n v="0"/>
    <n v="0"/>
    <n v="0"/>
    <n v="0"/>
    <n v="0"/>
    <n v="0"/>
    <n v="0"/>
    <n v="0"/>
    <n v="0.23828490796346088"/>
    <n v="0"/>
    <n v="0.17680170676209317"/>
    <n v="0"/>
    <n v="0.28031960999001831"/>
    <n v="0"/>
    <n v="0.1590782135509595"/>
    <n v="0"/>
    <n v="0"/>
    <n v="0"/>
    <n v="0"/>
    <n v="0"/>
    <n v="1.3238745273036128"/>
    <n v="0"/>
    <n v="0"/>
    <n v="0"/>
    <n v="0"/>
    <n v="0"/>
    <n v="0.65618083482548573"/>
    <n v="0"/>
    <n v="0"/>
    <n v="0"/>
    <n v="0"/>
    <n v="0"/>
    <n v="0"/>
    <n v="0"/>
    <n v="0"/>
    <n v="0"/>
    <n v="0"/>
    <n v="0"/>
    <n v="0"/>
    <n v="0"/>
    <n v="0"/>
    <n v="0.17382878370230023"/>
    <n v="0"/>
    <n v="0"/>
    <n v="0"/>
    <n v="0.23436833441294333"/>
    <n v="0"/>
    <n v="0.31381627817618774"/>
    <n v="0"/>
    <n v="0"/>
    <n v="0"/>
    <n v="0"/>
    <n v="23.300816618710222"/>
    <n v="0"/>
    <n v="0"/>
    <n v="0"/>
    <n v="0"/>
    <n v="0.9619047325073854"/>
    <n v="0"/>
    <n v="0.20175478506222116"/>
    <n v="0"/>
    <n v="0"/>
    <n v="0"/>
    <n v="0.17052366759712051"/>
    <n v="0.38631360882693344"/>
    <n v="0"/>
    <n v="0.153059846414423"/>
    <n v="0"/>
    <n v="4.3588051035535358"/>
    <n v="0"/>
    <n v="0.17444024114763806"/>
    <n v="0"/>
    <n v="0.18285033972626838"/>
    <n v="0"/>
    <n v="0"/>
    <n v="0"/>
    <n v="0"/>
    <n v="0"/>
    <n v="0"/>
    <n v="0"/>
    <n v="0"/>
    <n v="0"/>
  </r>
  <r>
    <x v="1"/>
    <s v="309A"/>
    <n v="15.77"/>
    <n v="0"/>
    <n v="0"/>
    <n v="0"/>
    <n v="0"/>
    <n v="0"/>
    <n v="0"/>
    <n v="0"/>
    <n v="0"/>
    <n v="0"/>
    <n v="0"/>
    <n v="0"/>
    <n v="0"/>
    <n v="0"/>
    <n v="0"/>
    <n v="3.8109880651043304"/>
    <n v="0"/>
    <n v="0"/>
    <n v="3.8109880651043304"/>
    <n v="0"/>
    <n v="0"/>
    <n v="0"/>
    <n v="0.21912116478874435"/>
    <n v="0"/>
    <n v="0"/>
    <n v="33.095360431800131"/>
    <n v="0"/>
    <n v="0"/>
    <n v="0"/>
    <n v="0"/>
    <n v="0"/>
    <n v="0"/>
    <n v="0"/>
    <n v="0"/>
    <n v="0"/>
    <n v="0"/>
    <n v="0"/>
    <n v="0"/>
    <n v="1.6947006746626143"/>
    <n v="0.35265968939751502"/>
    <n v="0.43308781484330172"/>
    <n v="0"/>
    <n v="1.0500643311246185"/>
    <n v="0"/>
    <n v="0.82363161275368579"/>
    <n v="0"/>
    <n v="0"/>
    <n v="0"/>
    <n v="0"/>
    <n v="0.30524669082671646"/>
    <n v="0"/>
    <n v="0"/>
    <n v="0"/>
    <n v="0"/>
    <n v="0"/>
    <n v="0"/>
    <n v="0"/>
    <n v="0"/>
    <n v="1.2466524174729428"/>
    <n v="0"/>
    <n v="0"/>
    <n v="1.2466524174729428"/>
    <n v="0"/>
    <n v="0"/>
    <n v="0"/>
    <n v="0"/>
    <n v="0"/>
    <n v="0"/>
    <n v="0"/>
    <n v="0"/>
    <n v="0"/>
    <n v="0"/>
    <n v="0.22442279744628199"/>
    <n v="0"/>
    <n v="0"/>
    <n v="0"/>
    <n v="0.98915502435730396"/>
    <n v="0"/>
    <n v="0"/>
    <n v="0"/>
    <n v="0"/>
    <n v="0.67613802067755613"/>
    <n v="0"/>
    <n v="0.64564151120866387"/>
    <n v="0"/>
    <n v="0"/>
    <n v="0"/>
    <n v="0"/>
    <n v="0.43460976012078212"/>
    <n v="0"/>
    <n v="0"/>
    <n v="0"/>
    <n v="0"/>
    <n v="0"/>
    <n v="0"/>
    <n v="0.20837513292551599"/>
    <n v="1.5322837305334667"/>
    <n v="0"/>
    <n v="0"/>
    <n v="1.5322837305334667"/>
    <n v="1.8060359965126189"/>
    <n v="0"/>
    <n v="0"/>
    <n v="1.8060359965126189"/>
    <n v="0"/>
    <n v="0.43142455347606751"/>
    <n v="0"/>
    <n v="0.28653039005970538"/>
    <n v="0"/>
    <n v="0"/>
    <n v="4.6586104669896642"/>
    <n v="0"/>
    <n v="0"/>
    <n v="4.6586104669896642"/>
    <n v="19.700067752831959"/>
    <n v="0"/>
    <n v="0"/>
    <n v="19.700067752831959"/>
    <n v="0"/>
    <n v="0"/>
    <n v="0"/>
    <n v="0"/>
    <n v="0"/>
    <n v="0.41033799647636765"/>
    <n v="0"/>
    <n v="0"/>
    <n v="0.56387481986872834"/>
    <n v="0.56387481986872834"/>
    <n v="0"/>
    <n v="0"/>
    <n v="0"/>
    <n v="0"/>
    <n v="0.41266266687365194"/>
    <n v="0"/>
    <n v="0"/>
    <n v="0"/>
    <n v="0"/>
    <n v="0.29411732352940523"/>
    <n v="0"/>
    <n v="0"/>
    <n v="0"/>
    <n v="0"/>
    <n v="0"/>
    <n v="0"/>
    <n v="0.66698003355314461"/>
    <n v="0"/>
    <n v="0"/>
    <n v="0"/>
    <n v="0"/>
    <n v="0"/>
    <n v="0"/>
    <n v="0"/>
    <n v="0"/>
    <n v="0"/>
    <n v="0.89683749141300817"/>
    <n v="0"/>
    <n v="0"/>
    <n v="0.42703940331850204"/>
    <n v="0"/>
    <n v="0"/>
    <n v="0.25684675891941156"/>
    <n v="0"/>
    <n v="0"/>
    <n v="0"/>
    <n v="0"/>
    <n v="0"/>
    <n v="0.23353001852672031"/>
    <n v="0"/>
    <n v="0"/>
    <n v="0"/>
    <n v="0"/>
    <n v="0.3186311065181488"/>
    <n v="0"/>
    <n v="0"/>
    <n v="0"/>
    <n v="0"/>
    <n v="0"/>
    <n v="0"/>
    <n v="0"/>
    <n v="0"/>
    <n v="0"/>
    <n v="0"/>
    <n v="0"/>
    <n v="0"/>
    <n v="0"/>
    <n v="0.21003611500097999"/>
    <n v="0.23326872880651572"/>
    <n v="0"/>
    <n v="0"/>
    <n v="0"/>
    <n v="0.330426855845736"/>
    <n v="0"/>
    <n v="0"/>
    <n v="0"/>
    <n v="0"/>
    <n v="0"/>
    <n v="0"/>
    <n v="0"/>
    <n v="0"/>
    <n v="0.46074515559986767"/>
    <n v="0"/>
    <n v="0.46074515559986767"/>
    <n v="7.6268061566781054"/>
    <n v="0"/>
    <n v="7.6268061566781054"/>
    <n v="0.29279450546930513"/>
    <n v="0"/>
    <n v="0"/>
    <n v="0"/>
    <n v="0"/>
    <n v="0"/>
    <n v="0.78573507174025181"/>
    <n v="0.78573507174025181"/>
    <n v="0"/>
    <n v="0"/>
    <n v="0"/>
    <n v="0"/>
    <n v="0"/>
    <n v="0"/>
    <n v="0"/>
    <n v="0"/>
    <n v="0"/>
    <n v="0.59481392635772923"/>
    <n v="0"/>
    <n v="0"/>
    <n v="0"/>
    <n v="0"/>
    <n v="0"/>
    <n v="0"/>
    <n v="0"/>
    <n v="0"/>
    <n v="0"/>
    <n v="0"/>
    <n v="0"/>
    <n v="0"/>
    <n v="0"/>
    <n v="0"/>
    <n v="0"/>
    <n v="0"/>
    <n v="0"/>
    <n v="0.29715686270916836"/>
    <n v="0"/>
    <n v="1.2717095007363703"/>
    <n v="0"/>
    <n v="0"/>
    <n v="0"/>
    <n v="0"/>
    <n v="0"/>
    <n v="0"/>
    <n v="0.21514380064970598"/>
    <n v="0"/>
    <n v="0.24516559580536371"/>
    <n v="0"/>
    <n v="0"/>
    <n v="0"/>
    <n v="0"/>
    <n v="0"/>
    <n v="0"/>
    <n v="0"/>
    <n v="0.20930197584262558"/>
    <n v="0"/>
    <n v="5.8097528925816002"/>
    <n v="0"/>
    <n v="0"/>
    <n v="0"/>
    <n v="0"/>
    <n v="0.3604791106277776"/>
    <n v="0"/>
    <n v="0"/>
    <n v="0"/>
    <n v="0.28840127418637257"/>
    <n v="0"/>
    <n v="0"/>
    <n v="0"/>
    <n v="0"/>
    <n v="0.3251560972312677"/>
    <n v="0"/>
    <n v="0"/>
    <n v="2.5739892771116506"/>
    <n v="2.5739892771116506"/>
    <n v="0"/>
    <n v="0"/>
    <n v="0"/>
    <n v="0"/>
    <n v="0"/>
    <n v="1.0390466491240482"/>
    <n v="0"/>
    <n v="1.0390466491240482"/>
    <n v="4.7626748480926588"/>
    <n v="0"/>
    <n v="4.7626748480926588"/>
    <n v="0"/>
    <n v="0"/>
    <n v="0"/>
    <n v="6.4520082050530849"/>
    <n v="0"/>
    <n v="0"/>
    <n v="0"/>
    <n v="0"/>
    <n v="0"/>
    <n v="0"/>
    <n v="0.50347876816639936"/>
    <n v="0"/>
    <n v="0"/>
    <n v="0"/>
    <n v="0"/>
    <n v="0"/>
    <n v="0"/>
    <n v="0"/>
    <n v="0"/>
    <n v="0"/>
    <n v="0"/>
    <n v="0"/>
    <n v="2.9823652177905422"/>
    <n v="0"/>
    <n v="0"/>
    <n v="0"/>
    <n v="0"/>
    <n v="2.9823652177905422"/>
    <n v="0"/>
    <n v="0"/>
    <n v="0"/>
    <n v="0"/>
    <n v="0"/>
    <n v="0.21165917794972119"/>
    <n v="0"/>
    <n v="0"/>
    <n v="0"/>
    <n v="0"/>
    <n v="0"/>
    <n v="0.73164830686624172"/>
    <n v="0"/>
    <n v="0"/>
    <n v="0.30791097569776388"/>
    <n v="0"/>
    <n v="0"/>
    <n v="0"/>
    <n v="0"/>
    <n v="0"/>
    <n v="0"/>
    <n v="0.39385478001914642"/>
    <n v="0"/>
    <n v="0"/>
    <n v="0.67228808966930753"/>
    <n v="0"/>
    <n v="0.67228808966930753"/>
    <n v="0.27289483785686303"/>
    <n v="0"/>
    <n v="0"/>
    <n v="0"/>
    <n v="0"/>
    <n v="0"/>
    <n v="0"/>
    <n v="0.25570586978424376"/>
    <n v="0"/>
    <n v="0.49979874799920365"/>
    <n v="0"/>
    <n v="0.49979874799920365"/>
    <n v="0.95117311350665823"/>
    <n v="0"/>
    <n v="0.95117311350665823"/>
    <n v="0.23293781708314795"/>
    <n v="0.30672367189382072"/>
    <n v="0"/>
    <n v="0"/>
    <n v="0"/>
    <n v="0"/>
    <n v="0.67267722693698739"/>
    <n v="0"/>
    <n v="0"/>
    <n v="0.67267722693698739"/>
    <n v="0"/>
    <n v="0"/>
    <n v="0"/>
    <n v="0"/>
    <n v="0"/>
    <n v="0"/>
    <n v="0"/>
    <n v="0.60653756718204022"/>
    <n v="0.60653756718204022"/>
    <n v="0"/>
    <n v="0.42790097560764617"/>
    <n v="0"/>
    <n v="0.39747180885014688"/>
    <n v="0"/>
    <n v="2.1356922445316773"/>
    <n v="0"/>
    <n v="0.80656448318660201"/>
    <n v="0"/>
    <n v="0"/>
    <n v="0.98261884439367675"/>
    <n v="0"/>
    <n v="0.98261884439367675"/>
    <n v="0.57886510021645388"/>
    <n v="0"/>
    <n v="0.57886510021645388"/>
    <n v="0"/>
    <n v="0"/>
    <n v="0.40470130792860731"/>
    <n v="0"/>
    <n v="0.40470130792860731"/>
    <n v="0"/>
    <n v="0"/>
    <n v="0"/>
    <n v="0"/>
    <n v="0.23474052966505124"/>
    <n v="0"/>
    <n v="0"/>
    <n v="0.46619825755595379"/>
    <n v="0"/>
    <n v="0.35597377963141857"/>
    <n v="0"/>
    <n v="0"/>
    <n v="0.36884100329935315"/>
    <n v="0"/>
    <n v="0"/>
    <n v="0"/>
    <n v="0.21168839432604858"/>
    <n v="0.2594196649113073"/>
    <n v="0"/>
    <n v="0"/>
    <n v="0"/>
    <n v="0.25505917254652882"/>
    <n v="0.71823695409025223"/>
    <n v="0"/>
    <n v="0.27840367885714823"/>
    <n v="0"/>
    <n v="0"/>
    <n v="1.8019732625363687"/>
    <n v="0"/>
    <n v="1.8019732625363687"/>
    <n v="0"/>
    <n v="0"/>
    <n v="0.2184091969230639"/>
    <n v="0"/>
    <n v="0"/>
    <n v="0"/>
    <n v="0"/>
    <n v="0.95486929592458814"/>
    <n v="0.83953568189292771"/>
    <n v="0"/>
    <n v="5.2842201116632133"/>
    <n v="0"/>
    <n v="0"/>
    <n v="0"/>
    <n v="0.52685539177014451"/>
    <n v="0"/>
    <n v="0"/>
    <n v="0"/>
    <n v="0"/>
    <n v="0"/>
    <n v="0.45063090197367645"/>
    <n v="0"/>
    <n v="0.33858526992473348"/>
    <n v="0.33483024033746323"/>
    <n v="0"/>
    <n v="0"/>
    <n v="0"/>
    <n v="0.21235228985621157"/>
    <n v="0.45157204226643566"/>
    <n v="0"/>
    <n v="0.45157204226643566"/>
    <n v="0.28169083200649464"/>
    <n v="0"/>
    <n v="0"/>
    <n v="0"/>
    <n v="0"/>
    <n v="0"/>
    <n v="0.44181190769799988"/>
    <n v="0"/>
    <n v="0"/>
    <n v="0"/>
    <n v="0.29239272849271775"/>
    <n v="0.419080323665227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3862070255134336"/>
    <n v="0"/>
    <n v="0"/>
    <n v="0"/>
    <n v="0"/>
    <n v="0"/>
    <n v="0"/>
    <n v="0"/>
    <n v="0"/>
    <n v="0.32995835778278387"/>
    <n v="0"/>
    <n v="0"/>
    <n v="0"/>
    <n v="0"/>
    <n v="0.48865881307641229"/>
    <n v="0"/>
    <n v="0"/>
    <n v="0"/>
    <n v="0"/>
    <n v="0"/>
    <n v="0"/>
    <n v="0"/>
    <n v="0"/>
    <n v="0"/>
    <n v="0"/>
    <n v="0"/>
    <n v="0"/>
    <n v="1.7435933480089729"/>
    <n v="0"/>
    <n v="0"/>
    <n v="0"/>
    <n v="0"/>
    <n v="0"/>
    <n v="0"/>
    <n v="0"/>
    <n v="0"/>
    <n v="0"/>
    <n v="0"/>
    <n v="0"/>
    <n v="0"/>
    <n v="0.67976085134215347"/>
    <n v="0"/>
    <n v="0"/>
    <n v="3.7522283376846781"/>
    <n v="0"/>
    <n v="0.40339465211924158"/>
    <n v="0"/>
    <n v="0"/>
    <n v="0"/>
    <n v="0"/>
    <n v="0"/>
    <n v="0.21269936383031368"/>
    <n v="0"/>
    <n v="0"/>
    <n v="0"/>
    <n v="0.21961224856105593"/>
    <n v="0"/>
  </r>
  <r>
    <x v="1"/>
    <s v="309B"/>
    <n v="3.25"/>
    <n v="0"/>
    <n v="3.8412411169608234"/>
    <n v="0"/>
    <n v="0"/>
    <n v="0"/>
    <n v="2.0769500895125974"/>
    <n v="0"/>
    <n v="0"/>
    <n v="2.687471081793146"/>
    <n v="0"/>
    <n v="0"/>
    <n v="0"/>
    <n v="0"/>
    <n v="0"/>
    <n v="9.0730343665867927"/>
    <n v="0"/>
    <n v="0"/>
    <n v="9.0730343665867927"/>
    <n v="4.8378555532095646"/>
    <n v="0"/>
    <n v="0"/>
    <n v="0"/>
    <n v="1.7701871505988334"/>
    <n v="0"/>
    <n v="0"/>
    <n v="0"/>
    <n v="0"/>
    <n v="2.2298837521479147"/>
    <n v="0"/>
    <n v="0"/>
    <n v="0"/>
    <n v="0"/>
    <n v="0"/>
    <n v="0"/>
    <n v="0"/>
    <n v="1.4424341150431841"/>
    <n v="0"/>
    <n v="0"/>
    <n v="0"/>
    <n v="0"/>
    <n v="0"/>
    <n v="0"/>
    <n v="0"/>
    <n v="0"/>
    <n v="0"/>
    <n v="0"/>
    <n v="0"/>
    <n v="1.7067546358289474"/>
    <n v="0"/>
    <n v="0"/>
    <n v="3.8489242268027906"/>
    <n v="0"/>
    <n v="0"/>
    <n v="1.0346805604387184"/>
    <n v="0"/>
    <n v="0"/>
    <n v="0"/>
    <n v="5.5978346165444179"/>
    <n v="0"/>
    <n v="0"/>
    <n v="5.5978346165444179"/>
    <n v="0"/>
    <n v="1.9694798448128854"/>
    <n v="0"/>
    <n v="0"/>
    <n v="0"/>
    <n v="0"/>
    <n v="0"/>
    <n v="0"/>
    <n v="0"/>
    <n v="0"/>
    <n v="2.011997745530127"/>
    <n v="0"/>
    <n v="0"/>
    <n v="0"/>
    <n v="0"/>
    <n v="3.0724424643504848"/>
    <n v="0"/>
    <n v="0"/>
    <n v="0"/>
    <n v="0"/>
    <n v="0"/>
    <n v="0"/>
    <n v="0"/>
    <n v="0"/>
    <n v="0"/>
    <n v="0"/>
    <n v="0"/>
    <n v="0"/>
    <n v="2.3128297884150935"/>
    <n v="0"/>
    <n v="0"/>
    <n v="0"/>
    <n v="0"/>
    <n v="0"/>
    <n v="2.0203466287715801"/>
    <n v="0"/>
    <n v="0"/>
    <n v="2.0203466287715801"/>
    <n v="2.9395761449065558"/>
    <n v="0"/>
    <n v="0"/>
    <n v="2.9395761449065558"/>
    <n v="0"/>
    <n v="0"/>
    <n v="0"/>
    <n v="0.86788863366632896"/>
    <n v="0"/>
    <n v="0"/>
    <n v="19.494265803965696"/>
    <n v="0"/>
    <n v="0"/>
    <n v="19.494265803965696"/>
    <n v="0"/>
    <n v="1.231006534459901"/>
    <n v="0"/>
    <n v="1.231006534459901"/>
    <n v="0"/>
    <n v="0"/>
    <n v="0"/>
    <n v="0"/>
    <n v="0"/>
    <n v="1.1588163431000877"/>
    <n v="0"/>
    <n v="0"/>
    <n v="0"/>
    <n v="0"/>
    <n v="0"/>
    <n v="0"/>
    <n v="0"/>
    <n v="0"/>
    <n v="0.93204035333145596"/>
    <n v="0"/>
    <n v="0"/>
    <n v="0"/>
    <n v="0"/>
    <n v="0"/>
    <n v="0"/>
    <n v="0"/>
    <n v="0"/>
    <n v="0"/>
    <n v="0"/>
    <n v="0"/>
    <n v="0"/>
    <n v="0"/>
    <n v="0"/>
    <n v="0"/>
    <n v="0"/>
    <n v="1.2444025737527444"/>
    <n v="0"/>
    <n v="0"/>
    <n v="1.2650178018053653"/>
    <n v="0"/>
    <n v="0"/>
    <n v="0"/>
    <n v="0"/>
    <n v="1.87072063015918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7978273481647575"/>
    <n v="0"/>
    <n v="0"/>
    <n v="0"/>
    <n v="0"/>
    <n v="0"/>
    <n v="0"/>
    <n v="0.95550950175257432"/>
    <n v="0"/>
    <n v="0"/>
    <n v="0.95550950175257432"/>
    <n v="38.046100948973049"/>
    <n v="0"/>
    <n v="38.0461009489730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2554775658323738"/>
    <n v="0"/>
    <n v="0"/>
    <n v="0"/>
    <n v="2.3288761995211775"/>
    <n v="0"/>
    <n v="0"/>
    <n v="0"/>
    <n v="0"/>
    <n v="0"/>
    <n v="0"/>
    <n v="0"/>
    <n v="0"/>
    <n v="0.88768118630811987"/>
    <n v="0"/>
    <n v="0"/>
    <n v="0"/>
    <n v="0"/>
    <n v="0"/>
    <n v="0.90073034493804649"/>
    <n v="0"/>
    <n v="0"/>
    <n v="0"/>
    <n v="0"/>
    <n v="0"/>
    <n v="0"/>
    <n v="0"/>
    <n v="0"/>
    <n v="0"/>
    <n v="0"/>
    <n v="0"/>
    <n v="1.4428734406749466"/>
    <n v="0"/>
    <n v="0"/>
    <n v="0"/>
    <n v="0"/>
    <n v="0"/>
    <n v="10.193543719706515"/>
    <n v="10.193543719706515"/>
    <n v="0"/>
    <n v="0"/>
    <n v="0"/>
    <n v="0"/>
    <n v="0"/>
    <n v="2.3733116972527348"/>
    <n v="0"/>
    <n v="2.3733116972527348"/>
    <n v="0"/>
    <n v="0"/>
    <n v="0"/>
    <n v="0"/>
    <n v="0"/>
    <n v="0"/>
    <n v="0"/>
    <n v="0"/>
    <n v="32.741152348587761"/>
    <n v="0"/>
    <n v="0"/>
    <n v="0"/>
    <n v="0"/>
    <n v="3.5145906360794821"/>
    <n v="0"/>
    <n v="0"/>
    <n v="0"/>
    <n v="0"/>
    <n v="0"/>
    <n v="0"/>
    <n v="0"/>
    <n v="0"/>
    <n v="0"/>
    <n v="0"/>
    <n v="0"/>
    <n v="18.770382684429727"/>
    <n v="0"/>
    <n v="0"/>
    <n v="0"/>
    <n v="0"/>
    <n v="18.770382684429727"/>
    <n v="0"/>
    <n v="0"/>
    <n v="2.2846221992513907"/>
    <n v="0"/>
    <n v="0"/>
    <n v="0"/>
    <n v="0"/>
    <n v="1.1488441601304611"/>
    <n v="0"/>
    <n v="0"/>
    <n v="0"/>
    <n v="0"/>
    <n v="2.1110164845917772"/>
    <n v="0"/>
    <n v="1.0303848378038181"/>
    <n v="0"/>
    <n v="0"/>
    <n v="0"/>
    <n v="0"/>
    <n v="0"/>
    <n v="0"/>
    <n v="2.9687522859456887"/>
    <n v="0"/>
    <n v="0"/>
    <n v="0"/>
    <n v="1.4766548677767668"/>
    <n v="1.4766548677767668"/>
    <n v="0"/>
    <n v="0"/>
    <n v="0"/>
    <n v="0"/>
    <n v="0"/>
    <n v="0"/>
    <n v="0"/>
    <n v="0"/>
    <n v="0"/>
    <n v="2.1134921438950891"/>
    <n v="0"/>
    <n v="2.1134921438950891"/>
    <n v="4.615384615384615"/>
    <n v="0"/>
    <n v="4.615384615384615"/>
    <n v="0"/>
    <n v="0"/>
    <n v="0"/>
    <n v="0"/>
    <n v="0"/>
    <n v="0"/>
    <n v="4.4867588908418714"/>
    <n v="0"/>
    <n v="0"/>
    <n v="4.4867588908418714"/>
    <n v="0"/>
    <n v="0"/>
    <n v="0"/>
    <n v="0"/>
    <n v="0"/>
    <n v="0"/>
    <n v="0"/>
    <n v="0.99549915978972925"/>
    <n v="0.99549915978972925"/>
    <n v="0"/>
    <n v="0"/>
    <n v="0"/>
    <n v="1.1953804485760655"/>
    <n v="0"/>
    <n v="0"/>
    <n v="0"/>
    <n v="0"/>
    <n v="0"/>
    <n v="0"/>
    <n v="0"/>
    <n v="1.6143088188641339"/>
    <n v="1.6143088188641339"/>
    <n v="0"/>
    <n v="0"/>
    <n v="0"/>
    <n v="0"/>
    <n v="0"/>
    <n v="0"/>
    <n v="0"/>
    <n v="0"/>
    <n v="0"/>
    <n v="0"/>
    <n v="0.920271006242707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536139685535293"/>
    <n v="0"/>
    <n v="0"/>
    <n v="0"/>
    <n v="0"/>
    <n v="30.065838204257332"/>
    <n v="0"/>
    <n v="30.065838204257332"/>
    <n v="0"/>
    <n v="0"/>
    <n v="1.7948283994506395"/>
    <n v="0"/>
    <n v="0"/>
    <n v="0"/>
    <n v="1.2175536711953818"/>
    <n v="4.9913710254653232"/>
    <n v="11.398789488260698"/>
    <n v="0"/>
    <n v="85.373567362719328"/>
    <n v="1.2318224249188892"/>
    <n v="0"/>
    <n v="0"/>
    <n v="2.9119367954596123"/>
    <n v="0"/>
    <n v="0"/>
    <n v="0"/>
    <n v="1.6513020725441114"/>
    <n v="0"/>
    <n v="0"/>
    <n v="2.0122945871732099"/>
    <n v="0"/>
    <n v="0.86220878085568176"/>
    <n v="0"/>
    <n v="0.88387398020583596"/>
    <n v="0.932373664090689"/>
    <n v="0"/>
    <n v="6.0218075985269355"/>
    <n v="0"/>
    <n v="6.0218075985269355"/>
    <n v="0.9845160189956601"/>
    <n v="0"/>
    <n v="0"/>
    <n v="0"/>
    <n v="6.4748922645060896"/>
    <n v="0"/>
    <n v="0"/>
    <n v="0"/>
    <n v="0"/>
    <n v="0"/>
    <n v="0"/>
    <n v="0"/>
    <n v="1.31343267379219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06212399440122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452861525875457"/>
    <n v="0"/>
    <n v="0"/>
    <n v="0"/>
    <n v="0"/>
    <n v="0"/>
    <n v="0"/>
    <n v="0"/>
    <n v="2.5599267089502038"/>
    <n v="0"/>
    <n v="0"/>
    <n v="0"/>
    <n v="0"/>
    <n v="0"/>
    <n v="7.9591997098415339"/>
    <n v="0"/>
    <n v="0"/>
    <n v="0"/>
    <n v="0"/>
    <n v="0"/>
    <n v="0"/>
    <n v="0"/>
    <n v="0"/>
    <n v="0.91652995342088162"/>
    <n v="0"/>
    <n v="0"/>
    <n v="29.468587729660552"/>
    <n v="0"/>
    <n v="0"/>
    <n v="0"/>
    <n v="30.004469162966359"/>
    <n v="0"/>
    <n v="0"/>
    <n v="0"/>
    <n v="0"/>
    <n v="0"/>
    <n v="0"/>
    <n v="0"/>
    <n v="1.80459873010297"/>
    <n v="0"/>
    <n v="0"/>
    <n v="0"/>
    <n v="1.7742453999192676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02">
  <r>
    <x v="0"/>
    <n v="1"/>
    <n v="4.4859999999999998"/>
    <x v="0"/>
    <s v="8  110444"/>
    <n v="3226285"/>
    <n v="1.6199999999999999E-2"/>
    <n v="2.7699999999999999E-3"/>
  </r>
  <r>
    <x v="0"/>
    <n v="2"/>
    <n v="4.548"/>
    <x v="1"/>
    <s v="7   40203"/>
    <n v="1171272"/>
    <n v="5.8999999999999999E-3"/>
    <n v="1.01E-3"/>
  </r>
  <r>
    <x v="0"/>
    <n v="3"/>
    <n v="4.7069999999999999"/>
    <x v="2"/>
    <s v="10   83902"/>
    <n v="2537097"/>
    <n v="1.2699999999999999E-2"/>
    <n v="2.1800000000000001E-3"/>
  </r>
  <r>
    <x v="0"/>
    <n v="4"/>
    <n v="4.8049999999999997"/>
    <x v="3"/>
    <s v="4  111125"/>
    <n v="2907032"/>
    <n v="1.46E-2"/>
    <n v="2.49E-3"/>
  </r>
  <r>
    <x v="0"/>
    <n v="5"/>
    <n v="4.899"/>
    <x v="4"/>
    <s v="9  275965"/>
    <n v="11405315"/>
    <n v="5.7099999999999998E-2"/>
    <n v="9.7900000000000001E-3"/>
  </r>
  <r>
    <x v="0"/>
    <n v="6"/>
    <n v="4.9770000000000003"/>
    <x v="5"/>
    <s v="6  114705"/>
    <n v="4879468"/>
    <n v="2.4400000000000002E-2"/>
    <n v="4.1900000000000001E-3"/>
  </r>
  <r>
    <x v="0"/>
    <n v="7"/>
    <n v="5.1189999999999998"/>
    <x v="6"/>
    <s v="6   57003"/>
    <n v="1449851"/>
    <n v="7.3000000000000001E-3"/>
    <n v="1.24E-3"/>
  </r>
  <r>
    <x v="0"/>
    <n v="8"/>
    <n v="5.2"/>
    <x v="7"/>
    <s v="6  115998"/>
    <n v="5460496"/>
    <n v="2.7300000000000001E-2"/>
    <n v="4.6899999999999997E-3"/>
  </r>
  <r>
    <x v="0"/>
    <n v="9"/>
    <n v="5.2859999999999996"/>
    <x v="8"/>
    <s v="10   68719"/>
    <n v="2623491"/>
    <n v="1.3100000000000001E-2"/>
    <n v="2.2499999999999998E-3"/>
  </r>
  <r>
    <x v="0"/>
    <n v="10"/>
    <n v="5.5049999999999999"/>
    <x v="9"/>
    <s v="10   47851"/>
    <n v="2103191"/>
    <n v="1.0500000000000001E-2"/>
    <n v="1.8E-3"/>
  </r>
  <r>
    <x v="0"/>
    <n v="11"/>
    <n v="5.6580000000000004"/>
    <x v="10"/>
    <s v="10   41775"/>
    <n v="1761570"/>
    <n v="8.8000000000000005E-3"/>
    <n v="1.5100000000000001E-3"/>
  </r>
  <r>
    <x v="0"/>
    <n v="12"/>
    <n v="6.0990000000000002"/>
    <x v="11"/>
    <s v="10   94717"/>
    <n v="3287093"/>
    <n v="1.6500000000000001E-2"/>
    <n v="2.82E-3"/>
  </r>
  <r>
    <x v="0"/>
    <n v="13"/>
    <n v="6.2480000000000002"/>
    <x v="12"/>
    <s v="3  289860"/>
    <n v="11695827"/>
    <n v="5.8599999999999999E-2"/>
    <n v="1.004E-2"/>
  </r>
  <r>
    <x v="0"/>
    <n v="14"/>
    <n v="6.4870000000000001"/>
    <x v="13"/>
    <s v="4  271996"/>
    <n v="10316133"/>
    <n v="5.1700000000000003E-2"/>
    <n v="8.8500000000000002E-3"/>
  </r>
  <r>
    <x v="0"/>
    <n v="15"/>
    <n v="7.1180000000000003"/>
    <x v="14"/>
    <s v="4   67650"/>
    <n v="3523387"/>
    <n v="1.7600000000000001E-2"/>
    <n v="3.0200000000000001E-3"/>
  </r>
  <r>
    <x v="0"/>
    <n v="16"/>
    <n v="7.351"/>
    <x v="15"/>
    <s v="6   82631"/>
    <n v="2810850"/>
    <n v="1.41E-2"/>
    <n v="2.4099999999999998E-3"/>
  </r>
  <r>
    <x v="0"/>
    <n v="17"/>
    <n v="7.5819999999999999"/>
    <x v="16"/>
    <s v="7   60390"/>
    <n v="2120734"/>
    <n v="1.06E-2"/>
    <n v="1.82E-3"/>
  </r>
  <r>
    <x v="0"/>
    <n v="18"/>
    <n v="8.1199999999999992"/>
    <x v="17"/>
    <s v="2   94343"/>
    <n v="3242681"/>
    <n v="1.6199999999999999E-2"/>
    <n v="2.7799999999999999E-3"/>
  </r>
  <r>
    <x v="0"/>
    <n v="19"/>
    <n v="8.26"/>
    <x v="18"/>
    <s v="10   97326"/>
    <n v="6009967"/>
    <n v="3.0099999999999998E-2"/>
    <n v="5.1599999999999997E-3"/>
  </r>
  <r>
    <x v="0"/>
    <n v="20"/>
    <n v="8.57"/>
    <x v="19"/>
    <s v="10   26463"/>
    <n v="1090601"/>
    <n v="5.4999999999999997E-3"/>
    <n v="9.3999999999999997E-4"/>
  </r>
  <r>
    <x v="0"/>
    <n v="21"/>
    <n v="8.6349999999999998"/>
    <x v="20"/>
    <s v="10   41622"/>
    <n v="2003183"/>
    <n v="0.01"/>
    <n v="1.72E-3"/>
  </r>
  <r>
    <x v="0"/>
    <n v="22"/>
    <n v="8.9280000000000008"/>
    <x v="21"/>
    <s v="8   52661"/>
    <n v="1861560"/>
    <n v="9.2999999999999992E-3"/>
    <n v="1.6000000000000001E-3"/>
  </r>
  <r>
    <x v="0"/>
    <n v="23"/>
    <n v="8.9649999999999999"/>
    <x v="22"/>
    <s v="8   60530"/>
    <n v="2259096"/>
    <n v="1.1299999999999999E-2"/>
    <n v="1.9400000000000001E-3"/>
  </r>
  <r>
    <x v="0"/>
    <n v="24"/>
    <n v="9.1839999999999993"/>
    <x v="23"/>
    <s v="6  154386"/>
    <n v="4360869"/>
    <n v="2.18E-2"/>
    <n v="3.7399999999999998E-3"/>
  </r>
  <r>
    <x v="0"/>
    <n v="25"/>
    <n v="9.2560000000000002"/>
    <x v="24"/>
    <s v="9  131169"/>
    <n v="6276223"/>
    <n v="3.1399999999999997E-2"/>
    <n v="5.3899999999999998E-3"/>
  </r>
  <r>
    <x v="0"/>
    <n v="26"/>
    <n v="9.3580000000000005"/>
    <x v="25"/>
    <s v="9   53403"/>
    <n v="1746148"/>
    <n v="8.6999999999999994E-3"/>
    <n v="1.5E-3"/>
  </r>
  <r>
    <x v="0"/>
    <n v="27"/>
    <n v="9.5129999999999999"/>
    <x v="26"/>
    <s v="9   31642"/>
    <n v="1354485"/>
    <n v="6.7999999999999996E-3"/>
    <n v="1.16E-3"/>
  </r>
  <r>
    <x v="0"/>
    <n v="28"/>
    <n v="9.6539999999999999"/>
    <x v="27"/>
    <s v="4  738848"/>
    <n v="23155984"/>
    <n v="0.11600000000000001"/>
    <n v="1.9869999999999999E-2"/>
  </r>
  <r>
    <x v="0"/>
    <n v="29"/>
    <n v="9.8190000000000008"/>
    <x v="28"/>
    <n v="1294102"/>
    <n v="42145956"/>
    <n v="0.21099999999999999"/>
    <n v="3.6159999999999998E-2"/>
  </r>
  <r>
    <x v="0"/>
    <n v="30"/>
    <n v="10.042999999999999"/>
    <x v="29"/>
    <n v="41883"/>
    <n v="1383276"/>
    <n v="6.8999999999999999E-3"/>
    <n v="1.1900000000000001E-3"/>
  </r>
  <r>
    <x v="0"/>
    <n v="31"/>
    <n v="10.288"/>
    <x v="30"/>
    <s v="6   69637"/>
    <n v="2639163"/>
    <n v="1.32E-2"/>
    <n v="2.2599999999999999E-3"/>
  </r>
  <r>
    <x v="0"/>
    <n v="32"/>
    <n v="10.398999999999999"/>
    <x v="31"/>
    <s v="3  340682"/>
    <n v="12555955"/>
    <n v="6.2899999999999998E-2"/>
    <n v="1.077E-2"/>
  </r>
  <r>
    <x v="0"/>
    <n v="33"/>
    <n v="10.493"/>
    <x v="32"/>
    <s v="8   76374"/>
    <n v="1634419"/>
    <n v="8.2000000000000007E-3"/>
    <n v="1.4E-3"/>
  </r>
  <r>
    <x v="0"/>
    <n v="34"/>
    <n v="10.586"/>
    <x v="33"/>
    <s v="6  146009"/>
    <n v="6877428"/>
    <n v="3.44E-2"/>
    <n v="5.8999999999999999E-3"/>
  </r>
  <r>
    <x v="0"/>
    <n v="35"/>
    <n v="10.646000000000001"/>
    <x v="34"/>
    <s v="6   88487"/>
    <n v="2991190"/>
    <n v="1.4999999999999999E-2"/>
    <n v="2.5699999999999998E-3"/>
  </r>
  <r>
    <x v="0"/>
    <n v="36"/>
    <n v="10.766"/>
    <x v="35"/>
    <s v="6  220961"/>
    <n v="13112741"/>
    <n v="6.5699999999999995E-2"/>
    <n v="1.125E-2"/>
  </r>
  <r>
    <x v="0"/>
    <n v="37"/>
    <n v="11.09"/>
    <x v="36"/>
    <s v="3  197798"/>
    <n v="8774335"/>
    <n v="4.3900000000000002E-2"/>
    <n v="7.5300000000000002E-3"/>
  </r>
  <r>
    <x v="0"/>
    <n v="38"/>
    <n v="11.218999999999999"/>
    <x v="37"/>
    <s v="10  122179"/>
    <n v="8766555"/>
    <n v="4.3900000000000002E-2"/>
    <n v="7.5199999999999998E-3"/>
  </r>
  <r>
    <x v="0"/>
    <n v="39"/>
    <n v="11.409000000000001"/>
    <x v="38"/>
    <s v="10   69540"/>
    <n v="2375143"/>
    <n v="1.1900000000000001E-2"/>
    <n v="2.0400000000000001E-3"/>
  </r>
  <r>
    <x v="0"/>
    <n v="40"/>
    <n v="11.555999999999999"/>
    <x v="39"/>
    <s v="9   77515"/>
    <n v="3485110"/>
    <n v="1.7500000000000002E-2"/>
    <n v="2.99E-3"/>
  </r>
  <r>
    <x v="0"/>
    <n v="41"/>
    <n v="11.62"/>
    <x v="40"/>
    <s v="4  103781"/>
    <n v="4502259"/>
    <n v="2.2499999999999999E-2"/>
    <n v="3.8600000000000001E-3"/>
  </r>
  <r>
    <x v="0"/>
    <n v="42"/>
    <n v="11.750999999999999"/>
    <x v="41"/>
    <s v="8   55493"/>
    <n v="1169418"/>
    <n v="5.8999999999999999E-3"/>
    <n v="1E-3"/>
  </r>
  <r>
    <x v="0"/>
    <n v="43"/>
    <n v="11.913"/>
    <x v="42"/>
    <s v="8   64616"/>
    <n v="3182359"/>
    <n v="1.5900000000000001E-2"/>
    <n v="2.7299999999999998E-3"/>
  </r>
  <r>
    <x v="0"/>
    <n v="44"/>
    <n v="11.973000000000001"/>
    <x v="43"/>
    <s v="8   50480"/>
    <n v="1747735"/>
    <n v="8.8000000000000005E-3"/>
    <n v="1.5E-3"/>
  </r>
  <r>
    <x v="0"/>
    <n v="45"/>
    <n v="12.125999999999999"/>
    <x v="44"/>
    <s v="8   68669"/>
    <n v="2919522"/>
    <n v="1.46E-2"/>
    <n v="2.5100000000000001E-3"/>
  </r>
  <r>
    <x v="0"/>
    <n v="46"/>
    <n v="12.222"/>
    <x v="45"/>
    <s v="5  124180"/>
    <n v="5610023"/>
    <n v="2.81E-2"/>
    <n v="4.81E-3"/>
  </r>
  <r>
    <x v="0"/>
    <n v="47"/>
    <n v="12.32"/>
    <x v="46"/>
    <s v="5   63149"/>
    <n v="3386778"/>
    <n v="1.7000000000000001E-2"/>
    <n v="2.9099999999999998E-3"/>
  </r>
  <r>
    <x v="0"/>
    <n v="48"/>
    <n v="12.435"/>
    <x v="47"/>
    <s v="7   50710"/>
    <n v="1104518"/>
    <n v="5.4999999999999997E-3"/>
    <n v="9.5E-4"/>
  </r>
  <r>
    <x v="0"/>
    <n v="49"/>
    <n v="12.494999999999999"/>
    <x v="48"/>
    <s v="9   63698"/>
    <n v="1755703"/>
    <n v="8.8000000000000005E-3"/>
    <n v="1.5100000000000001E-3"/>
  </r>
  <r>
    <x v="0"/>
    <n v="50"/>
    <n v="12.542999999999999"/>
    <x v="49"/>
    <s v="10   83366"/>
    <n v="2352896"/>
    <n v="1.18E-2"/>
    <n v="2.0200000000000001E-3"/>
  </r>
  <r>
    <x v="0"/>
    <n v="51"/>
    <n v="12.586"/>
    <x v="50"/>
    <s v="10   75734"/>
    <n v="2810322"/>
    <n v="1.41E-2"/>
    <n v="2.4099999999999998E-3"/>
  </r>
  <r>
    <x v="0"/>
    <n v="52"/>
    <n v="12.702"/>
    <x v="51"/>
    <s v="10   85314"/>
    <n v="4019828"/>
    <n v="2.01E-2"/>
    <n v="3.4499999999999999E-3"/>
  </r>
  <r>
    <x v="0"/>
    <n v="53"/>
    <n v="12.843"/>
    <x v="52"/>
    <s v="2 3090254"/>
    <n v="90006609"/>
    <n v="0.45069999999999999"/>
    <n v="7.7229999999999993E-2"/>
  </r>
  <r>
    <x v="0"/>
    <n v="54"/>
    <n v="13.224"/>
    <x v="53"/>
    <s v="2  959067"/>
    <n v="29288258"/>
    <n v="0.1467"/>
    <n v="2.513E-2"/>
  </r>
  <r>
    <x v="0"/>
    <n v="55"/>
    <n v="13.558"/>
    <x v="54"/>
    <s v="2   39211"/>
    <n v="1334477"/>
    <n v="6.7000000000000002E-3"/>
    <n v="1.15E-3"/>
  </r>
  <r>
    <x v="0"/>
    <n v="56"/>
    <n v="13.618"/>
    <x v="55"/>
    <s v="2   81001"/>
    <n v="3013766"/>
    <n v="1.5100000000000001E-2"/>
    <n v="2.5899999999999999E-3"/>
  </r>
  <r>
    <x v="0"/>
    <n v="57"/>
    <n v="13.696"/>
    <x v="56"/>
    <s v="8   40309"/>
    <n v="1129272"/>
    <n v="5.7000000000000002E-3"/>
    <n v="9.7000000000000005E-4"/>
  </r>
  <r>
    <x v="0"/>
    <n v="58"/>
    <n v="13.835000000000001"/>
    <x v="57"/>
    <s v="10   32293"/>
    <n v="1215061"/>
    <n v="6.1000000000000004E-3"/>
    <n v="1.0399999999999999E-3"/>
  </r>
  <r>
    <x v="0"/>
    <n v="59"/>
    <n v="14.007"/>
    <x v="58"/>
    <s v="10   27834"/>
    <n v="1357867"/>
    <n v="6.7999999999999996E-3"/>
    <n v="1.17E-3"/>
  </r>
  <r>
    <x v="0"/>
    <n v="60"/>
    <n v="14.148999999999999"/>
    <x v="59"/>
    <s v="9   36483"/>
    <n v="1098310"/>
    <n v="5.4999999999999997E-3"/>
    <n v="9.3999999999999997E-4"/>
  </r>
  <r>
    <x v="0"/>
    <n v="61"/>
    <n v="14.425000000000001"/>
    <x v="60"/>
    <s v="9   42979"/>
    <n v="1509409"/>
    <n v="7.6E-3"/>
    <n v="1.2999999999999999E-3"/>
  </r>
  <r>
    <x v="0"/>
    <n v="62"/>
    <n v="14.521000000000001"/>
    <x v="61"/>
    <s v="8   99641"/>
    <n v="3343216"/>
    <n v="1.67E-2"/>
    <n v="2.8700000000000002E-3"/>
  </r>
  <r>
    <x v="0"/>
    <n v="63"/>
    <n v="14.586"/>
    <x v="62"/>
    <s v="9   86648"/>
    <n v="4563416"/>
    <n v="2.29E-2"/>
    <n v="3.9199999999999999E-3"/>
  </r>
  <r>
    <x v="0"/>
    <n v="64"/>
    <n v="14.824999999999999"/>
    <x v="63"/>
    <s v="10   38729"/>
    <n v="1357864"/>
    <n v="6.7999999999999996E-3"/>
    <n v="1.17E-3"/>
  </r>
  <r>
    <x v="0"/>
    <n v="65"/>
    <n v="15.034000000000001"/>
    <x v="64"/>
    <s v="10   40619"/>
    <n v="1969155"/>
    <n v="9.9000000000000008E-3"/>
    <n v="1.6900000000000001E-3"/>
  </r>
  <r>
    <x v="0"/>
    <n v="66"/>
    <n v="15.273"/>
    <x v="65"/>
    <s v="10   47114"/>
    <n v="1673229"/>
    <n v="8.3999999999999995E-3"/>
    <n v="1.4400000000000001E-3"/>
  </r>
  <r>
    <x v="0"/>
    <n v="67"/>
    <n v="15.34"/>
    <x v="66"/>
    <s v="4  117984"/>
    <n v="3663122"/>
    <n v="1.83E-2"/>
    <n v="3.14E-3"/>
  </r>
  <r>
    <x v="0"/>
    <n v="68"/>
    <n v="15.523"/>
    <x v="67"/>
    <s v="3  144634"/>
    <n v="6696801"/>
    <n v="3.3500000000000002E-2"/>
    <n v="5.7499999999999999E-3"/>
  </r>
  <r>
    <x v="0"/>
    <n v="69"/>
    <n v="15.641"/>
    <x v="68"/>
    <s v="10   34038"/>
    <n v="1163453"/>
    <n v="5.7999999999999996E-3"/>
    <n v="1E-3"/>
  </r>
  <r>
    <x v="0"/>
    <n v="70"/>
    <n v="15.875999999999999"/>
    <x v="69"/>
    <s v="5  409679"/>
    <n v="11743405"/>
    <n v="5.8799999999999998E-2"/>
    <n v="1.008E-2"/>
  </r>
  <r>
    <x v="0"/>
    <n v="71"/>
    <n v="16.347999999999999"/>
    <x v="70"/>
    <s v="10   49548"/>
    <n v="1565749"/>
    <n v="7.7999999999999996E-3"/>
    <n v="1.34E-3"/>
  </r>
  <r>
    <x v="0"/>
    <n v="72"/>
    <n v="16.661999999999999"/>
    <x v="71"/>
    <s v="3  120666"/>
    <n v="3682547"/>
    <n v="1.84E-2"/>
    <n v="3.16E-3"/>
  </r>
  <r>
    <x v="0"/>
    <n v="73"/>
    <n v="16.763000000000002"/>
    <x v="72"/>
    <s v="7   42198"/>
    <n v="1280595"/>
    <n v="6.4000000000000003E-3"/>
    <n v="1.1000000000000001E-3"/>
  </r>
  <r>
    <x v="0"/>
    <n v="74"/>
    <n v="17.138999999999999"/>
    <x v="73"/>
    <s v="2 1736425"/>
    <n v="154599816"/>
    <n v="0.7742"/>
    <n v="0.13266"/>
  </r>
  <r>
    <x v="0"/>
    <n v="75"/>
    <n v="17.280999999999999"/>
    <x v="74"/>
    <s v="10   49587"/>
    <n v="1055313"/>
    <n v="5.3E-3"/>
    <n v="9.1E-4"/>
  </r>
  <r>
    <x v="0"/>
    <n v="76"/>
    <n v="17.363"/>
    <x v="75"/>
    <s v="10   45273"/>
    <n v="1744793"/>
    <n v="8.6999999999999994E-3"/>
    <n v="1.5E-3"/>
  </r>
  <r>
    <x v="0"/>
    <n v="77"/>
    <n v="17.456"/>
    <x v="76"/>
    <s v="6  453293"/>
    <n v="14378002"/>
    <n v="7.1999999999999995E-2"/>
    <n v="1.234E-2"/>
  </r>
  <r>
    <x v="0"/>
    <n v="78"/>
    <n v="17.542000000000002"/>
    <x v="77"/>
    <s v="10   62998"/>
    <n v="2292853"/>
    <n v="1.15E-2"/>
    <n v="1.97E-3"/>
  </r>
  <r>
    <x v="0"/>
    <n v="79"/>
    <n v="17.725999999999999"/>
    <x v="78"/>
    <s v="8  107945"/>
    <n v="3740265"/>
    <n v="1.8700000000000001E-2"/>
    <n v="3.2100000000000002E-3"/>
  </r>
  <r>
    <x v="0"/>
    <n v="80"/>
    <n v="17.806999999999999"/>
    <x v="79"/>
    <s v="8   80279"/>
    <n v="2748416"/>
    <n v="1.38E-2"/>
    <n v="2.3600000000000001E-3"/>
  </r>
  <r>
    <x v="0"/>
    <n v="81"/>
    <n v="17.919"/>
    <x v="80"/>
    <s v="9   49755"/>
    <n v="1290126"/>
    <n v="6.4999999999999997E-3"/>
    <n v="1.1100000000000001E-3"/>
  </r>
  <r>
    <x v="0"/>
    <n v="82"/>
    <n v="18.053000000000001"/>
    <x v="81"/>
    <s v="3  133017"/>
    <n v="5638893"/>
    <n v="2.8199999999999999E-2"/>
    <n v="4.8399999999999997E-3"/>
  </r>
  <r>
    <x v="0"/>
    <n v="83"/>
    <n v="18.305"/>
    <x v="82"/>
    <s v="10   75428"/>
    <n v="2476864"/>
    <n v="1.24E-2"/>
    <n v="2.1299999999999999E-3"/>
  </r>
  <r>
    <x v="0"/>
    <n v="84"/>
    <n v="18.452000000000002"/>
    <x v="83"/>
    <s v="10   33759"/>
    <n v="1506214"/>
    <n v="7.4999999999999997E-3"/>
    <n v="1.2899999999999999E-3"/>
  </r>
  <r>
    <x v="0"/>
    <n v="85"/>
    <n v="18.736000000000001"/>
    <x v="84"/>
    <s v="8   97185"/>
    <n v="3211310"/>
    <n v="1.61E-2"/>
    <n v="2.7599999999999999E-3"/>
  </r>
  <r>
    <x v="0"/>
    <n v="86"/>
    <n v="18.843"/>
    <x v="85"/>
    <s v="6  194017"/>
    <n v="5317156"/>
    <n v="2.6599999999999999E-2"/>
    <n v="4.5599999999999998E-3"/>
  </r>
  <r>
    <x v="0"/>
    <n v="87"/>
    <n v="19.634"/>
    <x v="86"/>
    <s v="6   22463"/>
    <n v="1369291"/>
    <n v="6.8999999999999999E-3"/>
    <n v="1.17E-3"/>
  </r>
  <r>
    <x v="0"/>
    <n v="88"/>
    <n v="20.222999999999999"/>
    <x v="87"/>
    <s v="6   91283"/>
    <n v="3534593"/>
    <n v="1.77E-2"/>
    <n v="3.0300000000000001E-3"/>
  </r>
  <r>
    <x v="0"/>
    <n v="89"/>
    <n v="20.963000000000001"/>
    <x v="88"/>
    <s v="6   54322"/>
    <n v="1588893"/>
    <n v="8.0000000000000002E-3"/>
    <n v="1.3600000000000001E-3"/>
  </r>
  <r>
    <x v="0"/>
    <n v="90"/>
    <n v="21.399000000000001"/>
    <x v="89"/>
    <s v="6   50806"/>
    <n v="1548206"/>
    <n v="7.7999999999999996E-3"/>
    <n v="1.33E-3"/>
  </r>
  <r>
    <x v="0"/>
    <n v="91"/>
    <n v="22.51"/>
    <x v="90"/>
    <s v="10   39880"/>
    <n v="1200170"/>
    <n v="6.0000000000000001E-3"/>
    <n v="1.0300000000000001E-3"/>
  </r>
  <r>
    <x v="0"/>
    <n v="92"/>
    <n v="22.73"/>
    <x v="91"/>
    <s v="9   36623"/>
    <n v="1276657"/>
    <n v="6.4000000000000003E-3"/>
    <n v="1.1000000000000001E-3"/>
  </r>
  <r>
    <x v="0"/>
    <n v="93"/>
    <n v="23.007999999999999"/>
    <x v="92"/>
    <s v="3   29087"/>
    <n v="1103169"/>
    <n v="5.4999999999999997E-3"/>
    <n v="9.5E-4"/>
  </r>
  <r>
    <x v="0"/>
    <n v="94"/>
    <n v="23.475999999999999"/>
    <x v="93"/>
    <s v="8  103812"/>
    <n v="2686515"/>
    <n v="1.35E-2"/>
    <n v="2.31E-3"/>
  </r>
  <r>
    <x v="0"/>
    <n v="95"/>
    <n v="23.667000000000002"/>
    <x v="94"/>
    <s v="8   44214"/>
    <n v="1541910"/>
    <n v="7.7000000000000002E-3"/>
    <n v="1.32E-3"/>
  </r>
  <r>
    <x v="0"/>
    <n v="96"/>
    <n v="23.927"/>
    <x v="95"/>
    <s v="10   34836"/>
    <n v="1088138"/>
    <n v="5.4000000000000003E-3"/>
    <n v="9.3000000000000005E-4"/>
  </r>
  <r>
    <x v="0"/>
    <n v="97"/>
    <n v="24.039000000000001"/>
    <x v="96"/>
    <s v="3  124875"/>
    <n v="3199936"/>
    <n v="1.6E-2"/>
    <n v="2.7499999999999998E-3"/>
  </r>
  <r>
    <x v="0"/>
    <n v="98"/>
    <n v="24.263999999999999"/>
    <x v="97"/>
    <s v="7   77469"/>
    <n v="2070361"/>
    <n v="1.04E-2"/>
    <n v="1.7799999999999999E-3"/>
  </r>
  <r>
    <x v="0"/>
    <n v="99"/>
    <n v="25.916"/>
    <x v="98"/>
    <s v="4   46457"/>
    <n v="1489713"/>
    <n v="7.4999999999999997E-3"/>
    <n v="1.2800000000000001E-3"/>
  </r>
  <r>
    <x v="0"/>
    <n v="100"/>
    <n v="27.43"/>
    <x v="99"/>
    <s v="9   48410"/>
    <n v="1012709"/>
    <n v="5.1000000000000004E-3"/>
    <n v="8.7000000000000001E-4"/>
  </r>
  <r>
    <x v="0"/>
    <n v="101"/>
    <n v="27.507000000000001"/>
    <x v="100"/>
    <s v="3  138402"/>
    <n v="2134971"/>
    <n v="1.0699999999999999E-2"/>
    <n v="1.83E-3"/>
  </r>
  <r>
    <x v="0"/>
    <n v="102"/>
    <n v="28.481999999999999"/>
    <x v="101"/>
    <n v="6284148"/>
    <n v="80147608"/>
    <n v="0.40129999999999999"/>
    <n v="6.8769999999999998E-2"/>
  </r>
  <r>
    <x v="0"/>
    <n v="103"/>
    <n v="28.594000000000001"/>
    <x v="102"/>
    <s v="6  155529"/>
    <n v="3036868"/>
    <n v="1.52E-2"/>
    <n v="2.6099999999999999E-3"/>
  </r>
  <r>
    <x v="0"/>
    <n v="104"/>
    <n v="28.638000000000002"/>
    <x v="103"/>
    <s v="5  104894"/>
    <n v="2686343"/>
    <n v="1.35E-2"/>
    <n v="2.31E-3"/>
  </r>
  <r>
    <x v="0"/>
    <n v="105"/>
    <n v="28.734000000000002"/>
    <x v="104"/>
    <s v="3  314476"/>
    <n v="6769438"/>
    <n v="3.39E-2"/>
    <n v="5.8100000000000001E-3"/>
  </r>
  <r>
    <x v="0"/>
    <n v="106"/>
    <n v="28.891999999999999"/>
    <x v="105"/>
    <n v="2062798"/>
    <n v="24638196"/>
    <n v="0.1234"/>
    <n v="2.1139999999999999E-2"/>
  </r>
  <r>
    <x v="0"/>
    <n v="107"/>
    <n v="29.052"/>
    <x v="106"/>
    <n v="17292201"/>
    <n v="199698610"/>
    <n v="1"/>
    <n v="0.17135"/>
  </r>
  <r>
    <x v="0"/>
    <n v="108"/>
    <n v="29.190999999999999"/>
    <x v="107"/>
    <s v="7   73908"/>
    <n v="1442002"/>
    <n v="7.1999999999999998E-3"/>
    <n v="1.24E-3"/>
  </r>
  <r>
    <x v="0"/>
    <n v="109"/>
    <n v="29.23"/>
    <x v="108"/>
    <s v="8  135747"/>
    <n v="2909876"/>
    <n v="1.46E-2"/>
    <n v="2.5000000000000001E-3"/>
  </r>
  <r>
    <x v="0"/>
    <n v="110"/>
    <n v="29.282"/>
    <x v="109"/>
    <s v="8   61931"/>
    <n v="1715073"/>
    <n v="8.6E-3"/>
    <n v="1.47E-3"/>
  </r>
  <r>
    <x v="0"/>
    <n v="111"/>
    <n v="29.434000000000001"/>
    <x v="110"/>
    <s v="8   71361"/>
    <n v="1926219"/>
    <n v="9.5999999999999992E-3"/>
    <n v="1.65E-3"/>
  </r>
  <r>
    <x v="0"/>
    <n v="112"/>
    <n v="29.463999999999999"/>
    <x v="111"/>
    <s v="5   84820"/>
    <n v="2625380"/>
    <n v="1.3100000000000001E-2"/>
    <n v="2.2499999999999998E-3"/>
  </r>
  <r>
    <x v="0"/>
    <n v="113"/>
    <n v="29.538"/>
    <x v="112"/>
    <s v="6   89556"/>
    <n v="2144661"/>
    <n v="1.0699999999999999E-2"/>
    <n v="1.8400000000000001E-3"/>
  </r>
  <r>
    <x v="0"/>
    <n v="114"/>
    <n v="29.62"/>
    <x v="113"/>
    <s v="6   48793"/>
    <n v="1177895"/>
    <n v="5.8999999999999999E-3"/>
    <n v="1.01E-3"/>
  </r>
  <r>
    <x v="0"/>
    <n v="115"/>
    <n v="29.664999999999999"/>
    <x v="114"/>
    <s v="9   58964"/>
    <n v="1302473"/>
    <n v="6.4999999999999997E-3"/>
    <n v="1.1199999999999999E-3"/>
  </r>
  <r>
    <x v="0"/>
    <n v="116"/>
    <n v="29.74"/>
    <x v="115"/>
    <n v="3274352"/>
    <n v="37313207"/>
    <n v="0.18679999999999999"/>
    <n v="3.202E-2"/>
  </r>
  <r>
    <x v="0"/>
    <n v="117"/>
    <n v="29.837"/>
    <x v="116"/>
    <s v="5  101649"/>
    <n v="2166912"/>
    <n v="1.09E-2"/>
    <n v="1.8600000000000001E-3"/>
  </r>
  <r>
    <x v="0"/>
    <n v="118"/>
    <n v="29.885999999999999"/>
    <x v="117"/>
    <s v="3  111362"/>
    <n v="3946685"/>
    <n v="1.9800000000000002E-2"/>
    <n v="3.3899999999999998E-3"/>
  </r>
  <r>
    <x v="0"/>
    <n v="119"/>
    <n v="30.013000000000002"/>
    <x v="118"/>
    <n v="146710"/>
    <n v="3062458"/>
    <n v="1.5299999999999999E-2"/>
    <n v="2.63E-3"/>
  </r>
  <r>
    <x v="0"/>
    <n v="120"/>
    <n v="30.106999999999999"/>
    <x v="119"/>
    <s v="8   48711"/>
    <n v="1074060"/>
    <n v="5.4000000000000003E-3"/>
    <n v="9.2000000000000003E-4"/>
  </r>
  <r>
    <x v="0"/>
    <n v="121"/>
    <n v="30.175000000000001"/>
    <x v="120"/>
    <s v="2  164625"/>
    <n v="1745419"/>
    <n v="8.6999999999999994E-3"/>
    <n v="1.5E-3"/>
  </r>
  <r>
    <x v="0"/>
    <n v="122"/>
    <n v="30.253"/>
    <x v="121"/>
    <s v="9   67770"/>
    <n v="2391237"/>
    <n v="1.2E-2"/>
    <n v="2.0500000000000002E-3"/>
  </r>
  <r>
    <x v="0"/>
    <n v="123"/>
    <n v="30.817"/>
    <x v="122"/>
    <s v="9   46310"/>
    <n v="1302388"/>
    <n v="6.4999999999999997E-3"/>
    <n v="1.1199999999999999E-3"/>
  </r>
  <r>
    <x v="0"/>
    <n v="124"/>
    <n v="30.963000000000001"/>
    <x v="123"/>
    <s v="9   40239"/>
    <n v="1555408"/>
    <n v="7.7999999999999996E-3"/>
    <n v="1.33E-3"/>
  </r>
  <r>
    <x v="0"/>
    <n v="125"/>
    <n v="31.012"/>
    <x v="124"/>
    <s v="9   37755"/>
    <n v="1204711"/>
    <n v="6.0000000000000001E-3"/>
    <n v="1.0300000000000001E-3"/>
  </r>
  <r>
    <x v="0"/>
    <n v="126"/>
    <n v="31.292000000000002"/>
    <x v="125"/>
    <s v="8   27356"/>
    <n v="1156102"/>
    <n v="5.7999999999999996E-3"/>
    <n v="9.8999999999999999E-4"/>
  </r>
  <r>
    <x v="0"/>
    <n v="127"/>
    <n v="31.69"/>
    <x v="126"/>
    <s v="8  140427"/>
    <n v="10002620"/>
    <n v="5.0099999999999999E-2"/>
    <n v="8.5800000000000008E-3"/>
  </r>
  <r>
    <x v="0"/>
    <n v="128"/>
    <n v="31.782"/>
    <x v="127"/>
    <s v="8   89201"/>
    <n v="5644201"/>
    <n v="2.8299999999999999E-2"/>
    <n v="4.8399999999999997E-3"/>
  </r>
  <r>
    <x v="0"/>
    <n v="129"/>
    <n v="31.986000000000001"/>
    <x v="128"/>
    <n v="722913"/>
    <n v="14560703"/>
    <n v="7.2900000000000006E-2"/>
    <n v="1.2489999999999999E-2"/>
  </r>
  <r>
    <x v="0"/>
    <n v="130"/>
    <n v="32.234999999999999"/>
    <x v="129"/>
    <n v="81228"/>
    <n v="4587587"/>
    <n v="2.3E-2"/>
    <n v="3.9399999999999999E-3"/>
  </r>
  <r>
    <x v="0"/>
    <n v="131"/>
    <n v="32.36"/>
    <x v="130"/>
    <s v="10   31795"/>
    <n v="1116317"/>
    <n v="5.5999999999999999E-3"/>
    <n v="9.6000000000000002E-4"/>
  </r>
  <r>
    <x v="0"/>
    <n v="132"/>
    <n v="32.726999999999997"/>
    <x v="131"/>
    <s v="3  297198"/>
    <n v="7887047"/>
    <n v="3.95E-2"/>
    <n v="6.77E-3"/>
  </r>
  <r>
    <x v="0"/>
    <n v="133"/>
    <n v="33.097000000000001"/>
    <x v="132"/>
    <n v="2904227"/>
    <n v="65045589"/>
    <n v="0.32569999999999999"/>
    <n v="5.5809999999999998E-2"/>
  </r>
  <r>
    <x v="1"/>
    <n v="1"/>
    <n v="4.8940000000000001"/>
    <x v="133"/>
    <s v="6  372461"/>
    <n v="11689784"/>
    <n v="8.0500000000000002E-2"/>
    <n v="1.6310000000000002E-2"/>
  </r>
  <r>
    <x v="1"/>
    <n v="2"/>
    <n v="5.1890000000000001"/>
    <x v="134"/>
    <s v="6  661398"/>
    <n v="19574533"/>
    <n v="0.1348"/>
    <n v="2.7310000000000001E-2"/>
  </r>
  <r>
    <x v="1"/>
    <n v="3"/>
    <n v="5.2919999999999998"/>
    <x v="8"/>
    <s v="10   95219"/>
    <n v="2566726"/>
    <n v="1.77E-2"/>
    <n v="3.5799999999999998E-3"/>
  </r>
  <r>
    <x v="1"/>
    <n v="4"/>
    <n v="5.3529999999999998"/>
    <x v="135"/>
    <s v="10   64857"/>
    <n v="3684548"/>
    <n v="2.5399999999999999E-2"/>
    <n v="5.1399999999999996E-3"/>
  </r>
  <r>
    <x v="1"/>
    <n v="5"/>
    <n v="5.524"/>
    <x v="136"/>
    <s v="10   44820"/>
    <n v="1515949"/>
    <n v="1.04E-2"/>
    <n v="2.1199999999999999E-3"/>
  </r>
  <r>
    <x v="1"/>
    <n v="6"/>
    <n v="5.6660000000000004"/>
    <x v="137"/>
    <s v="10   32323"/>
    <n v="1258202"/>
    <n v="8.6999999999999994E-3"/>
    <n v="1.7600000000000001E-3"/>
  </r>
  <r>
    <x v="1"/>
    <n v="7"/>
    <n v="6.1130000000000004"/>
    <x v="138"/>
    <s v="10   56729"/>
    <n v="1481391"/>
    <n v="1.0200000000000001E-2"/>
    <n v="2.0699999999999998E-3"/>
  </r>
  <r>
    <x v="1"/>
    <n v="8"/>
    <n v="6.4909999999999997"/>
    <x v="13"/>
    <s v="4  242927"/>
    <n v="8332358"/>
    <n v="5.74E-2"/>
    <n v="1.163E-2"/>
  </r>
  <r>
    <x v="1"/>
    <n v="9"/>
    <n v="7.3529999999999998"/>
    <x v="15"/>
    <s v="6   40385"/>
    <n v="1209977"/>
    <n v="8.3000000000000001E-3"/>
    <n v="1.6900000000000001E-3"/>
  </r>
  <r>
    <x v="1"/>
    <n v="10"/>
    <n v="8.2149999999999999"/>
    <x v="139"/>
    <s v="8   40997"/>
    <n v="1064185"/>
    <n v="7.3000000000000001E-3"/>
    <n v="1.48E-3"/>
  </r>
  <r>
    <x v="1"/>
    <n v="11"/>
    <n v="8.2680000000000007"/>
    <x v="140"/>
    <s v="6   95926"/>
    <n v="4021382"/>
    <n v="2.7699999999999999E-2"/>
    <n v="5.6100000000000004E-3"/>
  </r>
  <r>
    <x v="1"/>
    <n v="12"/>
    <n v="8.641"/>
    <x v="20"/>
    <s v="6   43700"/>
    <n v="2099313"/>
    <n v="1.4500000000000001E-2"/>
    <n v="2.9299999999999999E-3"/>
  </r>
  <r>
    <x v="1"/>
    <n v="13"/>
    <n v="8.9139999999999997"/>
    <x v="141"/>
    <s v="6   34460"/>
    <n v="1098814"/>
    <n v="7.6E-3"/>
    <n v="1.5299999999999999E-3"/>
  </r>
  <r>
    <x v="1"/>
    <n v="14"/>
    <n v="9.1920000000000002"/>
    <x v="142"/>
    <s v="6   50578"/>
    <n v="1115348"/>
    <n v="7.7000000000000002E-3"/>
    <n v="1.56E-3"/>
  </r>
  <r>
    <x v="1"/>
    <n v="15"/>
    <n v="9.2539999999999996"/>
    <x v="143"/>
    <s v="6  179415"/>
    <n v="7299107"/>
    <n v="5.0299999999999997E-2"/>
    <n v="1.018E-2"/>
  </r>
  <r>
    <x v="1"/>
    <n v="16"/>
    <n v="9.6539999999999999"/>
    <x v="27"/>
    <s v="4  900928"/>
    <n v="27606870"/>
    <n v="0.19009999999999999"/>
    <n v="3.8519999999999999E-2"/>
  </r>
  <r>
    <x v="1"/>
    <n v="17"/>
    <n v="9.82"/>
    <x v="28"/>
    <n v="1611641"/>
    <n v="50850409"/>
    <n v="0.35010000000000002"/>
    <n v="7.0949999999999999E-2"/>
  </r>
  <r>
    <x v="1"/>
    <n v="18"/>
    <n v="10.401"/>
    <x v="31"/>
    <s v="3   60669"/>
    <n v="2114866"/>
    <n v="1.46E-2"/>
    <n v="2.9499999999999999E-3"/>
  </r>
  <r>
    <x v="1"/>
    <n v="19"/>
    <n v="11.106999999999999"/>
    <x v="144"/>
    <s v="3   23754"/>
    <n v="1047275"/>
    <n v="7.1999999999999998E-3"/>
    <n v="1.4599999999999999E-3"/>
  </r>
  <r>
    <x v="1"/>
    <n v="20"/>
    <n v="11.221"/>
    <x v="37"/>
    <s v="10   44247"/>
    <n v="2114795"/>
    <n v="1.46E-2"/>
    <n v="2.9499999999999999E-3"/>
  </r>
  <r>
    <x v="1"/>
    <n v="21"/>
    <n v="12.548"/>
    <x v="145"/>
    <s v="10   56789"/>
    <n v="2798116"/>
    <n v="1.9300000000000001E-2"/>
    <n v="3.8999999999999998E-3"/>
  </r>
  <r>
    <x v="1"/>
    <n v="22"/>
    <n v="12.712999999999999"/>
    <x v="146"/>
    <s v="10   38570"/>
    <n v="1581438"/>
    <n v="1.09E-2"/>
    <n v="2.2100000000000002E-3"/>
  </r>
  <r>
    <x v="1"/>
    <n v="23"/>
    <n v="12.843999999999999"/>
    <x v="52"/>
    <s v="2 1743011"/>
    <n v="50196305"/>
    <n v="0.34560000000000002"/>
    <n v="7.0029999999999995E-2"/>
  </r>
  <r>
    <x v="1"/>
    <n v="24"/>
    <n v="13.226000000000001"/>
    <x v="147"/>
    <s v="2  309845"/>
    <n v="10039301"/>
    <n v="6.9099999999999995E-2"/>
    <n v="1.401E-2"/>
  </r>
  <r>
    <x v="1"/>
    <n v="25"/>
    <n v="13.563000000000001"/>
    <x v="54"/>
    <s v="2   35499"/>
    <n v="1291803"/>
    <n v="8.8999999999999999E-3"/>
    <n v="1.8E-3"/>
  </r>
  <r>
    <x v="1"/>
    <n v="26"/>
    <n v="13.617000000000001"/>
    <x v="55"/>
    <s v="10   49517"/>
    <n v="1450253"/>
    <n v="0.01"/>
    <n v="2.0200000000000001E-3"/>
  </r>
  <r>
    <x v="1"/>
    <n v="27"/>
    <n v="14.52"/>
    <x v="61"/>
    <s v="9  123978"/>
    <n v="3701125"/>
    <n v="2.5499999999999998E-2"/>
    <n v="5.1599999999999997E-3"/>
  </r>
  <r>
    <x v="1"/>
    <n v="28"/>
    <n v="14.593999999999999"/>
    <x v="62"/>
    <s v="6   50475"/>
    <n v="1749381"/>
    <n v="1.2E-2"/>
    <n v="2.4399999999999999E-3"/>
  </r>
  <r>
    <x v="1"/>
    <n v="29"/>
    <n v="15.342000000000001"/>
    <x v="66"/>
    <s v="4  161823"/>
    <n v="4472816"/>
    <n v="3.0800000000000001E-2"/>
    <n v="6.2399999999999999E-3"/>
  </r>
  <r>
    <x v="1"/>
    <n v="30"/>
    <n v="15.414999999999999"/>
    <x v="148"/>
    <s v="8   51056"/>
    <n v="1365799"/>
    <n v="9.4000000000000004E-3"/>
    <n v="1.91E-3"/>
  </r>
  <r>
    <x v="1"/>
    <n v="31"/>
    <n v="15.525"/>
    <x v="149"/>
    <s v="2  107947"/>
    <n v="3474030"/>
    <n v="2.3900000000000001E-2"/>
    <n v="4.8500000000000001E-3"/>
  </r>
  <r>
    <x v="1"/>
    <n v="32"/>
    <n v="15.567"/>
    <x v="150"/>
    <s v="10   75849"/>
    <n v="2209025"/>
    <n v="1.52E-2"/>
    <n v="3.0799999999999998E-3"/>
  </r>
  <r>
    <x v="1"/>
    <n v="33"/>
    <n v="15.711"/>
    <x v="151"/>
    <s v="10   26137"/>
    <n v="1013511"/>
    <n v="7.0000000000000001E-3"/>
    <n v="1.41E-3"/>
  </r>
  <r>
    <x v="1"/>
    <n v="34"/>
    <n v="15.875999999999999"/>
    <x v="69"/>
    <s v="4  312950"/>
    <n v="8708004"/>
    <n v="0.06"/>
    <n v="1.2149999999999999E-2"/>
  </r>
  <r>
    <x v="1"/>
    <n v="35"/>
    <n v="16.664000000000001"/>
    <x v="71"/>
    <s v="2  205307"/>
    <n v="5624773"/>
    <n v="3.8699999999999998E-2"/>
    <n v="7.8499999999999993E-3"/>
  </r>
  <r>
    <x v="1"/>
    <n v="36"/>
    <n v="16.763999999999999"/>
    <x v="72"/>
    <s v="10  197218"/>
    <n v="5396693"/>
    <n v="3.7199999999999997E-2"/>
    <n v="7.5300000000000002E-3"/>
  </r>
  <r>
    <x v="1"/>
    <n v="37"/>
    <n v="17.087"/>
    <x v="152"/>
    <s v="2 1424488"/>
    <n v="105022285"/>
    <n v="0.72309999999999997"/>
    <n v="0.14652999999999999"/>
  </r>
  <r>
    <x v="1"/>
    <n v="38"/>
    <n v="17.454000000000001"/>
    <x v="153"/>
    <s v="6  673290"/>
    <n v="21033370"/>
    <n v="0.14480000000000001"/>
    <n v="2.9350000000000001E-2"/>
  </r>
  <r>
    <x v="1"/>
    <n v="39"/>
    <n v="17.707999999999998"/>
    <x v="154"/>
    <s v="8   45695"/>
    <n v="1737139"/>
    <n v="1.2E-2"/>
    <n v="2.4199999999999998E-3"/>
  </r>
  <r>
    <x v="1"/>
    <n v="40"/>
    <n v="17.803999999999998"/>
    <x v="155"/>
    <s v="9   52180"/>
    <n v="1923604"/>
    <n v="1.32E-2"/>
    <n v="2.6800000000000001E-3"/>
  </r>
  <r>
    <x v="1"/>
    <n v="41"/>
    <n v="17.922000000000001"/>
    <x v="80"/>
    <s v="9   30548"/>
    <n v="1094583"/>
    <n v="7.4999999999999997E-3"/>
    <n v="1.5299999999999999E-3"/>
  </r>
  <r>
    <x v="1"/>
    <n v="42"/>
    <n v="18.012"/>
    <x v="156"/>
    <s v="4   42047"/>
    <n v="1131700"/>
    <n v="7.7999999999999996E-3"/>
    <n v="1.58E-3"/>
  </r>
  <r>
    <x v="1"/>
    <n v="43"/>
    <n v="18.044"/>
    <x v="157"/>
    <s v="2   42628"/>
    <n v="1661490"/>
    <n v="1.14E-2"/>
    <n v="2.32E-3"/>
  </r>
  <r>
    <x v="1"/>
    <n v="44"/>
    <n v="18.305"/>
    <x v="82"/>
    <s v="2   84437"/>
    <n v="2702807"/>
    <n v="1.8599999999999998E-2"/>
    <n v="3.7699999999999999E-3"/>
  </r>
  <r>
    <x v="1"/>
    <n v="45"/>
    <n v="18.439"/>
    <x v="158"/>
    <s v="2   33402"/>
    <n v="1091391"/>
    <n v="7.4999999999999997E-3"/>
    <n v="1.5200000000000001E-3"/>
  </r>
  <r>
    <x v="1"/>
    <n v="46"/>
    <n v="18.53"/>
    <x v="159"/>
    <s v="2   29938"/>
    <n v="1022831"/>
    <n v="7.0000000000000001E-3"/>
    <n v="1.4300000000000001E-3"/>
  </r>
  <r>
    <x v="1"/>
    <n v="47"/>
    <n v="18.734000000000002"/>
    <x v="160"/>
    <s v="7  107652"/>
    <n v="3356154"/>
    <n v="2.3099999999999999E-2"/>
    <n v="4.6800000000000001E-3"/>
  </r>
  <r>
    <x v="1"/>
    <n v="48"/>
    <n v="18.841999999999999"/>
    <x v="85"/>
    <s v="5  185854"/>
    <n v="5142710"/>
    <n v="3.5400000000000001E-2"/>
    <n v="7.1799999999999998E-3"/>
  </r>
  <r>
    <x v="1"/>
    <n v="49"/>
    <n v="19.209"/>
    <x v="161"/>
    <s v="5   34312"/>
    <n v="1525879"/>
    <n v="1.0500000000000001E-2"/>
    <n v="2.1299999999999999E-3"/>
  </r>
  <r>
    <x v="1"/>
    <n v="50"/>
    <n v="20.222999999999999"/>
    <x v="87"/>
    <s v="5  149873"/>
    <n v="4719482"/>
    <n v="3.2500000000000001E-2"/>
    <n v="6.5799999999999999E-3"/>
  </r>
  <r>
    <x v="1"/>
    <n v="51"/>
    <n v="20.966000000000001"/>
    <x v="162"/>
    <s v="10   78096"/>
    <n v="2235392"/>
    <n v="1.54E-2"/>
    <n v="3.1199999999999999E-3"/>
  </r>
  <r>
    <x v="1"/>
    <n v="52"/>
    <n v="21.402999999999999"/>
    <x v="89"/>
    <s v="10   43241"/>
    <n v="1664378"/>
    <n v="1.15E-2"/>
    <n v="2.32E-3"/>
  </r>
  <r>
    <x v="1"/>
    <n v="53"/>
    <n v="23.475999999999999"/>
    <x v="93"/>
    <s v="7  155885"/>
    <n v="3925572"/>
    <n v="2.7E-2"/>
    <n v="5.4799999999999996E-3"/>
  </r>
  <r>
    <x v="1"/>
    <n v="54"/>
    <n v="23.669"/>
    <x v="94"/>
    <s v="10   62528"/>
    <n v="1660695"/>
    <n v="1.14E-2"/>
    <n v="2.32E-3"/>
  </r>
  <r>
    <x v="1"/>
    <n v="55"/>
    <n v="25.846"/>
    <x v="163"/>
    <s v="10   48880"/>
    <n v="1281918"/>
    <n v="8.8000000000000005E-3"/>
    <n v="1.7899999999999999E-3"/>
  </r>
  <r>
    <x v="1"/>
    <n v="56"/>
    <n v="27.428000000000001"/>
    <x v="99"/>
    <s v="9   80197"/>
    <n v="1294721"/>
    <n v="8.8999999999999999E-3"/>
    <n v="1.81E-3"/>
  </r>
  <r>
    <x v="1"/>
    <n v="57"/>
    <n v="27.504999999999999"/>
    <x v="100"/>
    <s v="3  163298"/>
    <n v="2649072"/>
    <n v="1.8200000000000001E-2"/>
    <n v="3.7000000000000002E-3"/>
  </r>
  <r>
    <x v="1"/>
    <n v="58"/>
    <n v="27.971"/>
    <x v="164"/>
    <s v="3   59612"/>
    <n v="1017971"/>
    <n v="7.0000000000000001E-3"/>
    <n v="1.42E-3"/>
  </r>
  <r>
    <x v="1"/>
    <n v="59"/>
    <n v="28.481999999999999"/>
    <x v="101"/>
    <n v="3817889"/>
    <n v="52221337"/>
    <n v="0.35959999999999998"/>
    <n v="7.2859999999999994E-2"/>
  </r>
  <r>
    <x v="1"/>
    <n v="60"/>
    <n v="28.594000000000001"/>
    <x v="102"/>
    <s v="7  109658"/>
    <n v="2654118"/>
    <n v="1.83E-2"/>
    <n v="3.7000000000000002E-3"/>
  </r>
  <r>
    <x v="1"/>
    <n v="61"/>
    <n v="28.637"/>
    <x v="103"/>
    <s v="5  102082"/>
    <n v="1744020"/>
    <n v="1.2E-2"/>
    <n v="2.4299999999999999E-3"/>
  </r>
  <r>
    <x v="1"/>
    <n v="62"/>
    <n v="28.731999999999999"/>
    <x v="104"/>
    <s v="2  307096"/>
    <n v="6371028"/>
    <n v="4.3900000000000002E-2"/>
    <n v="8.8900000000000003E-3"/>
  </r>
  <r>
    <x v="1"/>
    <n v="63"/>
    <n v="28.890999999999998"/>
    <x v="105"/>
    <n v="1415190"/>
    <n v="17342162"/>
    <n v="0.11940000000000001"/>
    <n v="2.4199999999999999E-2"/>
  </r>
  <r>
    <x v="1"/>
    <n v="64"/>
    <n v="29.05"/>
    <x v="106"/>
    <n v="12599476"/>
    <n v="145233841"/>
    <n v="1"/>
    <n v="0.20263"/>
  </r>
  <r>
    <x v="1"/>
    <n v="65"/>
    <n v="29.231999999999999"/>
    <x v="108"/>
    <n v="75971"/>
    <n v="3196754"/>
    <n v="2.1999999999999999E-2"/>
    <n v="4.4600000000000004E-3"/>
  </r>
  <r>
    <x v="1"/>
    <n v="66"/>
    <n v="29.286999999999999"/>
    <x v="165"/>
    <n v="49327"/>
    <n v="2530587"/>
    <n v="1.7399999999999999E-2"/>
    <n v="3.5300000000000002E-3"/>
  </r>
  <r>
    <x v="1"/>
    <n v="67"/>
    <n v="29.414999999999999"/>
    <x v="166"/>
    <n v="68779"/>
    <n v="1858092"/>
    <n v="1.2800000000000001E-2"/>
    <n v="2.5899999999999999E-3"/>
  </r>
  <r>
    <x v="1"/>
    <n v="68"/>
    <n v="29.466000000000001"/>
    <x v="167"/>
    <s v="4   72044"/>
    <n v="2035845"/>
    <n v="1.4E-2"/>
    <n v="2.8400000000000001E-3"/>
  </r>
  <r>
    <x v="1"/>
    <n v="69"/>
    <n v="29.54"/>
    <x v="112"/>
    <s v="10   72356"/>
    <n v="1583498"/>
    <n v="1.09E-2"/>
    <n v="2.2100000000000002E-3"/>
  </r>
  <r>
    <x v="1"/>
    <n v="70"/>
    <n v="29.741"/>
    <x v="115"/>
    <n v="865322"/>
    <n v="11278032"/>
    <n v="7.7700000000000005E-2"/>
    <n v="1.5740000000000001E-2"/>
  </r>
  <r>
    <x v="1"/>
    <n v="71"/>
    <n v="29.837"/>
    <x v="116"/>
    <s v="5   99752"/>
    <n v="2004903"/>
    <n v="1.38E-2"/>
    <n v="2.8E-3"/>
  </r>
  <r>
    <x v="1"/>
    <n v="72"/>
    <n v="29.899000000000001"/>
    <x v="168"/>
    <s v="3   59698"/>
    <n v="2877171"/>
    <n v="1.9800000000000002E-2"/>
    <n v="4.0099999999999997E-3"/>
  </r>
  <r>
    <x v="1"/>
    <n v="73"/>
    <n v="30.013999999999999"/>
    <x v="118"/>
    <n v="63356"/>
    <n v="1380331"/>
    <n v="9.4999999999999998E-3"/>
    <n v="1.9300000000000001E-3"/>
  </r>
  <r>
    <x v="1"/>
    <n v="74"/>
    <n v="30.175000000000001"/>
    <x v="120"/>
    <n v="192444"/>
    <n v="2028152"/>
    <n v="1.4E-2"/>
    <n v="2.8300000000000001E-3"/>
  </r>
  <r>
    <x v="1"/>
    <n v="75"/>
    <n v="30.234999999999999"/>
    <x v="169"/>
    <s v="7   52132"/>
    <n v="1030887"/>
    <n v="7.1000000000000004E-3"/>
    <n v="1.4400000000000001E-3"/>
  </r>
  <r>
    <x v="1"/>
    <n v="76"/>
    <n v="30.811"/>
    <x v="170"/>
    <s v="7   65264"/>
    <n v="1317280"/>
    <n v="9.1000000000000004E-3"/>
    <n v="1.8400000000000001E-3"/>
  </r>
  <r>
    <x v="1"/>
    <n v="77"/>
    <n v="31.125"/>
    <x v="171"/>
    <s v="7   28848"/>
    <n v="1117548"/>
    <n v="7.7000000000000002E-3"/>
    <n v="1.56E-3"/>
  </r>
  <r>
    <x v="1"/>
    <n v="78"/>
    <n v="31.361000000000001"/>
    <x v="172"/>
    <s v="7   53593"/>
    <n v="1447665"/>
    <n v="0.01"/>
    <n v="2.0200000000000001E-3"/>
  </r>
  <r>
    <x v="1"/>
    <n v="79"/>
    <n v="31.988"/>
    <x v="128"/>
    <n v="356719"/>
    <n v="7854176"/>
    <n v="5.4100000000000002E-2"/>
    <n v="1.0959999999999999E-2"/>
  </r>
  <r>
    <x v="1"/>
    <n v="80"/>
    <n v="32.735999999999997"/>
    <x v="173"/>
    <s v="3   88614"/>
    <n v="2414713"/>
    <n v="1.66E-2"/>
    <n v="3.3700000000000002E-3"/>
  </r>
  <r>
    <x v="1"/>
    <n v="81"/>
    <n v="33.097999999999999"/>
    <x v="132"/>
    <n v="321803"/>
    <n v="10461171"/>
    <n v="7.1999999999999995E-2"/>
    <n v="1.46E-2"/>
  </r>
  <r>
    <x v="1"/>
    <n v="82"/>
    <n v="33.343000000000004"/>
    <x v="174"/>
    <n v="82422"/>
    <n v="5452221"/>
    <n v="3.7499999999999999E-2"/>
    <n v="7.6099999999999996E-3"/>
  </r>
  <r>
    <x v="1"/>
    <n v="83"/>
    <n v="33.484000000000002"/>
    <x v="175"/>
    <n v="34374"/>
    <n v="1035289"/>
    <n v="7.1000000000000004E-3"/>
    <n v="1.4400000000000001E-3"/>
  </r>
  <r>
    <x v="1"/>
    <n v="84"/>
    <n v="33.686999999999998"/>
    <x v="176"/>
    <n v="83743"/>
    <n v="2551254"/>
    <n v="1.7600000000000001E-2"/>
    <n v="3.5599999999999998E-3"/>
  </r>
  <r>
    <x v="2"/>
    <n v="1"/>
    <n v="4.8929999999999998"/>
    <x v="133"/>
    <s v="8  340293"/>
    <n v="9890864"/>
    <n v="7.3400000000000007E-2"/>
    <n v="1.754E-2"/>
  </r>
  <r>
    <x v="2"/>
    <n v="2"/>
    <n v="5.1870000000000003"/>
    <x v="134"/>
    <s v="8 1008101"/>
    <n v="32809442"/>
    <n v="0.24349999999999999"/>
    <n v="5.8169999999999999E-2"/>
  </r>
  <r>
    <x v="2"/>
    <n v="3"/>
    <n v="5.5129999999999999"/>
    <x v="9"/>
    <s v="8   44579"/>
    <n v="2736685"/>
    <n v="2.0299999999999999E-2"/>
    <n v="4.8500000000000001E-3"/>
  </r>
  <r>
    <x v="2"/>
    <n v="4"/>
    <n v="5.6619999999999999"/>
    <x v="10"/>
    <s v="8   32152"/>
    <n v="1253389"/>
    <n v="9.2999999999999992E-3"/>
    <n v="2.2200000000000002E-3"/>
  </r>
  <r>
    <x v="2"/>
    <n v="5"/>
    <n v="6.1109999999999998"/>
    <x v="138"/>
    <s v="8   71544"/>
    <n v="1788781"/>
    <n v="1.3299999999999999E-2"/>
    <n v="3.1700000000000001E-3"/>
  </r>
  <r>
    <x v="2"/>
    <n v="6"/>
    <n v="6.2690000000000001"/>
    <x v="177"/>
    <s v="3   44052"/>
    <n v="1325874"/>
    <n v="9.7999999999999997E-3"/>
    <n v="2.3500000000000001E-3"/>
  </r>
  <r>
    <x v="2"/>
    <n v="7"/>
    <n v="6.49"/>
    <x v="13"/>
    <s v="4  224346"/>
    <n v="7610182"/>
    <n v="5.6500000000000002E-2"/>
    <n v="1.349E-2"/>
  </r>
  <r>
    <x v="2"/>
    <n v="8"/>
    <n v="8.1989999999999998"/>
    <x v="178"/>
    <s v="5   64740"/>
    <n v="2453426"/>
    <n v="1.8200000000000001E-2"/>
    <n v="4.3499999999999997E-3"/>
  </r>
  <r>
    <x v="2"/>
    <n v="9"/>
    <n v="8.2669999999999995"/>
    <x v="140"/>
    <s v="6   97939"/>
    <n v="4241410"/>
    <n v="3.15E-2"/>
    <n v="7.5199999999999998E-3"/>
  </r>
  <r>
    <x v="2"/>
    <n v="10"/>
    <n v="8.9149999999999991"/>
    <x v="179"/>
    <s v="10   36756"/>
    <n v="1834488"/>
    <n v="1.3599999999999999E-2"/>
    <n v="3.2499999999999999E-3"/>
  </r>
  <r>
    <x v="2"/>
    <n v="11"/>
    <n v="9.1850000000000005"/>
    <x v="142"/>
    <s v="5  138004"/>
    <n v="3925931"/>
    <n v="2.9100000000000001E-2"/>
    <n v="6.96E-3"/>
  </r>
  <r>
    <x v="2"/>
    <n v="12"/>
    <n v="9.2579999999999991"/>
    <x v="24"/>
    <s v="5   65986"/>
    <n v="3592990"/>
    <n v="2.6700000000000002E-2"/>
    <n v="6.3699999999999998E-3"/>
  </r>
  <r>
    <x v="2"/>
    <n v="13"/>
    <n v="9.5129999999999999"/>
    <x v="26"/>
    <s v="5   30656"/>
    <n v="1017883"/>
    <n v="7.6E-3"/>
    <n v="1.8E-3"/>
  </r>
  <r>
    <x v="2"/>
    <n v="14"/>
    <n v="9.6539999999999999"/>
    <x v="27"/>
    <s v="4  872830"/>
    <n v="27058358"/>
    <n v="0.20080000000000001"/>
    <n v="4.7969999999999999E-2"/>
  </r>
  <r>
    <x v="2"/>
    <n v="15"/>
    <n v="9.827"/>
    <x v="180"/>
    <n v="194373"/>
    <n v="6318712"/>
    <n v="4.6899999999999997E-2"/>
    <n v="1.12E-2"/>
  </r>
  <r>
    <x v="2"/>
    <n v="16"/>
    <n v="11.090999999999999"/>
    <x v="36"/>
    <s v="3   95588"/>
    <n v="3383621"/>
    <n v="2.5100000000000001E-2"/>
    <n v="6.0000000000000001E-3"/>
  </r>
  <r>
    <x v="2"/>
    <n v="17"/>
    <n v="11.225"/>
    <x v="181"/>
    <s v="9   42628"/>
    <n v="2578771"/>
    <n v="1.9099999999999999E-2"/>
    <n v="4.5700000000000003E-3"/>
  </r>
  <r>
    <x v="2"/>
    <n v="18"/>
    <n v="11.41"/>
    <x v="38"/>
    <s v="9   49344"/>
    <n v="2174272"/>
    <n v="1.61E-2"/>
    <n v="3.8500000000000001E-3"/>
  </r>
  <r>
    <x v="2"/>
    <n v="19"/>
    <n v="12.704000000000001"/>
    <x v="51"/>
    <s v="9  260103"/>
    <n v="9077035"/>
    <n v="6.7400000000000002E-2"/>
    <n v="1.609E-2"/>
  </r>
  <r>
    <x v="2"/>
    <n v="20"/>
    <n v="12.843"/>
    <x v="52"/>
    <s v="2 1741315"/>
    <n v="49236458"/>
    <n v="0.3654"/>
    <n v="8.7300000000000003E-2"/>
  </r>
  <r>
    <x v="2"/>
    <n v="21"/>
    <n v="13.225"/>
    <x v="147"/>
    <s v="2  369356"/>
    <n v="11447029"/>
    <n v="8.5000000000000006E-2"/>
    <n v="2.0299999999999999E-2"/>
  </r>
  <r>
    <x v="2"/>
    <n v="22"/>
    <n v="13.561"/>
    <x v="54"/>
    <s v="2   39497"/>
    <n v="1134582"/>
    <n v="8.3999999999999995E-3"/>
    <n v="2.0100000000000001E-3"/>
  </r>
  <r>
    <x v="2"/>
    <n v="23"/>
    <n v="14.52"/>
    <x v="61"/>
    <s v="2  164092"/>
    <n v="6587276"/>
    <n v="4.8899999999999999E-2"/>
    <n v="1.1679999999999999E-2"/>
  </r>
  <r>
    <x v="2"/>
    <n v="24"/>
    <n v="14.832000000000001"/>
    <x v="63"/>
    <s v="10   36436"/>
    <n v="1049763"/>
    <n v="7.7999999999999996E-3"/>
    <n v="1.8600000000000001E-3"/>
  </r>
  <r>
    <x v="2"/>
    <n v="25"/>
    <n v="15.343"/>
    <x v="66"/>
    <s v="4   73425"/>
    <n v="2377848"/>
    <n v="1.7600000000000001E-2"/>
    <n v="4.2199999999999998E-3"/>
  </r>
  <r>
    <x v="2"/>
    <n v="26"/>
    <n v="15.471"/>
    <x v="182"/>
    <s v="4   40129"/>
    <n v="1053088"/>
    <n v="7.7999999999999996E-3"/>
    <n v="1.8699999999999999E-3"/>
  </r>
  <r>
    <x v="2"/>
    <n v="27"/>
    <n v="15.579000000000001"/>
    <x v="183"/>
    <s v="4   41003"/>
    <n v="1601280"/>
    <n v="1.1900000000000001E-2"/>
    <n v="2.8400000000000001E-3"/>
  </r>
  <r>
    <x v="2"/>
    <n v="28"/>
    <n v="15.712999999999999"/>
    <x v="151"/>
    <s v="4   57728"/>
    <n v="1764861"/>
    <n v="1.3100000000000001E-2"/>
    <n v="3.13E-3"/>
  </r>
  <r>
    <x v="2"/>
    <n v="29"/>
    <n v="15.875"/>
    <x v="69"/>
    <s v="4  501744"/>
    <n v="13241098"/>
    <n v="9.8299999999999998E-2"/>
    <n v="2.3480000000000001E-2"/>
  </r>
  <r>
    <x v="2"/>
    <n v="30"/>
    <n v="16.663"/>
    <x v="71"/>
    <s v="2  152337"/>
    <n v="4097699"/>
    <n v="3.04E-2"/>
    <n v="7.2700000000000004E-3"/>
  </r>
  <r>
    <x v="2"/>
    <n v="31"/>
    <n v="16.765999999999998"/>
    <x v="184"/>
    <s v="9  296182"/>
    <n v="7621459"/>
    <n v="5.6599999999999998E-2"/>
    <n v="1.3509999999999999E-2"/>
  </r>
  <r>
    <x v="2"/>
    <n v="32"/>
    <n v="17.114999999999998"/>
    <x v="185"/>
    <s v="2 1560117"/>
    <n v="134746235"/>
    <n v="0"/>
    <n v="0.2389"/>
  </r>
  <r>
    <x v="2"/>
    <n v="33"/>
    <n v="17.454000000000001"/>
    <x v="153"/>
    <s v="6  850244"/>
    <n v="23228494"/>
    <n v="0.1724"/>
    <n v="4.1180000000000001E-2"/>
  </r>
  <r>
    <x v="2"/>
    <n v="34"/>
    <n v="17.556000000000001"/>
    <x v="186"/>
    <s v="6   54446"/>
    <n v="2357625"/>
    <n v="1.7500000000000002E-2"/>
    <n v="4.1799999999999997E-3"/>
  </r>
  <r>
    <x v="2"/>
    <n v="35"/>
    <n v="17.701000000000001"/>
    <x v="187"/>
    <s v="8   41218"/>
    <n v="1527475"/>
    <n v="1.1299999999999999E-2"/>
    <n v="2.7100000000000002E-3"/>
  </r>
  <r>
    <x v="2"/>
    <n v="36"/>
    <n v="17.798999999999999"/>
    <x v="155"/>
    <s v="8   45076"/>
    <n v="1630707"/>
    <n v="1.21E-2"/>
    <n v="2.8900000000000002E-3"/>
  </r>
  <r>
    <x v="2"/>
    <n v="37"/>
    <n v="17.917999999999999"/>
    <x v="80"/>
    <s v="8   42513"/>
    <n v="1500673"/>
    <n v="1.11E-2"/>
    <n v="2.66E-3"/>
  </r>
  <r>
    <x v="2"/>
    <n v="38"/>
    <n v="18.053000000000001"/>
    <x v="81"/>
    <s v="3   84871"/>
    <n v="2750672"/>
    <n v="2.0400000000000001E-2"/>
    <n v="4.8799999999999998E-3"/>
  </r>
  <r>
    <x v="2"/>
    <n v="39"/>
    <n v="18.306000000000001"/>
    <x v="82"/>
    <s v="3  107792"/>
    <n v="3140498"/>
    <n v="2.3300000000000001E-2"/>
    <n v="5.5700000000000003E-3"/>
  </r>
  <r>
    <x v="2"/>
    <n v="40"/>
    <n v="18.530999999999999"/>
    <x v="159"/>
    <s v="3  118956"/>
    <n v="3061842"/>
    <n v="2.2700000000000001E-2"/>
    <n v="5.4299999999999999E-3"/>
  </r>
  <r>
    <x v="2"/>
    <n v="41"/>
    <n v="18.727"/>
    <x v="160"/>
    <s v="8   89509"/>
    <n v="2524943"/>
    <n v="1.8700000000000001E-2"/>
    <n v="4.4799999999999996E-3"/>
  </r>
  <r>
    <x v="2"/>
    <n v="42"/>
    <n v="18.844999999999999"/>
    <x v="188"/>
    <s v="6  175367"/>
    <n v="4629208"/>
    <n v="3.44E-2"/>
    <n v="8.2100000000000003E-3"/>
  </r>
  <r>
    <x v="2"/>
    <n v="43"/>
    <n v="20.222000000000001"/>
    <x v="87"/>
    <s v="6  229998"/>
    <n v="7170781"/>
    <n v="5.3199999999999997E-2"/>
    <n v="1.2710000000000001E-2"/>
  </r>
  <r>
    <x v="2"/>
    <n v="44"/>
    <n v="20.968"/>
    <x v="162"/>
    <s v="6   94835"/>
    <n v="2417664"/>
    <n v="1.7899999999999999E-2"/>
    <n v="4.2900000000000004E-3"/>
  </r>
  <r>
    <x v="2"/>
    <n v="45"/>
    <n v="21.177"/>
    <x v="189"/>
    <s v="6   55699"/>
    <n v="1692853"/>
    <n v="1.26E-2"/>
    <n v="3.0000000000000001E-3"/>
  </r>
  <r>
    <x v="2"/>
    <n v="46"/>
    <n v="21.398"/>
    <x v="89"/>
    <s v="6   59742"/>
    <n v="2089561"/>
    <n v="1.55E-2"/>
    <n v="3.7000000000000002E-3"/>
  </r>
  <r>
    <x v="2"/>
    <n v="47"/>
    <n v="22.510999999999999"/>
    <x v="90"/>
    <s v="6   56918"/>
    <n v="1856842"/>
    <n v="1.38E-2"/>
    <n v="3.29E-3"/>
  </r>
  <r>
    <x v="2"/>
    <n v="48"/>
    <n v="23.475000000000001"/>
    <x v="93"/>
    <s v="6  190924"/>
    <n v="4685500"/>
    <n v="3.4799999999999998E-2"/>
    <n v="8.3099999999999997E-3"/>
  </r>
  <r>
    <x v="2"/>
    <n v="49"/>
    <n v="23.664000000000001"/>
    <x v="190"/>
    <s v="6  147481"/>
    <n v="3903683"/>
    <n v="2.9000000000000001E-2"/>
    <n v="6.9199999999999999E-3"/>
  </r>
  <r>
    <x v="2"/>
    <n v="50"/>
    <n v="23.92"/>
    <x v="191"/>
    <s v="10   47050"/>
    <n v="1458422"/>
    <n v="1.0800000000000001E-2"/>
    <n v="2.5899999999999999E-3"/>
  </r>
  <r>
    <x v="2"/>
    <n v="51"/>
    <n v="25.382000000000001"/>
    <x v="192"/>
    <s v="10   30867"/>
    <n v="1552544"/>
    <n v="1.15E-2"/>
    <n v="2.7499999999999998E-3"/>
  </r>
  <r>
    <x v="2"/>
    <n v="52"/>
    <n v="25.847000000000001"/>
    <x v="163"/>
    <s v="10   60679"/>
    <n v="1548889"/>
    <n v="1.15E-2"/>
    <n v="2.7499999999999998E-3"/>
  </r>
  <r>
    <x v="2"/>
    <n v="53"/>
    <n v="26.015000000000001"/>
    <x v="193"/>
    <s v="9   44446"/>
    <n v="1631401"/>
    <n v="1.21E-2"/>
    <n v="2.8900000000000002E-3"/>
  </r>
  <r>
    <x v="2"/>
    <n v="54"/>
    <n v="27.253"/>
    <x v="194"/>
    <s v="10   48092"/>
    <n v="1292942"/>
    <n v="9.5999999999999992E-3"/>
    <n v="2.2899999999999999E-3"/>
  </r>
  <r>
    <x v="2"/>
    <n v="55"/>
    <n v="27.428000000000001"/>
    <x v="99"/>
    <s v="9   75905"/>
    <n v="1341263"/>
    <n v="0.01"/>
    <n v="2.3800000000000002E-3"/>
  </r>
  <r>
    <x v="2"/>
    <n v="56"/>
    <n v="27.506"/>
    <x v="100"/>
    <s v="4  163166"/>
    <n v="2673056"/>
    <n v="1.9800000000000002E-2"/>
    <n v="4.7400000000000003E-3"/>
  </r>
  <r>
    <x v="2"/>
    <n v="57"/>
    <n v="27.667000000000002"/>
    <x v="195"/>
    <s v="9   49583"/>
    <n v="1237290"/>
    <n v="9.1999999999999998E-3"/>
    <n v="2.1900000000000001E-3"/>
  </r>
  <r>
    <x v="2"/>
    <n v="58"/>
    <n v="28.481999999999999"/>
    <x v="101"/>
    <n v="830186"/>
    <n v="13993050"/>
    <n v="0.1038"/>
    <n v="2.4809999999999999E-2"/>
  </r>
  <r>
    <x v="2"/>
    <n v="59"/>
    <n v="28.62"/>
    <x v="196"/>
    <s v="4   44339"/>
    <n v="1632560"/>
    <n v="1.21E-2"/>
    <n v="2.8900000000000002E-3"/>
  </r>
  <r>
    <x v="2"/>
    <n v="60"/>
    <n v="28.733000000000001"/>
    <x v="104"/>
    <s v="2  194462"/>
    <n v="4309745"/>
    <n v="3.2000000000000001E-2"/>
    <n v="7.6400000000000001E-3"/>
  </r>
  <r>
    <x v="2"/>
    <n v="61"/>
    <n v="28.891999999999999"/>
    <x v="105"/>
    <n v="388569"/>
    <n v="6100635"/>
    <n v="4.53E-2"/>
    <n v="1.082E-2"/>
  </r>
  <r>
    <x v="2"/>
    <n v="62"/>
    <n v="29.047000000000001"/>
    <x v="106"/>
    <n v="3155446"/>
    <n v="38158399"/>
    <n v="0.28320000000000001"/>
    <n v="6.7650000000000002E-2"/>
  </r>
  <r>
    <x v="2"/>
    <n v="63"/>
    <n v="29.157"/>
    <x v="197"/>
    <s v="7   79273"/>
    <n v="1300256"/>
    <n v="9.5999999999999992E-3"/>
    <n v="2.31E-3"/>
  </r>
  <r>
    <x v="2"/>
    <n v="64"/>
    <n v="29.233000000000001"/>
    <x v="108"/>
    <s v="7  129015"/>
    <n v="3581651"/>
    <n v="2.6599999999999999E-2"/>
    <n v="6.3499999999999997E-3"/>
  </r>
  <r>
    <x v="2"/>
    <n v="65"/>
    <n v="29.306000000000001"/>
    <x v="198"/>
    <s v="7   52658"/>
    <n v="1657537"/>
    <n v="1.23E-2"/>
    <n v="2.9399999999999999E-3"/>
  </r>
  <r>
    <x v="2"/>
    <n v="66"/>
    <n v="29.428000000000001"/>
    <x v="110"/>
    <s v="7   62836"/>
    <n v="2162854"/>
    <n v="1.61E-2"/>
    <n v="3.8300000000000001E-3"/>
  </r>
  <r>
    <x v="2"/>
    <n v="67"/>
    <n v="29.466999999999999"/>
    <x v="167"/>
    <s v="2  112197"/>
    <n v="2313906"/>
    <n v="1.72E-2"/>
    <n v="4.1000000000000003E-3"/>
  </r>
  <r>
    <x v="2"/>
    <n v="68"/>
    <n v="29.530999999999999"/>
    <x v="199"/>
    <s v="5   69065"/>
    <n v="1552898"/>
    <n v="1.15E-2"/>
    <n v="2.7499999999999998E-3"/>
  </r>
  <r>
    <x v="2"/>
    <n v="69"/>
    <n v="29.62"/>
    <x v="113"/>
    <s v="5   48145"/>
    <n v="1220753"/>
    <n v="9.1000000000000004E-3"/>
    <n v="2.16E-3"/>
  </r>
  <r>
    <x v="2"/>
    <n v="70"/>
    <n v="29.742999999999999"/>
    <x v="115"/>
    <n v="279787"/>
    <n v="5350080"/>
    <n v="3.9699999999999999E-2"/>
    <n v="9.4900000000000002E-3"/>
  </r>
  <r>
    <x v="2"/>
    <n v="71"/>
    <n v="29.818999999999999"/>
    <x v="200"/>
    <s v="6  126373"/>
    <n v="2313081"/>
    <n v="1.72E-2"/>
    <n v="4.1000000000000003E-3"/>
  </r>
  <r>
    <x v="2"/>
    <n v="72"/>
    <n v="29.936"/>
    <x v="201"/>
    <s v="4   53292"/>
    <n v="2379034"/>
    <n v="1.77E-2"/>
    <n v="4.2199999999999998E-3"/>
  </r>
  <r>
    <x v="2"/>
    <n v="73"/>
    <n v="30.175000000000001"/>
    <x v="120"/>
    <s v="2   72681"/>
    <n v="1093303"/>
    <n v="8.0999999999999996E-3"/>
    <n v="1.9400000000000001E-3"/>
  </r>
  <r>
    <x v="2"/>
    <n v="74"/>
    <n v="31.988"/>
    <x v="128"/>
    <n v="244297"/>
    <n v="4730593"/>
    <n v="3.5099999999999999E-2"/>
    <n v="8.3899999999999999E-3"/>
  </r>
  <r>
    <x v="2"/>
    <n v="75"/>
    <n v="32.74"/>
    <x v="173"/>
    <s v="3   54101"/>
    <n v="1555722"/>
    <n v="1.15E-2"/>
    <n v="2.7599999999999999E-3"/>
  </r>
  <r>
    <x v="2"/>
    <n v="76"/>
    <n v="32.887999999999998"/>
    <x v="202"/>
    <s v="3   29903"/>
    <n v="1034438"/>
    <n v="7.7000000000000002E-3"/>
    <n v="1.83E-3"/>
  </r>
  <r>
    <x v="2"/>
    <n v="77"/>
    <n v="33.1"/>
    <x v="132"/>
    <n v="556571"/>
    <n v="22415987"/>
    <n v="0.16639999999999999"/>
    <n v="3.9739999999999998E-2"/>
  </r>
  <r>
    <x v="2"/>
    <n v="78"/>
    <n v="33.283999999999999"/>
    <x v="203"/>
    <n v="34287"/>
    <n v="1228987"/>
    <n v="9.1000000000000004E-3"/>
    <n v="2.1800000000000001E-3"/>
  </r>
  <r>
    <x v="3"/>
    <n v="1"/>
    <n v="4.5030000000000001"/>
    <x v="204"/>
    <s v="6   54149"/>
    <n v="1344222"/>
    <n v="5.7000000000000002E-3"/>
    <n v="1.8400000000000001E-3"/>
  </r>
  <r>
    <x v="3"/>
    <n v="2"/>
    <n v="4.82"/>
    <x v="205"/>
    <s v="5   45545"/>
    <n v="1176304"/>
    <n v="5.0000000000000001E-3"/>
    <n v="1.6100000000000001E-3"/>
  </r>
  <r>
    <x v="3"/>
    <n v="3"/>
    <n v="4.8869999999999996"/>
    <x v="133"/>
    <s v="7  727183"/>
    <n v="22599620"/>
    <n v="9.5200000000000007E-2"/>
    <n v="3.0980000000000001E-2"/>
  </r>
  <r>
    <x v="3"/>
    <n v="4"/>
    <n v="6.1070000000000002"/>
    <x v="138"/>
    <s v="7   85844"/>
    <n v="2916285"/>
    <n v="1.23E-2"/>
    <n v="4.0000000000000001E-3"/>
  </r>
  <r>
    <x v="3"/>
    <n v="5"/>
    <n v="6.266"/>
    <x v="177"/>
    <s v="3   47580"/>
    <n v="1307013"/>
    <n v="5.4999999999999997E-3"/>
    <n v="1.7899999999999999E-3"/>
  </r>
  <r>
    <x v="3"/>
    <n v="6"/>
    <n v="6.3460000000000001"/>
    <x v="206"/>
    <s v="9   53905"/>
    <n v="1802467"/>
    <n v="7.6E-3"/>
    <n v="2.47E-3"/>
  </r>
  <r>
    <x v="3"/>
    <n v="7"/>
    <n v="6.4930000000000003"/>
    <x v="13"/>
    <s v="4  180305"/>
    <n v="6664131"/>
    <n v="2.81E-2"/>
    <n v="9.1299999999999992E-3"/>
  </r>
  <r>
    <x v="3"/>
    <n v="8"/>
    <n v="7.1230000000000002"/>
    <x v="14"/>
    <s v="2   41553"/>
    <n v="1077181"/>
    <n v="4.4999999999999997E-3"/>
    <n v="1.48E-3"/>
  </r>
  <r>
    <x v="3"/>
    <n v="9"/>
    <n v="7.3559999999999999"/>
    <x v="207"/>
    <s v="5   67581"/>
    <n v="2154215"/>
    <n v="9.1000000000000004E-3"/>
    <n v="2.9499999999999999E-3"/>
  </r>
  <r>
    <x v="3"/>
    <n v="10"/>
    <n v="7.8090000000000002"/>
    <x v="208"/>
    <s v="10   38151"/>
    <n v="1156677"/>
    <n v="4.8999999999999998E-3"/>
    <n v="1.5900000000000001E-3"/>
  </r>
  <r>
    <x v="3"/>
    <n v="11"/>
    <n v="8.2170000000000005"/>
    <x v="139"/>
    <s v="9   71970"/>
    <n v="2277503"/>
    <n v="9.5999999999999992E-3"/>
    <n v="3.1199999999999999E-3"/>
  </r>
  <r>
    <x v="3"/>
    <n v="12"/>
    <n v="8.2739999999999991"/>
    <x v="140"/>
    <s v="6   85276"/>
    <n v="4127842"/>
    <n v="1.7399999999999999E-2"/>
    <n v="5.6600000000000001E-3"/>
  </r>
  <r>
    <x v="3"/>
    <n v="13"/>
    <n v="8.6449999999999996"/>
    <x v="209"/>
    <s v="6   78839"/>
    <n v="3923370"/>
    <n v="1.6500000000000001E-2"/>
    <n v="5.3800000000000002E-3"/>
  </r>
  <r>
    <x v="3"/>
    <n v="14"/>
    <n v="8.9160000000000004"/>
    <x v="179"/>
    <s v="10   47988"/>
    <n v="2380356"/>
    <n v="0.01"/>
    <n v="3.2599999999999999E-3"/>
  </r>
  <r>
    <x v="3"/>
    <n v="15"/>
    <n v="9.1910000000000007"/>
    <x v="142"/>
    <s v="6   68415"/>
    <n v="1923011"/>
    <n v="8.0999999999999996E-3"/>
    <n v="2.64E-3"/>
  </r>
  <r>
    <x v="3"/>
    <n v="16"/>
    <n v="9.2569999999999997"/>
    <x v="24"/>
    <s v="6  198671"/>
    <n v="9307965"/>
    <n v="3.9199999999999999E-2"/>
    <n v="1.2760000000000001E-2"/>
  </r>
  <r>
    <x v="3"/>
    <n v="17"/>
    <n v="9.516"/>
    <x v="210"/>
    <s v="6   59348"/>
    <n v="2254882"/>
    <n v="9.4999999999999998E-3"/>
    <n v="3.0899999999999999E-3"/>
  </r>
  <r>
    <x v="3"/>
    <n v="18"/>
    <n v="9.6549999999999994"/>
    <x v="211"/>
    <s v="3  746298"/>
    <n v="23680082"/>
    <n v="9.98E-2"/>
    <n v="3.2460000000000003E-2"/>
  </r>
  <r>
    <x v="3"/>
    <n v="19"/>
    <n v="9.8339999999999996"/>
    <x v="180"/>
    <n v="48330"/>
    <n v="1683552"/>
    <n v="7.1000000000000004E-3"/>
    <n v="2.31E-3"/>
  </r>
  <r>
    <x v="3"/>
    <n v="20"/>
    <n v="10.292"/>
    <x v="30"/>
    <s v="6  226376"/>
    <n v="6923290"/>
    <n v="2.92E-2"/>
    <n v="9.4900000000000002E-3"/>
  </r>
  <r>
    <x v="3"/>
    <n v="21"/>
    <n v="10.401"/>
    <x v="31"/>
    <s v="3  183413"/>
    <n v="6351326"/>
    <n v="2.6800000000000001E-2"/>
    <n v="8.7100000000000007E-3"/>
  </r>
  <r>
    <x v="3"/>
    <n v="22"/>
    <n v="10.483000000000001"/>
    <x v="212"/>
    <s v="3   59813"/>
    <n v="1776590"/>
    <n v="7.4999999999999997E-3"/>
    <n v="2.4399999999999999E-3"/>
  </r>
  <r>
    <x v="3"/>
    <n v="23"/>
    <n v="10.589"/>
    <x v="33"/>
    <s v="7   88104"/>
    <n v="3407874"/>
    <n v="1.44E-2"/>
    <n v="4.6699999999999997E-3"/>
  </r>
  <r>
    <x v="3"/>
    <n v="24"/>
    <n v="10.760999999999999"/>
    <x v="213"/>
    <s v="5   32378"/>
    <n v="1070583"/>
    <n v="4.4999999999999997E-3"/>
    <n v="1.47E-3"/>
  </r>
  <r>
    <x v="3"/>
    <n v="25"/>
    <n v="11.115"/>
    <x v="214"/>
    <s v="5   28564"/>
    <n v="1040827"/>
    <n v="4.4000000000000003E-3"/>
    <n v="1.4300000000000001E-3"/>
  </r>
  <r>
    <x v="3"/>
    <n v="26"/>
    <n v="11.212999999999999"/>
    <x v="215"/>
    <s v="10   94062"/>
    <n v="4772498"/>
    <n v="2.01E-2"/>
    <n v="6.5399999999999998E-3"/>
  </r>
  <r>
    <x v="3"/>
    <n v="27"/>
    <n v="11.412000000000001"/>
    <x v="38"/>
    <s v="9   42998"/>
    <n v="1077474"/>
    <n v="4.4999999999999997E-3"/>
    <n v="1.48E-3"/>
  </r>
  <r>
    <x v="3"/>
    <n v="28"/>
    <n v="11.548"/>
    <x v="216"/>
    <s v="7   78393"/>
    <n v="2621285"/>
    <n v="1.0999999999999999E-2"/>
    <n v="3.5899999999999999E-3"/>
  </r>
  <r>
    <x v="3"/>
    <n v="29"/>
    <n v="11.625"/>
    <x v="217"/>
    <s v="4   57356"/>
    <n v="2596578"/>
    <n v="1.09E-2"/>
    <n v="3.5599999999999998E-3"/>
  </r>
  <r>
    <x v="3"/>
    <n v="30"/>
    <n v="11.773999999999999"/>
    <x v="218"/>
    <s v="4   31082"/>
    <n v="1225822"/>
    <n v="5.1999999999999998E-3"/>
    <n v="1.6800000000000001E-3"/>
  </r>
  <r>
    <x v="3"/>
    <n v="31"/>
    <n v="11.907"/>
    <x v="42"/>
    <s v="4   52863"/>
    <n v="2256467"/>
    <n v="9.4999999999999998E-3"/>
    <n v="3.0899999999999999E-3"/>
  </r>
  <r>
    <x v="3"/>
    <n v="32"/>
    <n v="12.148"/>
    <x v="219"/>
    <s v="4   26022"/>
    <n v="1048601"/>
    <n v="4.4000000000000003E-3"/>
    <n v="1.4400000000000001E-3"/>
  </r>
  <r>
    <x v="3"/>
    <n v="33"/>
    <n v="12.231999999999999"/>
    <x v="220"/>
    <s v="5   62930"/>
    <n v="2723802"/>
    <n v="1.15E-2"/>
    <n v="3.7299999999999998E-3"/>
  </r>
  <r>
    <x v="3"/>
    <n v="34"/>
    <n v="12.305999999999999"/>
    <x v="221"/>
    <s v="5   48397"/>
    <n v="2133784"/>
    <n v="8.9999999999999993E-3"/>
    <n v="2.9199999999999999E-3"/>
  </r>
  <r>
    <x v="3"/>
    <n v="35"/>
    <n v="12.516"/>
    <x v="222"/>
    <s v="5   48471"/>
    <n v="3023683"/>
    <n v="1.2699999999999999E-2"/>
    <n v="4.1399999999999996E-3"/>
  </r>
  <r>
    <x v="3"/>
    <n v="36"/>
    <n v="12.593"/>
    <x v="50"/>
    <s v="5   65713"/>
    <n v="2138404"/>
    <n v="8.9999999999999993E-3"/>
    <n v="2.9299999999999999E-3"/>
  </r>
  <r>
    <x v="3"/>
    <n v="37"/>
    <n v="12.629"/>
    <x v="223"/>
    <s v="5   74460"/>
    <n v="2528347"/>
    <n v="1.0699999999999999E-2"/>
    <n v="3.47E-3"/>
  </r>
  <r>
    <x v="3"/>
    <n v="38"/>
    <n v="12.702999999999999"/>
    <x v="51"/>
    <s v="5  100526"/>
    <n v="3622133"/>
    <n v="1.5299999999999999E-2"/>
    <n v="4.96E-3"/>
  </r>
  <r>
    <x v="3"/>
    <n v="39"/>
    <n v="12.843"/>
    <x v="52"/>
    <s v="2 1563831"/>
    <n v="45395300"/>
    <n v="0.1913"/>
    <n v="6.2219999999999998E-2"/>
  </r>
  <r>
    <x v="3"/>
    <n v="40"/>
    <n v="13.163"/>
    <x v="224"/>
    <s v="2   26790"/>
    <n v="1341741"/>
    <n v="5.7000000000000002E-3"/>
    <n v="1.8400000000000001E-3"/>
  </r>
  <r>
    <x v="3"/>
    <n v="41"/>
    <n v="13.228999999999999"/>
    <x v="147"/>
    <s v="2   95432"/>
    <n v="3235939"/>
    <n v="1.3599999999999999E-2"/>
    <n v="4.4400000000000004E-3"/>
  </r>
  <r>
    <x v="3"/>
    <n v="42"/>
    <n v="13.456"/>
    <x v="225"/>
    <s v="2   30196"/>
    <n v="1849123"/>
    <n v="7.7999999999999996E-3"/>
    <n v="2.5300000000000001E-3"/>
  </r>
  <r>
    <x v="3"/>
    <n v="43"/>
    <n v="13.566000000000001"/>
    <x v="226"/>
    <s v="6   54367"/>
    <n v="1796526"/>
    <n v="7.6E-3"/>
    <n v="2.4599999999999999E-3"/>
  </r>
  <r>
    <x v="3"/>
    <n v="44"/>
    <n v="13.635"/>
    <x v="227"/>
    <s v="8   35255"/>
    <n v="1045817"/>
    <n v="4.4000000000000003E-3"/>
    <n v="1.4300000000000001E-3"/>
  </r>
  <r>
    <x v="3"/>
    <n v="45"/>
    <n v="13.698"/>
    <x v="56"/>
    <s v="8   30010"/>
    <n v="1101206"/>
    <n v="4.5999999999999999E-3"/>
    <n v="1.5100000000000001E-3"/>
  </r>
  <r>
    <x v="3"/>
    <n v="46"/>
    <n v="14.404999999999999"/>
    <x v="228"/>
    <s v="8   39003"/>
    <n v="1813352"/>
    <n v="7.6E-3"/>
    <n v="2.49E-3"/>
  </r>
  <r>
    <x v="3"/>
    <n v="47"/>
    <n v="14.523"/>
    <x v="61"/>
    <s v="8  109732"/>
    <n v="3727729"/>
    <n v="1.5699999999999999E-2"/>
    <n v="5.11E-3"/>
  </r>
  <r>
    <x v="3"/>
    <n v="48"/>
    <n v="14.587999999999999"/>
    <x v="62"/>
    <s v="7   48081"/>
    <n v="1209527"/>
    <n v="5.1000000000000004E-3"/>
    <n v="1.66E-3"/>
  </r>
  <r>
    <x v="3"/>
    <n v="49"/>
    <n v="14.83"/>
    <x v="63"/>
    <s v="7   43079"/>
    <n v="1390436"/>
    <n v="5.8999999999999999E-3"/>
    <n v="1.91E-3"/>
  </r>
  <r>
    <x v="3"/>
    <n v="50"/>
    <n v="15.349"/>
    <x v="229"/>
    <s v="4   47947"/>
    <n v="1306438"/>
    <n v="5.4999999999999997E-3"/>
    <n v="1.7899999999999999E-3"/>
  </r>
  <r>
    <x v="3"/>
    <n v="51"/>
    <n v="15.414999999999999"/>
    <x v="148"/>
    <s v="9   90895"/>
    <n v="2502917"/>
    <n v="1.0500000000000001E-2"/>
    <n v="3.4299999999999999E-3"/>
  </r>
  <r>
    <x v="3"/>
    <n v="52"/>
    <n v="15.47"/>
    <x v="182"/>
    <s v="2   69448"/>
    <n v="2804530"/>
    <n v="1.18E-2"/>
    <n v="3.8400000000000001E-3"/>
  </r>
  <r>
    <x v="3"/>
    <n v="53"/>
    <n v="15.574"/>
    <x v="150"/>
    <s v="10   45475"/>
    <n v="1612645"/>
    <n v="6.7999999999999996E-3"/>
    <n v="2.2100000000000002E-3"/>
  </r>
  <r>
    <x v="3"/>
    <n v="54"/>
    <n v="15.714"/>
    <x v="151"/>
    <s v="10  109317"/>
    <n v="3333479"/>
    <n v="1.4E-2"/>
    <n v="4.5700000000000003E-3"/>
  </r>
  <r>
    <x v="3"/>
    <n v="55"/>
    <n v="15.877000000000001"/>
    <x v="69"/>
    <s v="4  362487"/>
    <n v="10762449"/>
    <n v="4.5400000000000003E-2"/>
    <n v="1.4749999999999999E-2"/>
  </r>
  <r>
    <x v="3"/>
    <n v="56"/>
    <n v="16.117000000000001"/>
    <x v="230"/>
    <s v="10   31840"/>
    <n v="1125008"/>
    <n v="4.7000000000000002E-3"/>
    <n v="1.5399999999999999E-3"/>
  </r>
  <r>
    <x v="3"/>
    <n v="57"/>
    <n v="16.664000000000001"/>
    <x v="71"/>
    <s v="3  198084"/>
    <n v="5543986"/>
    <n v="2.3400000000000001E-2"/>
    <n v="7.6E-3"/>
  </r>
  <r>
    <x v="3"/>
    <n v="58"/>
    <n v="16.765000000000001"/>
    <x v="184"/>
    <s v="10   96316"/>
    <n v="2590737"/>
    <n v="1.09E-2"/>
    <n v="3.5500000000000002E-3"/>
  </r>
  <r>
    <x v="3"/>
    <n v="59"/>
    <n v="17.204000000000001"/>
    <x v="231"/>
    <s v="2 2179431"/>
    <n v="237312184"/>
    <n v="0"/>
    <n v="0.32528000000000001"/>
  </r>
  <r>
    <x v="3"/>
    <n v="60"/>
    <n v="17.277999999999999"/>
    <x v="74"/>
    <s v="2   63438"/>
    <n v="1756701"/>
    <n v="7.4000000000000003E-3"/>
    <n v="2.4099999999999998E-3"/>
  </r>
  <r>
    <x v="3"/>
    <n v="61"/>
    <n v="17.376999999999999"/>
    <x v="232"/>
    <s v="9   49193"/>
    <n v="2016912"/>
    <n v="8.5000000000000006E-3"/>
    <n v="2.7599999999999999E-3"/>
  </r>
  <r>
    <x v="3"/>
    <n v="62"/>
    <n v="17.457000000000001"/>
    <x v="76"/>
    <s v="6  606749"/>
    <n v="18632261"/>
    <n v="7.85E-2"/>
    <n v="2.554E-2"/>
  </r>
  <r>
    <x v="3"/>
    <n v="63"/>
    <n v="17.552"/>
    <x v="233"/>
    <s v="9   62292"/>
    <n v="2292558"/>
    <n v="9.7000000000000003E-3"/>
    <n v="3.14E-3"/>
  </r>
  <r>
    <x v="3"/>
    <n v="64"/>
    <n v="17.728000000000002"/>
    <x v="78"/>
    <s v="8   44333"/>
    <n v="1429312"/>
    <n v="6.0000000000000001E-3"/>
    <n v="1.9599999999999999E-3"/>
  </r>
  <r>
    <x v="3"/>
    <n v="65"/>
    <n v="17.808"/>
    <x v="79"/>
    <s v="9   67235"/>
    <n v="2561231"/>
    <n v="1.0800000000000001E-2"/>
    <n v="3.5100000000000001E-3"/>
  </r>
  <r>
    <x v="3"/>
    <n v="66"/>
    <n v="17.925999999999998"/>
    <x v="234"/>
    <s v="9   33692"/>
    <n v="1925594"/>
    <n v="8.0999999999999996E-3"/>
    <n v="2.64E-3"/>
  </r>
  <r>
    <x v="3"/>
    <n v="67"/>
    <n v="18.061"/>
    <x v="235"/>
    <s v="2   58279"/>
    <n v="2274533"/>
    <n v="9.5999999999999992E-3"/>
    <n v="3.1199999999999999E-3"/>
  </r>
  <r>
    <x v="3"/>
    <n v="68"/>
    <n v="18.305"/>
    <x v="82"/>
    <s v="2  137736"/>
    <n v="4030649"/>
    <n v="1.7000000000000001E-2"/>
    <n v="5.5199999999999997E-3"/>
  </r>
  <r>
    <x v="3"/>
    <n v="69"/>
    <n v="18.460999999999999"/>
    <x v="236"/>
    <s v="2   37819"/>
    <n v="1646309"/>
    <n v="6.8999999999999999E-3"/>
    <n v="2.2599999999999999E-3"/>
  </r>
  <r>
    <x v="3"/>
    <n v="70"/>
    <n v="18.53"/>
    <x v="159"/>
    <s v="2   40612"/>
    <n v="1447764"/>
    <n v="6.1000000000000004E-3"/>
    <n v="1.98E-3"/>
  </r>
  <r>
    <x v="3"/>
    <n v="71"/>
    <n v="18.731000000000002"/>
    <x v="160"/>
    <s v="8   78759"/>
    <n v="2385219"/>
    <n v="1.01E-2"/>
    <n v="3.2699999999999999E-3"/>
  </r>
  <r>
    <x v="3"/>
    <n v="72"/>
    <n v="18.844999999999999"/>
    <x v="188"/>
    <s v="6  171245"/>
    <n v="4610424"/>
    <n v="1.9400000000000001E-2"/>
    <n v="6.3200000000000001E-3"/>
  </r>
  <r>
    <x v="3"/>
    <n v="73"/>
    <n v="20.227"/>
    <x v="237"/>
    <s v="6  147453"/>
    <n v="4740192"/>
    <n v="0.02"/>
    <n v="6.4999999999999997E-3"/>
  </r>
  <r>
    <x v="3"/>
    <n v="74"/>
    <n v="20.654"/>
    <x v="238"/>
    <s v="6   51842"/>
    <n v="2783990"/>
    <n v="1.17E-2"/>
    <n v="3.82E-3"/>
  </r>
  <r>
    <x v="3"/>
    <n v="75"/>
    <n v="20.88"/>
    <x v="239"/>
    <s v="10   32196"/>
    <n v="1038370"/>
    <n v="4.4000000000000003E-3"/>
    <n v="1.42E-3"/>
  </r>
  <r>
    <x v="3"/>
    <n v="76"/>
    <n v="20.966999999999999"/>
    <x v="162"/>
    <s v="10  145498"/>
    <n v="3858208"/>
    <n v="1.6299999999999999E-2"/>
    <n v="5.2900000000000004E-3"/>
  </r>
  <r>
    <x v="3"/>
    <n v="77"/>
    <n v="21.175999999999998"/>
    <x v="189"/>
    <s v="10   82312"/>
    <n v="2465074"/>
    <n v="1.04E-2"/>
    <n v="3.3800000000000002E-3"/>
  </r>
  <r>
    <x v="3"/>
    <n v="78"/>
    <n v="21.4"/>
    <x v="89"/>
    <s v="10   46709"/>
    <n v="1759113"/>
    <n v="7.4000000000000003E-3"/>
    <n v="2.4099999999999998E-3"/>
  </r>
  <r>
    <x v="3"/>
    <n v="79"/>
    <n v="22.513000000000002"/>
    <x v="90"/>
    <s v="10   25102"/>
    <n v="1111859"/>
    <n v="4.7000000000000002E-3"/>
    <n v="1.5200000000000001E-3"/>
  </r>
  <r>
    <x v="3"/>
    <n v="80"/>
    <n v="23.475999999999999"/>
    <x v="93"/>
    <s v="7  270087"/>
    <n v="6630082"/>
    <n v="2.7900000000000001E-2"/>
    <n v="9.0900000000000009E-3"/>
  </r>
  <r>
    <x v="3"/>
    <n v="81"/>
    <n v="23.667999999999999"/>
    <x v="94"/>
    <s v="7   91202"/>
    <n v="2517975"/>
    <n v="1.06E-2"/>
    <n v="3.4499999999999999E-3"/>
  </r>
  <r>
    <x v="3"/>
    <n v="82"/>
    <n v="23.844999999999999"/>
    <x v="240"/>
    <s v="7   54824"/>
    <n v="1280001"/>
    <n v="5.4000000000000003E-3"/>
    <n v="1.75E-3"/>
  </r>
  <r>
    <x v="3"/>
    <n v="83"/>
    <n v="23.925999999999998"/>
    <x v="95"/>
    <s v="9   34685"/>
    <n v="1086846"/>
    <n v="4.5999999999999999E-3"/>
    <n v="1.49E-3"/>
  </r>
  <r>
    <x v="3"/>
    <n v="84"/>
    <n v="24.036999999999999"/>
    <x v="96"/>
    <s v="2   62590"/>
    <n v="1721989"/>
    <n v="7.3000000000000001E-3"/>
    <n v="2.3600000000000001E-3"/>
  </r>
  <r>
    <x v="3"/>
    <n v="85"/>
    <n v="24.263999999999999"/>
    <x v="97"/>
    <s v="9   58973"/>
    <n v="1463149"/>
    <n v="6.1999999999999998E-3"/>
    <n v="2.0100000000000001E-3"/>
  </r>
  <r>
    <x v="3"/>
    <n v="86"/>
    <n v="25.85"/>
    <x v="163"/>
    <s v="9   78549"/>
    <n v="2021832"/>
    <n v="8.5000000000000006E-3"/>
    <n v="2.7699999999999999E-3"/>
  </r>
  <r>
    <x v="3"/>
    <n v="87"/>
    <n v="26.02"/>
    <x v="193"/>
    <s v="9   41228"/>
    <n v="1622146"/>
    <n v="6.7999999999999996E-3"/>
    <n v="2.2200000000000002E-3"/>
  </r>
  <r>
    <x v="3"/>
    <n v="88"/>
    <n v="27.114999999999998"/>
    <x v="241"/>
    <s v="8   52164"/>
    <n v="1523592"/>
    <n v="6.4000000000000003E-3"/>
    <n v="2.0899999999999998E-3"/>
  </r>
  <r>
    <x v="3"/>
    <n v="89"/>
    <n v="27.428999999999998"/>
    <x v="99"/>
    <s v="10   97494"/>
    <n v="1779291"/>
    <n v="7.4999999999999997E-3"/>
    <n v="2.4399999999999999E-3"/>
  </r>
  <r>
    <x v="3"/>
    <n v="90"/>
    <n v="27.507000000000001"/>
    <x v="100"/>
    <s v="3  153461"/>
    <n v="2639102"/>
    <n v="1.11E-2"/>
    <n v="3.62E-3"/>
  </r>
  <r>
    <x v="3"/>
    <n v="91"/>
    <n v="27.667000000000002"/>
    <x v="195"/>
    <s v="7   54323"/>
    <n v="1393387"/>
    <n v="5.8999999999999999E-3"/>
    <n v="1.91E-3"/>
  </r>
  <r>
    <x v="3"/>
    <n v="92"/>
    <n v="28.481999999999999"/>
    <x v="101"/>
    <n v="1748968"/>
    <n v="25468097"/>
    <n v="0.10730000000000001"/>
    <n v="3.4909999999999997E-2"/>
  </r>
  <r>
    <x v="3"/>
    <n v="93"/>
    <n v="28.594999999999999"/>
    <x v="242"/>
    <s v="6   72468"/>
    <n v="1486855"/>
    <n v="6.3E-3"/>
    <n v="2.0400000000000001E-3"/>
  </r>
  <r>
    <x v="3"/>
    <n v="94"/>
    <n v="28.637"/>
    <x v="103"/>
    <s v="4   79046"/>
    <n v="1264447"/>
    <n v="5.3E-3"/>
    <n v="1.73E-3"/>
  </r>
  <r>
    <x v="3"/>
    <n v="95"/>
    <n v="28.733000000000001"/>
    <x v="104"/>
    <s v="2  444250"/>
    <n v="6999299"/>
    <n v="2.9499999999999998E-2"/>
    <n v="9.5899999999999996E-3"/>
  </r>
  <r>
    <x v="3"/>
    <n v="96"/>
    <n v="28.891999999999999"/>
    <x v="105"/>
    <n v="721941"/>
    <n v="9414112"/>
    <n v="3.9699999999999999E-2"/>
    <n v="1.29E-2"/>
  </r>
  <r>
    <x v="3"/>
    <n v="97"/>
    <n v="29.048999999999999"/>
    <x v="106"/>
    <n v="6520095"/>
    <n v="74545064"/>
    <n v="0.31409999999999999"/>
    <n v="0.10218000000000001"/>
  </r>
  <r>
    <x v="3"/>
    <n v="98"/>
    <n v="29.158000000000001"/>
    <x v="197"/>
    <s v="5   82865"/>
    <n v="1329507"/>
    <n v="5.5999999999999999E-3"/>
    <n v="1.82E-3"/>
  </r>
  <r>
    <x v="3"/>
    <n v="99"/>
    <n v="29.204999999999998"/>
    <x v="243"/>
    <s v="9   58345"/>
    <n v="1111020"/>
    <n v="4.7000000000000002E-3"/>
    <n v="1.5200000000000001E-3"/>
  </r>
  <r>
    <x v="3"/>
    <n v="100"/>
    <n v="29.233000000000001"/>
    <x v="108"/>
    <s v="8   79012"/>
    <n v="1637582"/>
    <n v="6.8999999999999999E-3"/>
    <n v="2.2399999999999998E-3"/>
  </r>
  <r>
    <x v="3"/>
    <n v="101"/>
    <n v="29.306000000000001"/>
    <x v="198"/>
    <s v="8   39963"/>
    <n v="1099144"/>
    <n v="4.5999999999999999E-3"/>
    <n v="1.5100000000000001E-3"/>
  </r>
  <r>
    <x v="3"/>
    <n v="102"/>
    <n v="29.408000000000001"/>
    <x v="244"/>
    <s v="10   48095"/>
    <n v="1269362"/>
    <n v="5.3E-3"/>
    <n v="1.74E-3"/>
  </r>
  <r>
    <x v="3"/>
    <n v="103"/>
    <n v="29.54"/>
    <x v="112"/>
    <s v="7   73451"/>
    <n v="1517820"/>
    <n v="6.4000000000000003E-3"/>
    <n v="2.0799999999999998E-3"/>
  </r>
  <r>
    <x v="3"/>
    <n v="104"/>
    <n v="29.742000000000001"/>
    <x v="115"/>
    <n v="903742"/>
    <n v="12339714"/>
    <n v="5.1999999999999998E-2"/>
    <n v="1.6910000000000001E-2"/>
  </r>
  <r>
    <x v="3"/>
    <n v="105"/>
    <n v="29.826000000000001"/>
    <x v="245"/>
    <s v="4  686530"/>
    <n v="8030728"/>
    <n v="3.3799999999999997E-2"/>
    <n v="1.1010000000000001E-2"/>
  </r>
  <r>
    <x v="3"/>
    <n v="106"/>
    <n v="29.936"/>
    <x v="201"/>
    <s v="3   28835"/>
    <n v="1021629"/>
    <n v="4.3E-3"/>
    <n v="1.4E-3"/>
  </r>
  <r>
    <x v="3"/>
    <n v="107"/>
    <n v="31.989000000000001"/>
    <x v="128"/>
    <n v="199249"/>
    <n v="4612693"/>
    <n v="1.9400000000000001E-2"/>
    <n v="6.3200000000000001E-3"/>
  </r>
  <r>
    <x v="3"/>
    <n v="108"/>
    <n v="32.744"/>
    <x v="173"/>
    <s v="3   45482"/>
    <n v="1092805"/>
    <n v="4.5999999999999999E-3"/>
    <n v="1.5E-3"/>
  </r>
  <r>
    <x v="3"/>
    <n v="109"/>
    <n v="33.104999999999997"/>
    <x v="246"/>
    <n v="151793"/>
    <n v="5968957"/>
    <n v="2.52E-2"/>
    <n v="8.1799999999999998E-3"/>
  </r>
  <r>
    <x v="4"/>
    <n v="1"/>
    <n v="4.8879999999999999"/>
    <x v="133"/>
    <s v="7  678671"/>
    <n v="18493037"/>
    <n v="0.13350000000000001"/>
    <n v="1.6920000000000001E-2"/>
  </r>
  <r>
    <x v="4"/>
    <n v="2"/>
    <n v="5.1929999999999996"/>
    <x v="134"/>
    <s v="7  255570"/>
    <n v="8262102"/>
    <n v="5.96E-2"/>
    <n v="7.5599999999999999E-3"/>
  </r>
  <r>
    <x v="4"/>
    <n v="3"/>
    <n v="5.2839999999999998"/>
    <x v="247"/>
    <s v="10   69401"/>
    <n v="2535878"/>
    <n v="1.83E-2"/>
    <n v="2.32E-3"/>
  </r>
  <r>
    <x v="4"/>
    <n v="4"/>
    <n v="5.3529999999999998"/>
    <x v="135"/>
    <s v="10   57327"/>
    <n v="3287827"/>
    <n v="2.3699999999999999E-2"/>
    <n v="3.0100000000000001E-3"/>
  </r>
  <r>
    <x v="4"/>
    <n v="5"/>
    <n v="5.6630000000000003"/>
    <x v="10"/>
    <s v="10   34812"/>
    <n v="1200393"/>
    <n v="8.6999999999999994E-3"/>
    <n v="1.1000000000000001E-3"/>
  </r>
  <r>
    <x v="4"/>
    <n v="6"/>
    <n v="6.1070000000000002"/>
    <x v="138"/>
    <s v="10   57039"/>
    <n v="1628644"/>
    <n v="1.18E-2"/>
    <n v="1.49E-3"/>
  </r>
  <r>
    <x v="4"/>
    <n v="7"/>
    <n v="6.2709999999999999"/>
    <x v="177"/>
    <s v="3   45009"/>
    <n v="1621202"/>
    <n v="1.17E-2"/>
    <n v="1.48E-3"/>
  </r>
  <r>
    <x v="4"/>
    <n v="8"/>
    <n v="6.343"/>
    <x v="248"/>
    <s v="9   46406"/>
    <n v="1635913"/>
    <n v="1.18E-2"/>
    <n v="1.5E-3"/>
  </r>
  <r>
    <x v="4"/>
    <n v="9"/>
    <n v="6.4930000000000003"/>
    <x v="13"/>
    <s v="4  264343"/>
    <n v="8843522"/>
    <n v="6.3799999999999996E-2"/>
    <n v="8.09E-3"/>
  </r>
  <r>
    <x v="4"/>
    <n v="10"/>
    <n v="8.2040000000000006"/>
    <x v="178"/>
    <s v="8   40518"/>
    <n v="1177254"/>
    <n v="8.5000000000000006E-3"/>
    <n v="1.08E-3"/>
  </r>
  <r>
    <x v="4"/>
    <n v="11"/>
    <n v="8.2780000000000005"/>
    <x v="249"/>
    <s v="6   64889"/>
    <n v="2904427"/>
    <n v="2.1000000000000001E-2"/>
    <n v="2.66E-3"/>
  </r>
  <r>
    <x v="4"/>
    <n v="12"/>
    <n v="8.6430000000000007"/>
    <x v="20"/>
    <s v="10   35811"/>
    <n v="1079961"/>
    <n v="7.7999999999999996E-3"/>
    <n v="9.8999999999999999E-4"/>
  </r>
  <r>
    <x v="4"/>
    <n v="13"/>
    <n v="8.9600000000000009"/>
    <x v="250"/>
    <s v="8   54353"/>
    <n v="3065129"/>
    <n v="2.2100000000000002E-2"/>
    <n v="2.81E-3"/>
  </r>
  <r>
    <x v="4"/>
    <n v="14"/>
    <n v="9.1829999999999998"/>
    <x v="23"/>
    <s v="5  168573"/>
    <n v="4729599"/>
    <n v="3.4099999999999998E-2"/>
    <n v="4.3299999999999996E-3"/>
  </r>
  <r>
    <x v="4"/>
    <n v="15"/>
    <n v="9.2520000000000007"/>
    <x v="143"/>
    <s v="9   91468"/>
    <n v="3912138"/>
    <n v="2.8199999999999999E-2"/>
    <n v="3.5799999999999998E-3"/>
  </r>
  <r>
    <x v="4"/>
    <n v="16"/>
    <n v="9.6539999999999999"/>
    <x v="27"/>
    <s v="4 1041982"/>
    <n v="31931978"/>
    <n v="0.23050000000000001"/>
    <n v="2.9219999999999999E-2"/>
  </r>
  <r>
    <x v="4"/>
    <n v="17"/>
    <n v="9.8230000000000004"/>
    <x v="28"/>
    <n v="676794"/>
    <n v="22384131"/>
    <n v="0.16159999999999999"/>
    <n v="2.0490000000000001E-2"/>
  </r>
  <r>
    <x v="4"/>
    <n v="18"/>
    <n v="11.095000000000001"/>
    <x v="251"/>
    <s v="3   28635"/>
    <n v="1128606"/>
    <n v="8.0999999999999996E-3"/>
    <n v="1.0300000000000001E-3"/>
  </r>
  <r>
    <x v="4"/>
    <n v="19"/>
    <n v="11.259"/>
    <x v="252"/>
    <s v="10   29898"/>
    <n v="1574514"/>
    <n v="1.14E-2"/>
    <n v="1.4400000000000001E-3"/>
  </r>
  <r>
    <x v="4"/>
    <n v="20"/>
    <n v="12.705"/>
    <x v="146"/>
    <s v="10   29107"/>
    <n v="1293153"/>
    <n v="9.2999999999999992E-3"/>
    <n v="1.1800000000000001E-3"/>
  </r>
  <r>
    <x v="4"/>
    <n v="21"/>
    <n v="12.843"/>
    <x v="52"/>
    <s v="2 2409135"/>
    <n v="68301997"/>
    <n v="0.49299999999999999"/>
    <n v="6.2509999999999996E-2"/>
  </r>
  <r>
    <x v="4"/>
    <n v="22"/>
    <n v="13.228999999999999"/>
    <x v="147"/>
    <s v="2   79518"/>
    <n v="3134225"/>
    <n v="2.2599999999999999E-2"/>
    <n v="2.8700000000000002E-3"/>
  </r>
  <r>
    <x v="4"/>
    <n v="23"/>
    <n v="13.62"/>
    <x v="55"/>
    <s v="2   90516"/>
    <n v="3860551"/>
    <n v="2.7900000000000001E-2"/>
    <n v="3.5300000000000002E-3"/>
  </r>
  <r>
    <x v="4"/>
    <n v="24"/>
    <n v="14.519"/>
    <x v="61"/>
    <s v="2  128237"/>
    <n v="5293208"/>
    <n v="3.8199999999999998E-2"/>
    <n v="4.8399999999999997E-3"/>
  </r>
  <r>
    <x v="4"/>
    <n v="25"/>
    <n v="14.821999999999999"/>
    <x v="253"/>
    <s v="2   41266"/>
    <n v="1352275"/>
    <n v="9.7999999999999997E-3"/>
    <n v="1.24E-3"/>
  </r>
  <r>
    <x v="4"/>
    <n v="26"/>
    <n v="15.342000000000001"/>
    <x v="66"/>
    <s v="4   98772"/>
    <n v="2600524"/>
    <n v="1.8800000000000001E-2"/>
    <n v="2.3800000000000002E-3"/>
  </r>
  <r>
    <x v="4"/>
    <n v="27"/>
    <n v="15.414"/>
    <x v="254"/>
    <s v="4   66997"/>
    <n v="3388912"/>
    <n v="2.4500000000000001E-2"/>
    <n v="3.0999999999999999E-3"/>
  </r>
  <r>
    <x v="4"/>
    <n v="28"/>
    <n v="15.576000000000001"/>
    <x v="183"/>
    <s v="7   52014"/>
    <n v="1915687"/>
    <n v="1.38E-2"/>
    <n v="1.75E-3"/>
  </r>
  <r>
    <x v="4"/>
    <n v="29"/>
    <n v="15.711"/>
    <x v="151"/>
    <s v="7   28455"/>
    <n v="1150532"/>
    <n v="8.3000000000000001E-3"/>
    <n v="1.0499999999999999E-3"/>
  </r>
  <r>
    <x v="4"/>
    <n v="30"/>
    <n v="15.877000000000001"/>
    <x v="69"/>
    <s v="4  643108"/>
    <n v="17763123"/>
    <n v="0.12820000000000001"/>
    <n v="1.626E-2"/>
  </r>
  <r>
    <x v="4"/>
    <n v="31"/>
    <n v="16.664000000000001"/>
    <x v="71"/>
    <s v="3  153050"/>
    <n v="4278531"/>
    <n v="3.09E-2"/>
    <n v="3.9199999999999999E-3"/>
  </r>
  <r>
    <x v="4"/>
    <n v="32"/>
    <n v="16.765000000000001"/>
    <x v="184"/>
    <s v="10   97042"/>
    <n v="2505366"/>
    <n v="1.8100000000000002E-2"/>
    <n v="2.2899999999999999E-3"/>
  </r>
  <r>
    <x v="4"/>
    <n v="33"/>
    <n v="16.978000000000002"/>
    <x v="255"/>
    <s v="2  596473"/>
    <n v="25695075"/>
    <n v="0.1855"/>
    <n v="2.3519999999999999E-2"/>
  </r>
  <r>
    <x v="4"/>
    <n v="34"/>
    <n v="17.085999999999999"/>
    <x v="152"/>
    <s v="2   71385"/>
    <n v="2691713"/>
    <n v="1.9400000000000001E-2"/>
    <n v="2.4599999999999999E-3"/>
  </r>
  <r>
    <x v="4"/>
    <n v="35"/>
    <n v="17.452999999999999"/>
    <x v="153"/>
    <s v="6  562901"/>
    <n v="18472534"/>
    <n v="0.1333"/>
    <n v="1.6910000000000001E-2"/>
  </r>
  <r>
    <x v="4"/>
    <n v="36"/>
    <n v="17.692"/>
    <x v="256"/>
    <s v="7   35297"/>
    <n v="1445416"/>
    <n v="1.04E-2"/>
    <n v="1.32E-3"/>
  </r>
  <r>
    <x v="4"/>
    <n v="37"/>
    <n v="17.802"/>
    <x v="155"/>
    <s v="9   95817"/>
    <n v="2893826"/>
    <n v="2.0899999999999998E-2"/>
    <n v="2.65E-3"/>
  </r>
  <r>
    <x v="4"/>
    <n v="38"/>
    <n v="17.919"/>
    <x v="80"/>
    <s v="9   43578"/>
    <n v="1537729"/>
    <n v="1.11E-2"/>
    <n v="1.41E-3"/>
  </r>
  <r>
    <x v="4"/>
    <n v="39"/>
    <n v="18.071999999999999"/>
    <x v="257"/>
    <s v="3   30800"/>
    <n v="1104369"/>
    <n v="8.0000000000000002E-3"/>
    <n v="1.01E-3"/>
  </r>
  <r>
    <x v="4"/>
    <n v="40"/>
    <n v="18.305"/>
    <x v="82"/>
    <s v="9   47213"/>
    <n v="1281935"/>
    <n v="9.2999999999999992E-3"/>
    <n v="1.17E-3"/>
  </r>
  <r>
    <x v="4"/>
    <n v="41"/>
    <n v="18.724"/>
    <x v="258"/>
    <s v="7   79253"/>
    <n v="2270308"/>
    <n v="1.6400000000000001E-2"/>
    <n v="2.0799999999999998E-3"/>
  </r>
  <r>
    <x v="4"/>
    <n v="42"/>
    <n v="18.841999999999999"/>
    <x v="85"/>
    <s v="4  259627"/>
    <n v="6880746"/>
    <n v="4.9700000000000001E-2"/>
    <n v="6.3E-3"/>
  </r>
  <r>
    <x v="4"/>
    <n v="43"/>
    <n v="20.225000000000001"/>
    <x v="237"/>
    <s v="4  141479"/>
    <n v="4663705"/>
    <n v="3.3700000000000001E-2"/>
    <n v="4.2700000000000004E-3"/>
  </r>
  <r>
    <x v="4"/>
    <n v="44"/>
    <n v="20.963999999999999"/>
    <x v="88"/>
    <s v="4   40422"/>
    <n v="1075939"/>
    <n v="7.7999999999999996E-3"/>
    <n v="9.7999999999999997E-4"/>
  </r>
  <r>
    <x v="4"/>
    <n v="45"/>
    <n v="21.170999999999999"/>
    <x v="259"/>
    <s v="10   28959"/>
    <n v="1145206"/>
    <n v="8.3000000000000001E-3"/>
    <n v="1.0499999999999999E-3"/>
  </r>
  <r>
    <x v="4"/>
    <n v="46"/>
    <n v="21.401"/>
    <x v="89"/>
    <s v="10   59337"/>
    <n v="1858231"/>
    <n v="1.34E-2"/>
    <n v="1.6999999999999999E-3"/>
  </r>
  <r>
    <x v="4"/>
    <n v="47"/>
    <n v="21.695"/>
    <x v="260"/>
    <s v="10   32379"/>
    <n v="1256711"/>
    <n v="9.1000000000000004E-3"/>
    <n v="1.15E-3"/>
  </r>
  <r>
    <x v="4"/>
    <n v="48"/>
    <n v="22.510999999999999"/>
    <x v="90"/>
    <s v="10   78622"/>
    <n v="2183830"/>
    <n v="1.5800000000000002E-2"/>
    <n v="2E-3"/>
  </r>
  <r>
    <x v="4"/>
    <n v="49"/>
    <n v="23.472999999999999"/>
    <x v="261"/>
    <s v="7   75831"/>
    <n v="2052935"/>
    <n v="1.4800000000000001E-2"/>
    <n v="1.8799999999999999E-3"/>
  </r>
  <r>
    <x v="4"/>
    <n v="50"/>
    <n v="23.661999999999999"/>
    <x v="190"/>
    <s v="9   65939"/>
    <n v="1777750"/>
    <n v="1.2800000000000001E-2"/>
    <n v="1.6299999999999999E-3"/>
  </r>
  <r>
    <x v="4"/>
    <n v="51"/>
    <n v="23.922999999999998"/>
    <x v="191"/>
    <s v="10   44470"/>
    <n v="1468808"/>
    <n v="1.06E-2"/>
    <n v="1.34E-3"/>
  </r>
  <r>
    <x v="4"/>
    <n v="52"/>
    <n v="25.762"/>
    <x v="262"/>
    <s v="5  119447"/>
    <n v="2918651"/>
    <n v="2.1100000000000001E-2"/>
    <n v="2.6700000000000001E-3"/>
  </r>
  <r>
    <x v="4"/>
    <n v="53"/>
    <n v="27.428999999999998"/>
    <x v="99"/>
    <s v="10   58161"/>
    <n v="1192204"/>
    <n v="8.6E-3"/>
    <n v="1.09E-3"/>
  </r>
  <r>
    <x v="4"/>
    <n v="54"/>
    <n v="27.504999999999999"/>
    <x v="100"/>
    <s v="3  211899"/>
    <n v="3377740"/>
    <n v="2.4400000000000002E-2"/>
    <n v="3.0899999999999999E-3"/>
  </r>
  <r>
    <x v="4"/>
    <n v="55"/>
    <n v="27.667000000000002"/>
    <x v="195"/>
    <s v="10   44561"/>
    <n v="1215876"/>
    <n v="8.8000000000000005E-3"/>
    <n v="1.1100000000000001E-3"/>
  </r>
  <r>
    <x v="4"/>
    <n v="56"/>
    <n v="27.97"/>
    <x v="164"/>
    <s v="7  865217"/>
    <n v="10524562"/>
    <n v="7.5999999999999998E-2"/>
    <n v="9.6299999999999997E-3"/>
  </r>
  <r>
    <x v="4"/>
    <n v="57"/>
    <n v="28.481999999999999"/>
    <x v="101"/>
    <n v="3692479"/>
    <n v="45968559"/>
    <n v="0.33179999999999998"/>
    <n v="4.2070000000000003E-2"/>
  </r>
  <r>
    <x v="4"/>
    <n v="58"/>
    <n v="28.530999999999999"/>
    <x v="263"/>
    <s v="5  178688"/>
    <n v="2673085"/>
    <n v="1.9300000000000001E-2"/>
    <n v="2.4499999999999999E-3"/>
  </r>
  <r>
    <x v="4"/>
    <n v="59"/>
    <n v="28.553999999999998"/>
    <x v="264"/>
    <s v="7  175305"/>
    <n v="3000589"/>
    <n v="2.1700000000000001E-2"/>
    <n v="2.7499999999999998E-3"/>
  </r>
  <r>
    <x v="4"/>
    <n v="60"/>
    <n v="28.591000000000001"/>
    <x v="102"/>
    <s v="7  153230"/>
    <n v="5039270"/>
    <n v="3.6400000000000002E-2"/>
    <n v="4.6100000000000004E-3"/>
  </r>
  <r>
    <x v="4"/>
    <n v="61"/>
    <n v="28.731999999999999"/>
    <x v="104"/>
    <s v="2  278386"/>
    <n v="5069554"/>
    <n v="3.6600000000000001E-2"/>
    <n v="4.64E-3"/>
  </r>
  <r>
    <x v="4"/>
    <n v="62"/>
    <n v="28.890999999999998"/>
    <x v="105"/>
    <n v="1165695"/>
    <n v="13701380"/>
    <n v="9.8900000000000002E-2"/>
    <n v="1.2540000000000001E-2"/>
  </r>
  <r>
    <x v="4"/>
    <n v="63"/>
    <n v="29.05"/>
    <x v="106"/>
    <n v="11148266"/>
    <n v="138532263"/>
    <n v="1"/>
    <n v="0.12678"/>
  </r>
  <r>
    <x v="4"/>
    <n v="64"/>
    <n v="29.158999999999999"/>
    <x v="197"/>
    <s v="10  100807"/>
    <n v="1947421"/>
    <n v="1.41E-2"/>
    <n v="1.7799999999999999E-3"/>
  </r>
  <r>
    <x v="4"/>
    <n v="65"/>
    <n v="29.231000000000002"/>
    <x v="108"/>
    <s v="9   83419"/>
    <n v="2291521"/>
    <n v="1.6500000000000001E-2"/>
    <n v="2.0999999999999999E-3"/>
  </r>
  <r>
    <x v="4"/>
    <n v="66"/>
    <n v="29.311"/>
    <x v="198"/>
    <s v="8   60339"/>
    <n v="1237598"/>
    <n v="8.8999999999999999E-3"/>
    <n v="1.1299999999999999E-3"/>
  </r>
  <r>
    <x v="4"/>
    <n v="67"/>
    <n v="29.428999999999998"/>
    <x v="110"/>
    <s v="8  139891"/>
    <n v="5242757"/>
    <n v="3.78E-2"/>
    <n v="4.7999999999999996E-3"/>
  </r>
  <r>
    <x v="4"/>
    <n v="68"/>
    <n v="29.462"/>
    <x v="111"/>
    <s v="4  117389"/>
    <n v="3423778"/>
    <n v="2.47E-2"/>
    <n v="3.13E-3"/>
  </r>
  <r>
    <x v="4"/>
    <n v="69"/>
    <n v="29.532"/>
    <x v="199"/>
    <s v="5  120723"/>
    <n v="3284386"/>
    <n v="2.3699999999999999E-2"/>
    <n v="3.0100000000000001E-3"/>
  </r>
  <r>
    <x v="4"/>
    <n v="70"/>
    <n v="29.617999999999999"/>
    <x v="113"/>
    <s v="10   62794"/>
    <n v="1178431"/>
    <n v="8.5000000000000006E-3"/>
    <n v="1.08E-3"/>
  </r>
  <r>
    <x v="4"/>
    <n v="71"/>
    <n v="29.667000000000002"/>
    <x v="114"/>
    <s v="9   65909"/>
    <n v="1330769"/>
    <n v="9.5999999999999992E-3"/>
    <n v="1.2199999999999999E-3"/>
  </r>
  <r>
    <x v="4"/>
    <n v="72"/>
    <n v="29.74"/>
    <x v="115"/>
    <n v="2639293"/>
    <n v="28870610"/>
    <n v="0.2084"/>
    <n v="2.6419999999999999E-2"/>
  </r>
  <r>
    <x v="4"/>
    <n v="73"/>
    <n v="29.838000000000001"/>
    <x v="116"/>
    <s v="8 1521992"/>
    <n v="24083610"/>
    <n v="0.17380000000000001"/>
    <n v="2.2040000000000001E-2"/>
  </r>
  <r>
    <x v="4"/>
    <n v="74"/>
    <n v="29.936"/>
    <x v="201"/>
    <s v="7   66615"/>
    <n v="1193816"/>
    <n v="8.6E-3"/>
    <n v="1.09E-3"/>
  </r>
  <r>
    <x v="4"/>
    <n v="75"/>
    <n v="30.012"/>
    <x v="118"/>
    <n v="375511"/>
    <n v="4791848"/>
    <n v="3.4599999999999999E-2"/>
    <n v="4.3899999999999998E-3"/>
  </r>
  <r>
    <x v="4"/>
    <n v="76"/>
    <n v="30.175000000000001"/>
    <x v="120"/>
    <n v="670206"/>
    <n v="6690754"/>
    <n v="4.8300000000000003E-2"/>
    <n v="6.1199999999999996E-3"/>
  </r>
  <r>
    <x v="4"/>
    <n v="77"/>
    <n v="30.466000000000001"/>
    <x v="265"/>
    <n v="846536"/>
    <n v="12529126"/>
    <n v="9.0399999999999994E-2"/>
    <n v="1.1469999999999999E-2"/>
  </r>
  <r>
    <x v="4"/>
    <n v="78"/>
    <n v="31.015000000000001"/>
    <x v="266"/>
    <n v="387830"/>
    <n v="7991928"/>
    <n v="5.7700000000000001E-2"/>
    <n v="7.3099999999999997E-3"/>
  </r>
  <r>
    <x v="4"/>
    <n v="79"/>
    <n v="31.300999999999998"/>
    <x v="267"/>
    <n v="53034"/>
    <n v="1739066"/>
    <n v="1.26E-2"/>
    <n v="1.5900000000000001E-3"/>
  </r>
  <r>
    <x v="4"/>
    <n v="80"/>
    <n v="31.366"/>
    <x v="268"/>
    <n v="54569"/>
    <n v="2290537"/>
    <n v="1.6500000000000001E-2"/>
    <n v="2.0999999999999999E-3"/>
  </r>
  <r>
    <x v="4"/>
    <n v="81"/>
    <n v="31.594000000000001"/>
    <x v="269"/>
    <n v="191568"/>
    <n v="4482738"/>
    <n v="3.2399999999999998E-2"/>
    <n v="4.1000000000000003E-3"/>
  </r>
  <r>
    <x v="4"/>
    <n v="82"/>
    <n v="31.699000000000002"/>
    <x v="270"/>
    <s v="6   69261"/>
    <n v="2151171"/>
    <n v="1.55E-2"/>
    <n v="1.97E-3"/>
  </r>
  <r>
    <x v="4"/>
    <n v="83"/>
    <n v="31.771999999999998"/>
    <x v="271"/>
    <s v="6   64892"/>
    <n v="2037064"/>
    <n v="1.47E-2"/>
    <n v="1.8600000000000001E-3"/>
  </r>
  <r>
    <x v="4"/>
    <n v="84"/>
    <n v="31.850999999999999"/>
    <x v="272"/>
    <s v="6   44492"/>
    <n v="1918939"/>
    <n v="1.3899999999999999E-2"/>
    <n v="1.7600000000000001E-3"/>
  </r>
  <r>
    <x v="4"/>
    <n v="85"/>
    <n v="31.984999999999999"/>
    <x v="128"/>
    <n v="1965102"/>
    <n v="31794300"/>
    <n v="0.22950000000000001"/>
    <n v="2.9100000000000001E-2"/>
  </r>
  <r>
    <x v="4"/>
    <n v="86"/>
    <n v="32.076999999999998"/>
    <x v="273"/>
    <n v="62809"/>
    <n v="2061069"/>
    <n v="1.49E-2"/>
    <n v="1.89E-3"/>
  </r>
  <r>
    <x v="4"/>
    <n v="87"/>
    <n v="32.168999999999997"/>
    <x v="274"/>
    <n v="37041"/>
    <n v="1155542"/>
    <n v="8.3000000000000001E-3"/>
    <n v="1.06E-3"/>
  </r>
  <r>
    <x v="4"/>
    <n v="88"/>
    <n v="32.280999999999999"/>
    <x v="275"/>
    <n v="85082"/>
    <n v="2690691"/>
    <n v="1.9400000000000001E-2"/>
    <n v="2.4599999999999999E-3"/>
  </r>
  <r>
    <x v="4"/>
    <n v="89"/>
    <n v="32.546999999999997"/>
    <x v="276"/>
    <n v="402351"/>
    <n v="10708678"/>
    <n v="7.7299999999999994E-2"/>
    <n v="9.7999999999999997E-3"/>
  </r>
  <r>
    <x v="4"/>
    <n v="90"/>
    <n v="32.726999999999997"/>
    <x v="131"/>
    <s v="4 8131645"/>
    <n v="137338480"/>
    <n v="0.99139999999999995"/>
    <n v="0.12569"/>
  </r>
  <r>
    <x v="4"/>
    <n v="91"/>
    <n v="33.097999999999999"/>
    <x v="132"/>
    <n v="619339"/>
    <n v="19068927"/>
    <n v="0.1376"/>
    <n v="1.745E-2"/>
  </r>
  <r>
    <x v="4"/>
    <n v="92"/>
    <n v="33.331000000000003"/>
    <x v="277"/>
    <n v="3836891"/>
    <n v="106454000"/>
    <n v="0.76839999999999997"/>
    <n v="9.7430000000000003E-2"/>
  </r>
  <r>
    <x v="4"/>
    <n v="93"/>
    <n v="33.533999999999999"/>
    <x v="278"/>
    <n v="311885"/>
    <n v="26273326"/>
    <n v="0.18970000000000001"/>
    <n v="2.4049999999999998E-2"/>
  </r>
  <r>
    <x v="4"/>
    <n v="94"/>
    <n v="33.685000000000002"/>
    <x v="176"/>
    <s v="A  3707082"/>
    <n v="81208873"/>
    <n v="0.58620000000000005"/>
    <n v="7.4319999999999997E-2"/>
  </r>
  <r>
    <x v="5"/>
    <n v="1"/>
    <n v="4.8840000000000003"/>
    <x v="279"/>
    <s v="9  430167"/>
    <n v="12555303"/>
    <n v="0.14169999999999999"/>
    <n v="2.5329999999999998E-2"/>
  </r>
  <r>
    <x v="5"/>
    <n v="2"/>
    <n v="6.109"/>
    <x v="138"/>
    <s v="9   38638"/>
    <n v="1541356"/>
    <n v="1.7399999999999999E-2"/>
    <n v="3.1099999999999999E-3"/>
  </r>
  <r>
    <x v="5"/>
    <n v="3"/>
    <n v="6.4889999999999999"/>
    <x v="13"/>
    <s v="4  147082"/>
    <n v="5671116"/>
    <n v="6.4000000000000001E-2"/>
    <n v="1.1440000000000001E-2"/>
  </r>
  <r>
    <x v="5"/>
    <n v="4"/>
    <n v="8.202"/>
    <x v="178"/>
    <s v="10   52006"/>
    <n v="1877053"/>
    <n v="2.12E-2"/>
    <n v="3.79E-3"/>
  </r>
  <r>
    <x v="5"/>
    <n v="5"/>
    <n v="8.2680000000000007"/>
    <x v="140"/>
    <s v="6   52564"/>
    <n v="2332035"/>
    <n v="2.63E-2"/>
    <n v="4.7099999999999998E-3"/>
  </r>
  <r>
    <x v="5"/>
    <n v="6"/>
    <n v="8.9250000000000007"/>
    <x v="21"/>
    <s v="6   38921"/>
    <n v="1506009"/>
    <n v="1.7000000000000001E-2"/>
    <n v="3.0400000000000002E-3"/>
  </r>
  <r>
    <x v="5"/>
    <n v="7"/>
    <n v="9.1850000000000005"/>
    <x v="142"/>
    <s v="5   93255"/>
    <n v="2888296"/>
    <n v="3.2599999999999997E-2"/>
    <n v="5.8300000000000001E-3"/>
  </r>
  <r>
    <x v="5"/>
    <n v="8"/>
    <n v="9.5109999999999992"/>
    <x v="26"/>
    <s v="5   35425"/>
    <n v="1194339"/>
    <n v="1.35E-2"/>
    <n v="2.4099999999999998E-3"/>
  </r>
  <r>
    <x v="5"/>
    <n v="9"/>
    <n v="9.6519999999999992"/>
    <x v="27"/>
    <s v="3  581555"/>
    <n v="19299536"/>
    <n v="0.21779999999999999"/>
    <n v="3.8940000000000002E-2"/>
  </r>
  <r>
    <x v="5"/>
    <n v="10"/>
    <n v="10.285"/>
    <x v="30"/>
    <s v="6   31379"/>
    <n v="1214526"/>
    <n v="1.37E-2"/>
    <n v="2.4499999999999999E-3"/>
  </r>
  <r>
    <x v="5"/>
    <n v="11"/>
    <n v="11.101000000000001"/>
    <x v="251"/>
    <s v="3   22793"/>
    <n v="1137900"/>
    <n v="1.2800000000000001E-2"/>
    <n v="2.3E-3"/>
  </r>
  <r>
    <x v="5"/>
    <n v="12"/>
    <n v="11.228999999999999"/>
    <x v="181"/>
    <s v="9   25452"/>
    <n v="1208399"/>
    <n v="1.3599999999999999E-2"/>
    <n v="2.4399999999999999E-3"/>
  </r>
  <r>
    <x v="5"/>
    <n v="13"/>
    <n v="11.412000000000001"/>
    <x v="38"/>
    <s v="9   33714"/>
    <n v="1830566"/>
    <n v="2.07E-2"/>
    <n v="3.6900000000000001E-3"/>
  </r>
  <r>
    <x v="5"/>
    <n v="14"/>
    <n v="11.750999999999999"/>
    <x v="41"/>
    <s v="9   30826"/>
    <n v="1060583"/>
    <n v="1.2E-2"/>
    <n v="2.14E-3"/>
  </r>
  <r>
    <x v="5"/>
    <n v="15"/>
    <n v="12.842000000000001"/>
    <x v="52"/>
    <s v="2 1312299"/>
    <n v="37951515"/>
    <n v="0.4284"/>
    <n v="7.6569999999999999E-2"/>
  </r>
  <r>
    <x v="5"/>
    <n v="16"/>
    <n v="13.032999999999999"/>
    <x v="280"/>
    <s v="2   50197"/>
    <n v="1727880"/>
    <n v="1.95E-2"/>
    <n v="3.49E-3"/>
  </r>
  <r>
    <x v="5"/>
    <n v="17"/>
    <n v="13.224"/>
    <x v="53"/>
    <s v="2   72745"/>
    <n v="2088153"/>
    <n v="2.3599999999999999E-2"/>
    <n v="4.2100000000000002E-3"/>
  </r>
  <r>
    <x v="5"/>
    <n v="18"/>
    <n v="14.523"/>
    <x v="61"/>
    <s v="10  100173"/>
    <n v="4871818"/>
    <n v="5.5E-2"/>
    <n v="9.8300000000000002E-3"/>
  </r>
  <r>
    <x v="5"/>
    <n v="19"/>
    <n v="14.832000000000001"/>
    <x v="63"/>
    <s v="10   42612"/>
    <n v="1534402"/>
    <n v="1.7299999999999999E-2"/>
    <n v="3.0999999999999999E-3"/>
  </r>
  <r>
    <x v="5"/>
    <n v="20"/>
    <n v="15.583"/>
    <x v="183"/>
    <s v="3   31630"/>
    <n v="1698269"/>
    <n v="1.9199999999999998E-2"/>
    <n v="3.4299999999999999E-3"/>
  </r>
  <r>
    <x v="5"/>
    <n v="21"/>
    <n v="15.714"/>
    <x v="151"/>
    <s v="10   39921"/>
    <n v="1293914"/>
    <n v="1.46E-2"/>
    <n v="2.6099999999999999E-3"/>
  </r>
  <r>
    <x v="5"/>
    <n v="22"/>
    <n v="15.874000000000001"/>
    <x v="281"/>
    <s v="5  772632"/>
    <n v="20533459"/>
    <n v="0.23180000000000001"/>
    <n v="4.1430000000000002E-2"/>
  </r>
  <r>
    <x v="5"/>
    <n v="23"/>
    <n v="16.661999999999999"/>
    <x v="71"/>
    <s v="3   70701"/>
    <n v="1983668"/>
    <n v="2.24E-2"/>
    <n v="4.0000000000000001E-3"/>
  </r>
  <r>
    <x v="5"/>
    <n v="24"/>
    <n v="16.763999999999999"/>
    <x v="72"/>
    <s v="9   41857"/>
    <n v="1280100"/>
    <n v="1.44E-2"/>
    <n v="2.5799999999999998E-3"/>
  </r>
  <r>
    <x v="5"/>
    <n v="25"/>
    <n v="17.062000000000001"/>
    <x v="282"/>
    <s v="2 1221536"/>
    <n v="81880628"/>
    <n v="0.92430000000000001"/>
    <n v="0.16521"/>
  </r>
  <r>
    <x v="5"/>
    <n v="26"/>
    <n v="17.454999999999998"/>
    <x v="76"/>
    <s v="6  640136"/>
    <n v="19296781"/>
    <n v="0.21779999999999999"/>
    <n v="3.8929999999999999E-2"/>
  </r>
  <r>
    <x v="5"/>
    <n v="27"/>
    <n v="17.562000000000001"/>
    <x v="186"/>
    <s v="6   59992"/>
    <n v="3029456"/>
    <n v="3.4200000000000001E-2"/>
    <n v="6.11E-3"/>
  </r>
  <r>
    <x v="5"/>
    <n v="28"/>
    <n v="17.710999999999999"/>
    <x v="154"/>
    <s v="8   32330"/>
    <n v="1495460"/>
    <n v="1.6899999999999998E-2"/>
    <n v="3.0200000000000001E-3"/>
  </r>
  <r>
    <x v="5"/>
    <n v="29"/>
    <n v="17.803000000000001"/>
    <x v="155"/>
    <s v="8   57143"/>
    <n v="1865540"/>
    <n v="2.1100000000000001E-2"/>
    <n v="3.7599999999999999E-3"/>
  </r>
  <r>
    <x v="5"/>
    <n v="30"/>
    <n v="17.916"/>
    <x v="80"/>
    <s v="8   58645"/>
    <n v="1990222"/>
    <n v="2.2499999999999999E-2"/>
    <n v="4.0200000000000001E-3"/>
  </r>
  <r>
    <x v="5"/>
    <n v="31"/>
    <n v="18.018000000000001"/>
    <x v="283"/>
    <s v="4   38289"/>
    <n v="1203650"/>
    <n v="1.3599999999999999E-2"/>
    <n v="2.4299999999999999E-3"/>
  </r>
  <r>
    <x v="5"/>
    <n v="32"/>
    <n v="18.061"/>
    <x v="235"/>
    <n v="45356"/>
    <n v="1334653"/>
    <n v="1.5100000000000001E-2"/>
    <n v="2.6900000000000001E-3"/>
  </r>
  <r>
    <x v="5"/>
    <n v="33"/>
    <n v="18.306999999999999"/>
    <x v="82"/>
    <s v="9   43285"/>
    <n v="1471387"/>
    <n v="1.66E-2"/>
    <n v="2.97E-3"/>
  </r>
  <r>
    <x v="5"/>
    <n v="34"/>
    <n v="18.431999999999999"/>
    <x v="284"/>
    <s v="9   26038"/>
    <n v="1147474"/>
    <n v="1.2999999999999999E-2"/>
    <n v="2.32E-3"/>
  </r>
  <r>
    <x v="5"/>
    <n v="35"/>
    <n v="18.728999999999999"/>
    <x v="160"/>
    <s v="8  118156"/>
    <n v="3700642"/>
    <n v="4.1799999999999997E-2"/>
    <n v="7.4700000000000001E-3"/>
  </r>
  <r>
    <x v="5"/>
    <n v="36"/>
    <n v="18.843"/>
    <x v="85"/>
    <s v="6  173255"/>
    <n v="5178365"/>
    <n v="5.8500000000000003E-2"/>
    <n v="1.0449999999999999E-2"/>
  </r>
  <r>
    <x v="5"/>
    <n v="37"/>
    <n v="19.408999999999999"/>
    <x v="285"/>
    <s v="6   42220"/>
    <n v="1367998"/>
    <n v="1.54E-2"/>
    <n v="2.7599999999999999E-3"/>
  </r>
  <r>
    <x v="5"/>
    <n v="38"/>
    <n v="19.568000000000001"/>
    <x v="286"/>
    <s v="6   32110"/>
    <n v="1068688"/>
    <n v="1.21E-2"/>
    <n v="2.16E-3"/>
  </r>
  <r>
    <x v="5"/>
    <n v="39"/>
    <n v="20.22"/>
    <x v="87"/>
    <s v="6  242739"/>
    <n v="7576095"/>
    <n v="8.5500000000000007E-2"/>
    <n v="1.529E-2"/>
  </r>
  <r>
    <x v="5"/>
    <n v="40"/>
    <n v="21.175000000000001"/>
    <x v="189"/>
    <s v="10   58840"/>
    <n v="1906404"/>
    <n v="2.1499999999999998E-2"/>
    <n v="3.8500000000000001E-3"/>
  </r>
  <r>
    <x v="5"/>
    <n v="41"/>
    <n v="21.402999999999999"/>
    <x v="89"/>
    <s v="10   76138"/>
    <n v="2355989"/>
    <n v="2.6599999999999999E-2"/>
    <n v="4.7499999999999999E-3"/>
  </r>
  <r>
    <x v="5"/>
    <n v="42"/>
    <n v="22.512"/>
    <x v="90"/>
    <s v="10   35639"/>
    <n v="1518804"/>
    <n v="1.7100000000000001E-2"/>
    <n v="3.0599999999999998E-3"/>
  </r>
  <r>
    <x v="5"/>
    <n v="43"/>
    <n v="23.48"/>
    <x v="93"/>
    <s v="6   44896"/>
    <n v="1394061"/>
    <n v="1.5699999999999999E-2"/>
    <n v="2.81E-3"/>
  </r>
  <r>
    <x v="5"/>
    <n v="44"/>
    <n v="23.667999999999999"/>
    <x v="94"/>
    <s v="8   52761"/>
    <n v="1323631"/>
    <n v="1.49E-2"/>
    <n v="2.6700000000000001E-3"/>
  </r>
  <r>
    <x v="5"/>
    <n v="45"/>
    <n v="23.923999999999999"/>
    <x v="191"/>
    <s v="9   53025"/>
    <n v="1682411"/>
    <n v="1.9E-2"/>
    <n v="3.3899999999999998E-3"/>
  </r>
  <r>
    <x v="5"/>
    <n v="46"/>
    <n v="26.021000000000001"/>
    <x v="193"/>
    <s v="9   38856"/>
    <n v="1261467"/>
    <n v="1.4200000000000001E-2"/>
    <n v="2.5500000000000002E-3"/>
  </r>
  <r>
    <x v="5"/>
    <n v="47"/>
    <n v="27.507999999999999"/>
    <x v="100"/>
    <s v="4   68384"/>
    <n v="1070530"/>
    <n v="1.21E-2"/>
    <n v="2.16E-3"/>
  </r>
  <r>
    <x v="5"/>
    <n v="48"/>
    <n v="27.666"/>
    <x v="195"/>
    <s v="9   37712"/>
    <n v="1189443"/>
    <n v="1.34E-2"/>
    <n v="2.3999999999999998E-3"/>
  </r>
  <r>
    <x v="5"/>
    <n v="49"/>
    <n v="28.481999999999999"/>
    <x v="101"/>
    <n v="2110720"/>
    <n v="33165459"/>
    <n v="0.37440000000000001"/>
    <n v="6.6919999999999993E-2"/>
  </r>
  <r>
    <x v="5"/>
    <n v="50"/>
    <n v="28.591999999999999"/>
    <x v="102"/>
    <s v="7   68958"/>
    <n v="2582114"/>
    <n v="2.9100000000000001E-2"/>
    <n v="5.2100000000000002E-3"/>
  </r>
  <r>
    <x v="5"/>
    <n v="51"/>
    <n v="28.733000000000001"/>
    <x v="104"/>
    <s v="2  375892"/>
    <n v="5840233"/>
    <n v="6.59E-2"/>
    <n v="1.1780000000000001E-2"/>
  </r>
  <r>
    <x v="5"/>
    <n v="52"/>
    <n v="28.891999999999999"/>
    <x v="105"/>
    <n v="812698"/>
    <n v="10235273"/>
    <n v="0.11550000000000001"/>
    <n v="2.0650000000000002E-2"/>
  </r>
  <r>
    <x v="5"/>
    <n v="53"/>
    <n v="29.047999999999998"/>
    <x v="106"/>
    <n v="7949319"/>
    <n v="88591139"/>
    <n v="0"/>
    <n v="0.17874999999999999"/>
  </r>
  <r>
    <x v="5"/>
    <n v="54"/>
    <n v="29.16"/>
    <x v="197"/>
    <s v="8   77245"/>
    <n v="1162353"/>
    <n v="1.3100000000000001E-2"/>
    <n v="2.3500000000000001E-3"/>
  </r>
  <r>
    <x v="5"/>
    <n v="55"/>
    <n v="29.231000000000002"/>
    <x v="108"/>
    <s v="8   68308"/>
    <n v="1396730"/>
    <n v="1.5800000000000002E-2"/>
    <n v="2.82E-3"/>
  </r>
  <r>
    <x v="5"/>
    <n v="56"/>
    <n v="29.43"/>
    <x v="110"/>
    <s v="8   40520"/>
    <n v="1095100"/>
    <n v="1.24E-2"/>
    <n v="2.2100000000000002E-3"/>
  </r>
  <r>
    <x v="5"/>
    <n v="57"/>
    <n v="29.466999999999999"/>
    <x v="167"/>
    <s v="4   49641"/>
    <n v="1347986"/>
    <n v="1.52E-2"/>
    <n v="2.7200000000000002E-3"/>
  </r>
  <r>
    <x v="5"/>
    <n v="58"/>
    <n v="29.742000000000001"/>
    <x v="115"/>
    <n v="734513"/>
    <n v="8727880"/>
    <n v="9.8500000000000004E-2"/>
    <n v="1.7610000000000001E-2"/>
  </r>
  <r>
    <x v="5"/>
    <n v="59"/>
    <n v="29.824999999999999"/>
    <x v="245"/>
    <s v="4  475132"/>
    <n v="5598108"/>
    <n v="6.3200000000000006E-2"/>
    <n v="1.1299999999999999E-2"/>
  </r>
  <r>
    <x v="5"/>
    <n v="60"/>
    <n v="29.888000000000002"/>
    <x v="117"/>
    <s v="3   62598"/>
    <n v="1521154"/>
    <n v="1.72E-2"/>
    <n v="3.0699999999999998E-3"/>
  </r>
  <r>
    <x v="5"/>
    <n v="61"/>
    <n v="30.452999999999999"/>
    <x v="287"/>
    <s v="3  116439"/>
    <n v="3465061"/>
    <n v="3.9100000000000003E-2"/>
    <n v="6.9899999999999997E-3"/>
  </r>
  <r>
    <x v="5"/>
    <n v="62"/>
    <n v="31.265999999999998"/>
    <x v="288"/>
    <s v="3  856191"/>
    <n v="27124802"/>
    <n v="0.30620000000000003"/>
    <n v="5.4730000000000001E-2"/>
  </r>
  <r>
    <x v="5"/>
    <n v="63"/>
    <n v="31.427"/>
    <x v="289"/>
    <s v="3   71983"/>
    <n v="2717534"/>
    <n v="3.0700000000000002E-2"/>
    <n v="5.4799999999999996E-3"/>
  </r>
  <r>
    <x v="5"/>
    <n v="64"/>
    <n v="31.51"/>
    <x v="290"/>
    <s v="9   52520"/>
    <n v="1160399"/>
    <n v="1.3100000000000001E-2"/>
    <n v="2.3400000000000001E-3"/>
  </r>
  <r>
    <x v="5"/>
    <n v="65"/>
    <n v="31.593"/>
    <x v="269"/>
    <s v="10   46111"/>
    <n v="2064338"/>
    <n v="2.3300000000000001E-2"/>
    <n v="4.1700000000000001E-3"/>
  </r>
  <r>
    <x v="5"/>
    <n v="66"/>
    <n v="31.693999999999999"/>
    <x v="126"/>
    <s v="7   45627"/>
    <n v="1061746"/>
    <n v="1.2E-2"/>
    <n v="2.14E-3"/>
  </r>
  <r>
    <x v="5"/>
    <n v="67"/>
    <n v="31.757000000000001"/>
    <x v="291"/>
    <s v="6   49731"/>
    <n v="1053183"/>
    <n v="1.1900000000000001E-2"/>
    <n v="2.1199999999999999E-3"/>
  </r>
  <r>
    <x v="5"/>
    <n v="68"/>
    <n v="31.817"/>
    <x v="292"/>
    <s v="6   63439"/>
    <n v="2711531"/>
    <n v="3.0599999999999999E-2"/>
    <n v="5.47E-3"/>
  </r>
  <r>
    <x v="5"/>
    <n v="69"/>
    <n v="31.986000000000001"/>
    <x v="128"/>
    <n v="190665"/>
    <n v="4842807"/>
    <n v="5.4699999999999999E-2"/>
    <n v="9.7699999999999992E-3"/>
  </r>
  <r>
    <x v="5"/>
    <n v="70"/>
    <n v="32.210999999999999"/>
    <x v="293"/>
    <n v="74710"/>
    <n v="3177210"/>
    <n v="3.5900000000000001E-2"/>
    <n v="6.4099999999999999E-3"/>
  </r>
  <r>
    <x v="5"/>
    <n v="71"/>
    <n v="32.737000000000002"/>
    <x v="173"/>
    <s v="3   58595"/>
    <n v="1798987"/>
    <n v="2.0299999999999999E-2"/>
    <n v="3.63E-3"/>
  </r>
  <r>
    <x v="5"/>
    <n v="72"/>
    <n v="33.1"/>
    <x v="132"/>
    <n v="130897"/>
    <n v="4157751"/>
    <n v="4.6899999999999997E-2"/>
    <n v="8.3899999999999999E-3"/>
  </r>
  <r>
    <x v="5"/>
    <n v="73"/>
    <n v="33.713000000000001"/>
    <x v="294"/>
    <n v="42807"/>
    <n v="1430889"/>
    <n v="1.6199999999999999E-2"/>
    <n v="2.8900000000000002E-3"/>
  </r>
  <r>
    <x v="6"/>
    <n v="1"/>
    <n v="4.8869999999999996"/>
    <x v="133"/>
    <s v="9  775598"/>
    <n v="21748622"/>
    <n v="0.13320000000000001"/>
    <n v="3.4950000000000002E-2"/>
  </r>
  <r>
    <x v="6"/>
    <n v="2"/>
    <n v="5.2060000000000004"/>
    <x v="295"/>
    <s v="9   66162"/>
    <n v="2638687"/>
    <n v="1.6199999999999999E-2"/>
    <n v="4.2399999999999998E-3"/>
  </r>
  <r>
    <x v="6"/>
    <n v="3"/>
    <n v="5.3040000000000003"/>
    <x v="296"/>
    <s v="9   41951"/>
    <n v="1221381"/>
    <n v="7.4999999999999997E-3"/>
    <n v="1.9599999999999999E-3"/>
  </r>
  <r>
    <x v="6"/>
    <n v="4"/>
    <n v="5.3550000000000004"/>
    <x v="297"/>
    <s v="9   28825"/>
    <n v="1268175"/>
    <n v="7.7999999999999996E-3"/>
    <n v="2.0400000000000001E-3"/>
  </r>
  <r>
    <x v="6"/>
    <n v="5"/>
    <n v="6.1070000000000002"/>
    <x v="138"/>
    <s v="9   41608"/>
    <n v="1002829"/>
    <n v="6.1000000000000004E-3"/>
    <n v="1.6100000000000001E-3"/>
  </r>
  <r>
    <x v="6"/>
    <n v="6"/>
    <n v="6.4939999999999998"/>
    <x v="13"/>
    <s v="4  134246"/>
    <n v="4473856"/>
    <n v="2.7400000000000001E-2"/>
    <n v="7.1900000000000002E-3"/>
  </r>
  <r>
    <x v="6"/>
    <n v="7"/>
    <n v="8.2650000000000006"/>
    <x v="140"/>
    <s v="4   71480"/>
    <n v="3928087"/>
    <n v="2.41E-2"/>
    <n v="6.3099999999999996E-3"/>
  </r>
  <r>
    <x v="6"/>
    <n v="8"/>
    <n v="8.9269999999999996"/>
    <x v="21"/>
    <s v="10   36647"/>
    <n v="1678559"/>
    <n v="1.03E-2"/>
    <n v="2.7000000000000001E-3"/>
  </r>
  <r>
    <x v="6"/>
    <n v="9"/>
    <n v="9.1880000000000006"/>
    <x v="142"/>
    <s v="5   83505"/>
    <n v="2412684"/>
    <n v="1.4800000000000001E-2"/>
    <n v="3.8800000000000002E-3"/>
  </r>
  <r>
    <x v="6"/>
    <n v="10"/>
    <n v="9.2590000000000003"/>
    <x v="24"/>
    <s v="10   62809"/>
    <n v="2930853"/>
    <n v="1.7999999999999999E-2"/>
    <n v="4.7099999999999998E-3"/>
  </r>
  <r>
    <x v="6"/>
    <n v="11"/>
    <n v="9.5139999999999993"/>
    <x v="26"/>
    <s v="10   30578"/>
    <n v="1337002"/>
    <n v="8.2000000000000007E-3"/>
    <n v="2.15E-3"/>
  </r>
  <r>
    <x v="6"/>
    <n v="12"/>
    <n v="9.6560000000000006"/>
    <x v="211"/>
    <s v="4  519883"/>
    <n v="16295903"/>
    <n v="9.98E-2"/>
    <n v="2.6190000000000001E-2"/>
  </r>
  <r>
    <x v="6"/>
    <n v="13"/>
    <n v="9.8249999999999993"/>
    <x v="180"/>
    <n v="304581"/>
    <n v="10445741"/>
    <n v="6.4000000000000001E-2"/>
    <n v="1.6789999999999999E-2"/>
  </r>
  <r>
    <x v="6"/>
    <n v="14"/>
    <n v="10.297000000000001"/>
    <x v="298"/>
    <s v="7   33613"/>
    <n v="1223854"/>
    <n v="7.4999999999999997E-3"/>
    <n v="1.97E-3"/>
  </r>
  <r>
    <x v="6"/>
    <n v="15"/>
    <n v="10.58"/>
    <x v="299"/>
    <s v="6   30920"/>
    <n v="1416036"/>
    <n v="8.6999999999999994E-3"/>
    <n v="2.2799999999999999E-3"/>
  </r>
  <r>
    <x v="6"/>
    <n v="16"/>
    <n v="11.086"/>
    <x v="36"/>
    <s v="3   31937"/>
    <n v="1437042"/>
    <n v="8.8000000000000005E-3"/>
    <n v="2.31E-3"/>
  </r>
  <r>
    <x v="6"/>
    <n v="17"/>
    <n v="11.22"/>
    <x v="37"/>
    <s v="9   43350"/>
    <n v="1491403"/>
    <n v="9.1000000000000004E-3"/>
    <n v="2.3999999999999998E-3"/>
  </r>
  <r>
    <x v="6"/>
    <n v="18"/>
    <n v="11.271000000000001"/>
    <x v="300"/>
    <s v="9   38942"/>
    <n v="1396631"/>
    <n v="8.6E-3"/>
    <n v="2.2399999999999998E-3"/>
  </r>
  <r>
    <x v="6"/>
    <n v="19"/>
    <n v="11.412000000000001"/>
    <x v="38"/>
    <s v="9   29705"/>
    <n v="1014121"/>
    <n v="6.1999999999999998E-3"/>
    <n v="1.6299999999999999E-3"/>
  </r>
  <r>
    <x v="6"/>
    <n v="20"/>
    <n v="11.631"/>
    <x v="217"/>
    <s v="4   44310"/>
    <n v="1854165"/>
    <n v="1.14E-2"/>
    <n v="2.98E-3"/>
  </r>
  <r>
    <x v="6"/>
    <n v="21"/>
    <n v="12.706"/>
    <x v="146"/>
    <s v="4   33281"/>
    <n v="1083257"/>
    <n v="6.6E-3"/>
    <n v="1.74E-3"/>
  </r>
  <r>
    <x v="6"/>
    <n v="22"/>
    <n v="12.843"/>
    <x v="52"/>
    <s v="2 1136720"/>
    <n v="33201203"/>
    <n v="0.20330000000000001"/>
    <n v="5.3350000000000002E-2"/>
  </r>
  <r>
    <x v="6"/>
    <n v="23"/>
    <n v="13.226000000000001"/>
    <x v="147"/>
    <s v="2   41510"/>
    <n v="1274368"/>
    <n v="7.7999999999999996E-3"/>
    <n v="2.0500000000000002E-3"/>
  </r>
  <r>
    <x v="6"/>
    <n v="24"/>
    <n v="14.526999999999999"/>
    <x v="301"/>
    <s v="8   82199"/>
    <n v="2442523"/>
    <n v="1.4999999999999999E-2"/>
    <n v="3.9199999999999999E-3"/>
  </r>
  <r>
    <x v="6"/>
    <n v="25"/>
    <n v="14.579000000000001"/>
    <x v="302"/>
    <s v="6   94689"/>
    <n v="3726279"/>
    <n v="2.2800000000000001E-2"/>
    <n v="5.9899999999999997E-3"/>
  </r>
  <r>
    <x v="6"/>
    <n v="26"/>
    <n v="15.045999999999999"/>
    <x v="303"/>
    <s v="6   34610"/>
    <n v="1724334"/>
    <n v="1.06E-2"/>
    <n v="2.7699999999999999E-3"/>
  </r>
  <r>
    <x v="6"/>
    <n v="27"/>
    <n v="15.272"/>
    <x v="65"/>
    <s v="6   37368"/>
    <n v="1040288"/>
    <n v="6.4000000000000003E-3"/>
    <n v="1.67E-3"/>
  </r>
  <r>
    <x v="6"/>
    <n v="28"/>
    <n v="15.34"/>
    <x v="66"/>
    <s v="4  120276"/>
    <n v="3491790"/>
    <n v="2.1399999999999999E-2"/>
    <n v="5.6100000000000004E-3"/>
  </r>
  <r>
    <x v="6"/>
    <n v="29"/>
    <n v="15.465999999999999"/>
    <x v="182"/>
    <s v="8   37888"/>
    <n v="1268014"/>
    <n v="7.7999999999999996E-3"/>
    <n v="2.0400000000000001E-3"/>
  </r>
  <r>
    <x v="6"/>
    <n v="30"/>
    <n v="15.708"/>
    <x v="151"/>
    <s v="8   47264"/>
    <n v="2061737"/>
    <n v="1.26E-2"/>
    <n v="3.31E-3"/>
  </r>
  <r>
    <x v="6"/>
    <n v="31"/>
    <n v="15.875999999999999"/>
    <x v="69"/>
    <s v="4  337338"/>
    <n v="9633324"/>
    <n v="5.8999999999999997E-2"/>
    <n v="1.5480000000000001E-2"/>
  </r>
  <r>
    <x v="6"/>
    <n v="32"/>
    <n v="16.66"/>
    <x v="71"/>
    <s v="2  265313"/>
    <n v="6907776"/>
    <n v="4.2299999999999997E-2"/>
    <n v="1.11E-2"/>
  </r>
  <r>
    <x v="6"/>
    <n v="33"/>
    <n v="16.765000000000001"/>
    <x v="184"/>
    <s v="9  147880"/>
    <n v="3919734"/>
    <n v="2.4E-2"/>
    <n v="6.3E-3"/>
  </r>
  <r>
    <x v="6"/>
    <n v="34"/>
    <n v="17.146999999999998"/>
    <x v="304"/>
    <s v="2 1721451"/>
    <n v="163277385"/>
    <n v="0"/>
    <n v="0.26236999999999999"/>
  </r>
  <r>
    <x v="6"/>
    <n v="35"/>
    <n v="17.459"/>
    <x v="76"/>
    <s v="6  408055"/>
    <n v="13275449"/>
    <n v="8.1299999999999997E-2"/>
    <n v="2.1329999999999998E-2"/>
  </r>
  <r>
    <x v="6"/>
    <n v="36"/>
    <n v="17.71"/>
    <x v="154"/>
    <s v="7   38706"/>
    <n v="1187467"/>
    <n v="7.3000000000000001E-3"/>
    <n v="1.91E-3"/>
  </r>
  <r>
    <x v="6"/>
    <n v="37"/>
    <n v="17.803000000000001"/>
    <x v="155"/>
    <s v="10   81797"/>
    <n v="2105218"/>
    <n v="1.29E-2"/>
    <n v="3.3800000000000002E-3"/>
  </r>
  <r>
    <x v="6"/>
    <n v="38"/>
    <n v="18.055"/>
    <x v="235"/>
    <s v="2  102457"/>
    <n v="3831391"/>
    <n v="2.35E-2"/>
    <n v="6.1599999999999997E-3"/>
  </r>
  <r>
    <x v="6"/>
    <n v="39"/>
    <n v="18.305"/>
    <x v="82"/>
    <s v="9   79897"/>
    <n v="2281552"/>
    <n v="1.4E-2"/>
    <n v="3.6700000000000001E-3"/>
  </r>
  <r>
    <x v="6"/>
    <n v="40"/>
    <n v="18.728000000000002"/>
    <x v="160"/>
    <s v="7   60094"/>
    <n v="1842583"/>
    <n v="1.1299999999999999E-2"/>
    <n v="2.96E-3"/>
  </r>
  <r>
    <x v="6"/>
    <n v="41"/>
    <n v="18.841999999999999"/>
    <x v="85"/>
    <s v="4  185706"/>
    <n v="4402272"/>
    <n v="2.7E-2"/>
    <n v="7.0699999999999999E-3"/>
  </r>
  <r>
    <x v="6"/>
    <n v="42"/>
    <n v="20.225000000000001"/>
    <x v="237"/>
    <s v="10   92483"/>
    <n v="2848831"/>
    <n v="1.7399999999999999E-2"/>
    <n v="4.5799999999999999E-3"/>
  </r>
  <r>
    <x v="6"/>
    <n v="43"/>
    <n v="20.882999999999999"/>
    <x v="239"/>
    <s v="10   26634"/>
    <n v="1087277"/>
    <n v="6.7000000000000002E-3"/>
    <n v="1.75E-3"/>
  </r>
  <r>
    <x v="6"/>
    <n v="44"/>
    <n v="20.969000000000001"/>
    <x v="162"/>
    <s v="10   79166"/>
    <n v="2151807"/>
    <n v="1.32E-2"/>
    <n v="3.46E-3"/>
  </r>
  <r>
    <x v="6"/>
    <n v="45"/>
    <n v="21.172000000000001"/>
    <x v="259"/>
    <s v="10   39250"/>
    <n v="1524032"/>
    <n v="9.2999999999999992E-3"/>
    <n v="2.4499999999999999E-3"/>
  </r>
  <r>
    <x v="6"/>
    <n v="46"/>
    <n v="21.4"/>
    <x v="89"/>
    <s v="10   61666"/>
    <n v="2134778"/>
    <n v="1.3100000000000001E-2"/>
    <n v="3.4299999999999999E-3"/>
  </r>
  <r>
    <x v="6"/>
    <n v="47"/>
    <n v="22.509"/>
    <x v="90"/>
    <s v="10   40002"/>
    <n v="1071739"/>
    <n v="6.6E-3"/>
    <n v="1.72E-3"/>
  </r>
  <r>
    <x v="6"/>
    <n v="48"/>
    <n v="23.475999999999999"/>
    <x v="93"/>
    <s v="6  153900"/>
    <n v="3817384"/>
    <n v="2.3400000000000001E-2"/>
    <n v="6.13E-3"/>
  </r>
  <r>
    <x v="6"/>
    <n v="49"/>
    <n v="23.664999999999999"/>
    <x v="94"/>
    <s v="6   84746"/>
    <n v="2256598"/>
    <n v="1.38E-2"/>
    <n v="3.63E-3"/>
  </r>
  <r>
    <x v="6"/>
    <n v="50"/>
    <n v="23.914999999999999"/>
    <x v="191"/>
    <s v="10   48905"/>
    <n v="1430232"/>
    <n v="8.8000000000000005E-3"/>
    <n v="2.3E-3"/>
  </r>
  <r>
    <x v="6"/>
    <n v="51"/>
    <n v="24.041"/>
    <x v="96"/>
    <s v="3   76859"/>
    <n v="1897469"/>
    <n v="1.1599999999999999E-2"/>
    <n v="3.0500000000000002E-3"/>
  </r>
  <r>
    <x v="6"/>
    <n v="52"/>
    <n v="24.259"/>
    <x v="97"/>
    <s v="8   59638"/>
    <n v="1433603"/>
    <n v="8.8000000000000005E-3"/>
    <n v="2.3E-3"/>
  </r>
  <r>
    <x v="6"/>
    <n v="53"/>
    <n v="25.375"/>
    <x v="192"/>
    <s v="8   39669"/>
    <n v="1906658"/>
    <n v="1.17E-2"/>
    <n v="3.0599999999999998E-3"/>
  </r>
  <r>
    <x v="6"/>
    <n v="54"/>
    <n v="25.850999999999999"/>
    <x v="163"/>
    <s v="8   63099"/>
    <n v="1786353"/>
    <n v="1.09E-2"/>
    <n v="2.8700000000000002E-3"/>
  </r>
  <r>
    <x v="6"/>
    <n v="55"/>
    <n v="26.018999999999998"/>
    <x v="193"/>
    <s v="8   41337"/>
    <n v="1400797"/>
    <n v="8.6E-3"/>
    <n v="2.2499999999999998E-3"/>
  </r>
  <r>
    <x v="6"/>
    <n v="56"/>
    <n v="26.283000000000001"/>
    <x v="305"/>
    <s v="9   39625"/>
    <n v="1339848"/>
    <n v="8.2000000000000007E-3"/>
    <n v="2.15E-3"/>
  </r>
  <r>
    <x v="6"/>
    <n v="57"/>
    <n v="27.119"/>
    <x v="241"/>
    <s v="8   33216"/>
    <n v="1136333"/>
    <n v="7.0000000000000001E-3"/>
    <n v="1.83E-3"/>
  </r>
  <r>
    <x v="6"/>
    <n v="58"/>
    <n v="27.428000000000001"/>
    <x v="99"/>
    <s v="10   73924"/>
    <n v="1252852"/>
    <n v="7.7000000000000002E-3"/>
    <n v="2.0100000000000001E-3"/>
  </r>
  <r>
    <x v="6"/>
    <n v="59"/>
    <n v="27.506"/>
    <x v="100"/>
    <s v="2  206972"/>
    <n v="3314135"/>
    <n v="2.0299999999999999E-2"/>
    <n v="5.3299999999999997E-3"/>
  </r>
  <r>
    <x v="6"/>
    <n v="60"/>
    <n v="27.663"/>
    <x v="306"/>
    <s v="9   85153"/>
    <n v="1874737"/>
    <n v="1.15E-2"/>
    <n v="3.0100000000000001E-3"/>
  </r>
  <r>
    <x v="6"/>
    <n v="61"/>
    <n v="28.481000000000002"/>
    <x v="101"/>
    <n v="2725250"/>
    <n v="37369962"/>
    <n v="0.22889999999999999"/>
    <n v="6.0049999999999999E-2"/>
  </r>
  <r>
    <x v="6"/>
    <n v="62"/>
    <n v="28.594999999999999"/>
    <x v="242"/>
    <s v="7   82856"/>
    <n v="2919541"/>
    <n v="1.7899999999999999E-2"/>
    <n v="4.6899999999999997E-3"/>
  </r>
  <r>
    <x v="6"/>
    <n v="63"/>
    <n v="28.731999999999999"/>
    <x v="104"/>
    <s v="3  481262"/>
    <n v="7754463"/>
    <n v="4.7500000000000001E-2"/>
    <n v="1.2460000000000001E-2"/>
  </r>
  <r>
    <x v="6"/>
    <n v="64"/>
    <n v="28.891999999999999"/>
    <x v="105"/>
    <n v="1057274"/>
    <n v="13361797"/>
    <n v="8.1799999999999998E-2"/>
    <n v="2.147E-2"/>
  </r>
  <r>
    <x v="6"/>
    <n v="65"/>
    <n v="29.048999999999999"/>
    <x v="106"/>
    <n v="9944478"/>
    <n v="109356804"/>
    <n v="0.66979999999999995"/>
    <n v="0.17573"/>
  </r>
  <r>
    <x v="6"/>
    <n v="66"/>
    <n v="29.16"/>
    <x v="197"/>
    <s v="10  125665"/>
    <n v="2160015"/>
    <n v="1.32E-2"/>
    <n v="3.47E-3"/>
  </r>
  <r>
    <x v="6"/>
    <n v="67"/>
    <n v="29.231000000000002"/>
    <x v="108"/>
    <s v="9  158942"/>
    <n v="4704586"/>
    <n v="2.8799999999999999E-2"/>
    <n v="7.5599999999999999E-3"/>
  </r>
  <r>
    <x v="6"/>
    <n v="68"/>
    <n v="29.422999999999998"/>
    <x v="166"/>
    <s v="9   66370"/>
    <n v="2028273"/>
    <n v="1.24E-2"/>
    <n v="3.2599999999999999E-3"/>
  </r>
  <r>
    <x v="6"/>
    <n v="69"/>
    <n v="29.463000000000001"/>
    <x v="111"/>
    <s v="6   91669"/>
    <n v="2543900"/>
    <n v="1.5599999999999999E-2"/>
    <n v="4.0899999999999999E-3"/>
  </r>
  <r>
    <x v="6"/>
    <n v="70"/>
    <n v="29.617999999999999"/>
    <x v="113"/>
    <s v="6   53917"/>
    <n v="1400370"/>
    <n v="8.6E-3"/>
    <n v="2.2499999999999998E-3"/>
  </r>
  <r>
    <x v="6"/>
    <n v="71"/>
    <n v="29.741"/>
    <x v="115"/>
    <n v="1100255"/>
    <n v="13538089"/>
    <n v="8.2900000000000001E-2"/>
    <n v="2.1749999999999999E-2"/>
  </r>
  <r>
    <x v="6"/>
    <n v="72"/>
    <n v="29.826000000000001"/>
    <x v="245"/>
    <s v="7 1212201"/>
    <n v="14072041"/>
    <n v="8.6199999999999999E-2"/>
    <n v="2.2610000000000002E-2"/>
  </r>
  <r>
    <x v="6"/>
    <n v="73"/>
    <n v="29.882000000000001"/>
    <x v="307"/>
    <s v="3  113876"/>
    <n v="3334296"/>
    <n v="2.0400000000000001E-2"/>
    <n v="5.3600000000000002E-3"/>
  </r>
  <r>
    <x v="6"/>
    <n v="74"/>
    <n v="29.934000000000001"/>
    <x v="308"/>
    <s v="6   78037"/>
    <n v="1197255"/>
    <n v="7.3000000000000001E-3"/>
    <n v="1.92E-3"/>
  </r>
  <r>
    <x v="6"/>
    <n v="75"/>
    <n v="30.015000000000001"/>
    <x v="309"/>
    <s v="2   57167"/>
    <n v="1244290"/>
    <n v="7.6E-3"/>
    <n v="2E-3"/>
  </r>
  <r>
    <x v="6"/>
    <n v="76"/>
    <n v="30.11"/>
    <x v="119"/>
    <s v="10   58978"/>
    <n v="1376249"/>
    <n v="8.3999999999999995E-3"/>
    <n v="2.2100000000000002E-3"/>
  </r>
  <r>
    <x v="6"/>
    <n v="77"/>
    <n v="30.175000000000001"/>
    <x v="120"/>
    <n v="124462"/>
    <n v="1658275"/>
    <n v="1.0200000000000001E-2"/>
    <n v="2.66E-3"/>
  </r>
  <r>
    <x v="6"/>
    <n v="78"/>
    <n v="30.254999999999999"/>
    <x v="310"/>
    <s v="5   41547"/>
    <n v="1189159"/>
    <n v="7.3000000000000001E-3"/>
    <n v="1.91E-3"/>
  </r>
  <r>
    <x v="6"/>
    <n v="79"/>
    <n v="31.986999999999998"/>
    <x v="128"/>
    <n v="185879"/>
    <n v="4276339"/>
    <n v="2.6200000000000001E-2"/>
    <n v="6.8700000000000002E-3"/>
  </r>
  <r>
    <x v="6"/>
    <n v="80"/>
    <n v="32.734000000000002"/>
    <x v="131"/>
    <s v="3   72368"/>
    <n v="2633379"/>
    <n v="1.61E-2"/>
    <n v="4.2300000000000003E-3"/>
  </r>
  <r>
    <x v="6"/>
    <n v="81"/>
    <n v="33.1"/>
    <x v="132"/>
    <n v="253635"/>
    <n v="9638832"/>
    <n v="5.8999999999999997E-2"/>
    <n v="1.549E-2"/>
  </r>
  <r>
    <x v="6"/>
    <n v="82"/>
    <n v="33.347999999999999"/>
    <x v="311"/>
    <n v="42568"/>
    <n v="1591861"/>
    <n v="9.7000000000000003E-3"/>
    <n v="2.5600000000000002E-3"/>
  </r>
  <r>
    <x v="6"/>
    <n v="83"/>
    <n v="33.692"/>
    <x v="176"/>
    <n v="73899"/>
    <n v="2108103"/>
    <n v="1.29E-2"/>
    <n v="3.3899999999999998E-3"/>
  </r>
  <r>
    <x v="7"/>
    <n v="1"/>
    <n v="4.8970000000000002"/>
    <x v="4"/>
    <s v="8  321720"/>
    <n v="9808696"/>
    <n v="8.9599999999999999E-2"/>
    <n v="8.3300000000000006E-3"/>
  </r>
  <r>
    <x v="7"/>
    <n v="2"/>
    <n v="5.94"/>
    <x v="312"/>
    <s v="8   54138"/>
    <n v="2764599"/>
    <n v="2.53E-2"/>
    <n v="2.3500000000000001E-3"/>
  </r>
  <r>
    <x v="7"/>
    <n v="3"/>
    <n v="6.101"/>
    <x v="11"/>
    <s v="8   46451"/>
    <n v="1460202"/>
    <n v="1.3299999999999999E-2"/>
    <n v="1.24E-3"/>
  </r>
  <r>
    <x v="7"/>
    <n v="4"/>
    <n v="6.27"/>
    <x v="177"/>
    <s v="3   32669"/>
    <n v="1154742"/>
    <n v="1.06E-2"/>
    <n v="9.7999999999999997E-4"/>
  </r>
  <r>
    <x v="7"/>
    <n v="5"/>
    <n v="6.4980000000000002"/>
    <x v="313"/>
    <s v="4  117081"/>
    <n v="4013294"/>
    <n v="3.6700000000000003E-2"/>
    <n v="3.4099999999999998E-3"/>
  </r>
  <r>
    <x v="7"/>
    <n v="6"/>
    <n v="7.1210000000000004"/>
    <x v="14"/>
    <s v="3   26808"/>
    <n v="1292976"/>
    <n v="1.18E-2"/>
    <n v="1.1000000000000001E-3"/>
  </r>
  <r>
    <x v="7"/>
    <n v="7"/>
    <n v="8.1159999999999997"/>
    <x v="17"/>
    <s v="2  128806"/>
    <n v="4079905"/>
    <n v="3.73E-2"/>
    <n v="3.46E-3"/>
  </r>
  <r>
    <x v="7"/>
    <n v="8"/>
    <n v="8.2279999999999998"/>
    <x v="314"/>
    <s v="9  210652"/>
    <n v="9308401"/>
    <n v="8.5099999999999995E-2"/>
    <n v="7.9000000000000008E-3"/>
  </r>
  <r>
    <x v="7"/>
    <n v="9"/>
    <n v="8.6349999999999998"/>
    <x v="20"/>
    <s v="9   94060"/>
    <n v="3986774"/>
    <n v="3.6400000000000002E-2"/>
    <n v="3.3899999999999998E-3"/>
  </r>
  <r>
    <x v="7"/>
    <n v="10"/>
    <n v="8.7729999999999997"/>
    <x v="315"/>
    <s v="9   49947"/>
    <n v="2340638"/>
    <n v="2.1399999999999999E-2"/>
    <n v="1.99E-3"/>
  </r>
  <r>
    <x v="7"/>
    <n v="11"/>
    <n v="8.9179999999999993"/>
    <x v="179"/>
    <s v="9  108347"/>
    <n v="5696975"/>
    <n v="5.21E-2"/>
    <n v="4.8399999999999997E-3"/>
  </r>
  <r>
    <x v="7"/>
    <n v="12"/>
    <n v="9.1950000000000003"/>
    <x v="316"/>
    <s v="8  317007"/>
    <n v="24702201"/>
    <n v="0.22570000000000001"/>
    <n v="2.0979999999999999E-2"/>
  </r>
  <r>
    <x v="7"/>
    <n v="13"/>
    <n v="9.3089999999999993"/>
    <x v="317"/>
    <s v="8  101459"/>
    <n v="7565477"/>
    <n v="6.9099999999999995E-2"/>
    <n v="6.4200000000000004E-3"/>
  </r>
  <r>
    <x v="7"/>
    <n v="14"/>
    <n v="9.5129999999999999"/>
    <x v="26"/>
    <s v="8  119208"/>
    <n v="5727207"/>
    <n v="5.2299999999999999E-2"/>
    <n v="4.8599999999999997E-3"/>
  </r>
  <r>
    <x v="7"/>
    <n v="15"/>
    <n v="9.5790000000000006"/>
    <x v="318"/>
    <s v="6   94266"/>
    <n v="2741039"/>
    <n v="2.5000000000000001E-2"/>
    <n v="2.33E-3"/>
  </r>
  <r>
    <x v="7"/>
    <n v="16"/>
    <n v="9.6590000000000007"/>
    <x v="211"/>
    <s v="5  461113"/>
    <n v="16195795"/>
    <n v="0.14799999999999999"/>
    <n v="1.375E-2"/>
  </r>
  <r>
    <x v="7"/>
    <n v="17"/>
    <n v="9.8379999999999992"/>
    <x v="319"/>
    <n v="106690"/>
    <n v="5953767"/>
    <n v="5.4399999999999997E-2"/>
    <n v="5.0600000000000003E-3"/>
  </r>
  <r>
    <x v="7"/>
    <n v="18"/>
    <n v="9.9390000000000001"/>
    <x v="320"/>
    <n v="69145"/>
    <n v="3031035"/>
    <n v="2.7699999999999999E-2"/>
    <n v="2.5699999999999998E-3"/>
  </r>
  <r>
    <x v="7"/>
    <n v="19"/>
    <n v="10.048999999999999"/>
    <x v="321"/>
    <n v="78973"/>
    <n v="4210143"/>
    <n v="3.85E-2"/>
    <n v="3.5799999999999998E-3"/>
  </r>
  <r>
    <x v="7"/>
    <n v="20"/>
    <n v="10.196999999999999"/>
    <x v="322"/>
    <n v="105698"/>
    <n v="6075028"/>
    <n v="5.5500000000000001E-2"/>
    <n v="5.1599999999999997E-3"/>
  </r>
  <r>
    <x v="7"/>
    <n v="21"/>
    <n v="10.291"/>
    <x v="30"/>
    <s v="6  528042"/>
    <n v="23621018"/>
    <n v="0.21590000000000001"/>
    <n v="2.0060000000000001E-2"/>
  </r>
  <r>
    <x v="7"/>
    <n v="22"/>
    <n v="10.409000000000001"/>
    <x v="323"/>
    <s v="4  110713"/>
    <n v="3059305"/>
    <n v="2.8000000000000001E-2"/>
    <n v="2.5999999999999999E-3"/>
  </r>
  <r>
    <x v="7"/>
    <n v="23"/>
    <n v="10.585000000000001"/>
    <x v="33"/>
    <s v="6 1197360"/>
    <n v="98510925"/>
    <n v="0.90029999999999999"/>
    <n v="8.3659999999999998E-2"/>
  </r>
  <r>
    <x v="7"/>
    <n v="24"/>
    <n v="10.753"/>
    <x v="324"/>
    <s v="5  553309"/>
    <n v="52994703"/>
    <n v="0.48430000000000001"/>
    <n v="4.4999999999999998E-2"/>
  </r>
  <r>
    <x v="7"/>
    <n v="25"/>
    <n v="10.95"/>
    <x v="325"/>
    <s v="5  316075"/>
    <n v="14805883"/>
    <n v="0.1353"/>
    <n v="1.257E-2"/>
  </r>
  <r>
    <x v="7"/>
    <n v="26"/>
    <n v="11.055999999999999"/>
    <x v="326"/>
    <s v="10  256304"/>
    <n v="8581362"/>
    <n v="7.8399999999999997E-2"/>
    <n v="7.2899999999999996E-3"/>
  </r>
  <r>
    <x v="7"/>
    <n v="27"/>
    <n v="11.131"/>
    <x v="327"/>
    <s v="4  331849"/>
    <n v="14458387"/>
    <n v="0.1321"/>
    <n v="1.2279999999999999E-2"/>
  </r>
  <r>
    <x v="7"/>
    <n v="28"/>
    <n v="11.21"/>
    <x v="215"/>
    <s v="10  745823"/>
    <n v="45114114"/>
    <n v="0.4123"/>
    <n v="3.8309999999999997E-2"/>
  </r>
  <r>
    <x v="7"/>
    <n v="29"/>
    <n v="11.375999999999999"/>
    <x v="328"/>
    <s v="10  303390"/>
    <n v="15053968"/>
    <n v="0.1376"/>
    <n v="1.278E-2"/>
  </r>
  <r>
    <x v="7"/>
    <n v="30"/>
    <n v="11.457000000000001"/>
    <x v="329"/>
    <s v="10  249428"/>
    <n v="10572167"/>
    <n v="9.6600000000000005E-2"/>
    <n v="8.9800000000000001E-3"/>
  </r>
  <r>
    <x v="7"/>
    <n v="31"/>
    <n v="11.551"/>
    <x v="216"/>
    <s v="6  716132"/>
    <n v="24190097"/>
    <n v="0.22109999999999999"/>
    <n v="2.0539999999999999E-2"/>
  </r>
  <r>
    <x v="7"/>
    <n v="32"/>
    <n v="11.603999999999999"/>
    <x v="330"/>
    <s v="5  671694"/>
    <n v="31936566"/>
    <n v="0.29189999999999999"/>
    <n v="2.7119999999999998E-2"/>
  </r>
  <r>
    <x v="7"/>
    <n v="33"/>
    <n v="11.765000000000001"/>
    <x v="218"/>
    <s v="5  290920"/>
    <n v="15187565"/>
    <n v="0.13880000000000001"/>
    <n v="1.29E-2"/>
  </r>
  <r>
    <x v="7"/>
    <n v="34"/>
    <n v="11.91"/>
    <x v="42"/>
    <s v="5  453077"/>
    <n v="21351735"/>
    <n v="0.1951"/>
    <n v="1.813E-2"/>
  </r>
  <r>
    <x v="7"/>
    <n v="35"/>
    <n v="11.962"/>
    <x v="331"/>
    <s v="5  308595"/>
    <n v="9567509"/>
    <n v="8.7400000000000005E-2"/>
    <n v="8.1200000000000005E-3"/>
  </r>
  <r>
    <x v="7"/>
    <n v="36"/>
    <n v="12.021000000000001"/>
    <x v="332"/>
    <s v="5  228682"/>
    <n v="8820767"/>
    <n v="8.0600000000000005E-2"/>
    <n v="7.4900000000000001E-3"/>
  </r>
  <r>
    <x v="7"/>
    <n v="37"/>
    <n v="12.124000000000001"/>
    <x v="333"/>
    <s v="5  245090"/>
    <n v="10634254"/>
    <n v="9.7199999999999995E-2"/>
    <n v="9.0299999999999998E-3"/>
  </r>
  <r>
    <x v="7"/>
    <n v="38"/>
    <n v="12.224"/>
    <x v="45"/>
    <s v="7 1855091"/>
    <n v="89019188"/>
    <n v="0.8135"/>
    <n v="7.5600000000000001E-2"/>
  </r>
  <r>
    <x v="7"/>
    <n v="39"/>
    <n v="12.492000000000001"/>
    <x v="334"/>
    <s v="9  165617"/>
    <n v="5024395"/>
    <n v="4.5900000000000003E-2"/>
    <n v="4.2700000000000004E-3"/>
  </r>
  <r>
    <x v="7"/>
    <n v="40"/>
    <n v="12.537000000000001"/>
    <x v="49"/>
    <s v="10  190454"/>
    <n v="7202024"/>
    <n v="6.5799999999999997E-2"/>
    <n v="6.1199999999999996E-3"/>
  </r>
  <r>
    <x v="7"/>
    <n v="41"/>
    <n v="12.583"/>
    <x v="335"/>
    <s v="2  160016"/>
    <n v="1630905"/>
    <n v="1.49E-2"/>
    <n v="1.3799999999999999E-3"/>
  </r>
  <r>
    <x v="7"/>
    <n v="42"/>
    <n v="12.638999999999999"/>
    <x v="336"/>
    <s v="2  205593"/>
    <n v="7531588"/>
    <n v="6.88E-2"/>
    <n v="6.4000000000000003E-3"/>
  </r>
  <r>
    <x v="7"/>
    <n v="43"/>
    <n v="12.701000000000001"/>
    <x v="51"/>
    <s v="2  441919"/>
    <n v="18959192"/>
    <n v="0.17330000000000001"/>
    <n v="1.61E-2"/>
  </r>
  <r>
    <x v="7"/>
    <n v="44"/>
    <n v="12.846"/>
    <x v="337"/>
    <s v="2 3666334"/>
    <n v="109425591"/>
    <n v="0"/>
    <n v="9.2929999999999999E-2"/>
  </r>
  <r>
    <x v="7"/>
    <n v="45"/>
    <n v="13.156000000000001"/>
    <x v="224"/>
    <s v="2  118246"/>
    <n v="8088901"/>
    <n v="7.3899999999999993E-2"/>
    <n v="6.8700000000000002E-3"/>
  </r>
  <r>
    <x v="7"/>
    <n v="46"/>
    <n v="13.247999999999999"/>
    <x v="338"/>
    <s v="2  161810"/>
    <n v="8176468"/>
    <n v="7.4700000000000003E-2"/>
    <n v="6.94E-3"/>
  </r>
  <r>
    <x v="7"/>
    <n v="47"/>
    <n v="13.324"/>
    <x v="339"/>
    <s v="7  146929"/>
    <n v="4561111"/>
    <n v="4.1700000000000001E-2"/>
    <n v="3.8700000000000002E-3"/>
  </r>
  <r>
    <x v="7"/>
    <n v="48"/>
    <n v="13.41"/>
    <x v="340"/>
    <s v="7  283231"/>
    <n v="11243542"/>
    <n v="0.1028"/>
    <n v="9.5499999999999995E-3"/>
  </r>
  <r>
    <x v="7"/>
    <n v="49"/>
    <n v="13.448"/>
    <x v="341"/>
    <s v="7  256173"/>
    <n v="7250399"/>
    <n v="6.6299999999999998E-2"/>
    <n v="6.1599999999999997E-3"/>
  </r>
  <r>
    <x v="7"/>
    <n v="50"/>
    <n v="13.537000000000001"/>
    <x v="342"/>
    <s v="10  167694"/>
    <n v="7650097"/>
    <n v="6.9900000000000004E-2"/>
    <n v="6.4999999999999997E-3"/>
  </r>
  <r>
    <x v="7"/>
    <n v="51"/>
    <n v="13.63"/>
    <x v="343"/>
    <s v="9  127296"/>
    <n v="4010569"/>
    <n v="3.6700000000000003E-2"/>
    <n v="3.4099999999999998E-3"/>
  </r>
  <r>
    <x v="7"/>
    <n v="52"/>
    <n v="13.694000000000001"/>
    <x v="344"/>
    <s v="9  159275"/>
    <n v="8014462"/>
    <n v="7.3200000000000001E-2"/>
    <n v="6.8100000000000001E-3"/>
  </r>
  <r>
    <x v="7"/>
    <n v="53"/>
    <n v="13.842000000000001"/>
    <x v="57"/>
    <s v="9   93040"/>
    <n v="4100164"/>
    <n v="3.7499999999999999E-2"/>
    <n v="3.48E-3"/>
  </r>
  <r>
    <x v="7"/>
    <n v="54"/>
    <n v="13.927"/>
    <x v="345"/>
    <s v="9   73288"/>
    <n v="3786525"/>
    <n v="3.4599999999999999E-2"/>
    <n v="3.2200000000000002E-3"/>
  </r>
  <r>
    <x v="7"/>
    <n v="55"/>
    <n v="14.077"/>
    <x v="346"/>
    <s v="9   93533"/>
    <n v="5796981"/>
    <n v="5.2999999999999999E-2"/>
    <n v="4.9199999999999999E-3"/>
  </r>
  <r>
    <x v="7"/>
    <n v="56"/>
    <n v="14.223000000000001"/>
    <x v="347"/>
    <s v="9   85747"/>
    <n v="4889079"/>
    <n v="4.4699999999999997E-2"/>
    <n v="4.15E-3"/>
  </r>
  <r>
    <x v="7"/>
    <n v="57"/>
    <n v="14.412000000000001"/>
    <x v="228"/>
    <s v="9  161903"/>
    <n v="11199745"/>
    <n v="0.1024"/>
    <n v="9.5099999999999994E-3"/>
  </r>
  <r>
    <x v="7"/>
    <n v="58"/>
    <n v="14.534000000000001"/>
    <x v="301"/>
    <s v="8  168678"/>
    <n v="7054169"/>
    <n v="6.4500000000000002E-2"/>
    <n v="5.9899999999999997E-3"/>
  </r>
  <r>
    <x v="7"/>
    <n v="59"/>
    <n v="14.581"/>
    <x v="302"/>
    <s v="6  100596"/>
    <n v="2025713"/>
    <n v="1.8499999999999999E-2"/>
    <n v="1.72E-3"/>
  </r>
  <r>
    <x v="7"/>
    <n v="60"/>
    <n v="14.688000000000001"/>
    <x v="348"/>
    <s v="6  229159"/>
    <n v="11815956"/>
    <n v="0.108"/>
    <n v="1.0030000000000001E-2"/>
  </r>
  <r>
    <x v="7"/>
    <n v="61"/>
    <n v="14.824999999999999"/>
    <x v="63"/>
    <s v="6  178721"/>
    <n v="10117596"/>
    <n v="9.2499999999999999E-2"/>
    <n v="8.5900000000000004E-3"/>
  </r>
  <r>
    <x v="7"/>
    <n v="62"/>
    <n v="15.045"/>
    <x v="303"/>
    <s v="6   85281"/>
    <n v="4555339"/>
    <n v="4.1599999999999998E-2"/>
    <n v="3.8700000000000002E-3"/>
  </r>
  <r>
    <x v="7"/>
    <n v="63"/>
    <n v="15.116"/>
    <x v="349"/>
    <s v="8   58453"/>
    <n v="1272986"/>
    <n v="1.1599999999999999E-2"/>
    <n v="1.08E-3"/>
  </r>
  <r>
    <x v="7"/>
    <n v="64"/>
    <n v="15.14"/>
    <x v="350"/>
    <s v="7   56768"/>
    <n v="1381987"/>
    <n v="1.26E-2"/>
    <n v="1.17E-3"/>
  </r>
  <r>
    <x v="7"/>
    <n v="65"/>
    <n v="15.202999999999999"/>
    <x v="351"/>
    <s v="6   70755"/>
    <n v="1615974"/>
    <n v="1.4800000000000001E-2"/>
    <n v="1.3699999999999999E-3"/>
  </r>
  <r>
    <x v="7"/>
    <n v="66"/>
    <n v="15.28"/>
    <x v="352"/>
    <s v="5   97263"/>
    <n v="4728395"/>
    <n v="4.3200000000000002E-2"/>
    <n v="4.0200000000000001E-3"/>
  </r>
  <r>
    <x v="7"/>
    <n v="67"/>
    <n v="15.398999999999999"/>
    <x v="353"/>
    <s v="5   56627"/>
    <n v="2459585"/>
    <n v="2.2499999999999999E-2"/>
    <n v="2.0899999999999998E-3"/>
  </r>
  <r>
    <x v="7"/>
    <n v="68"/>
    <n v="15.545"/>
    <x v="354"/>
    <s v="3   82126"/>
    <n v="4769018"/>
    <n v="4.36E-2"/>
    <n v="4.0499999999999998E-3"/>
  </r>
  <r>
    <x v="7"/>
    <n v="69"/>
    <n v="15.714"/>
    <x v="151"/>
    <s v="3  229071"/>
    <n v="7959181"/>
    <n v="7.2700000000000001E-2"/>
    <n v="6.7600000000000004E-3"/>
  </r>
  <r>
    <x v="7"/>
    <n v="70"/>
    <n v="15.875"/>
    <x v="69"/>
    <s v="4  526805"/>
    <n v="15952091"/>
    <n v="0.14580000000000001"/>
    <n v="1.355E-2"/>
  </r>
  <r>
    <x v="7"/>
    <n v="71"/>
    <n v="16.122"/>
    <x v="230"/>
    <s v="10  151025"/>
    <n v="4856335"/>
    <n v="4.4400000000000002E-2"/>
    <n v="4.1200000000000004E-3"/>
  </r>
  <r>
    <x v="7"/>
    <n v="72"/>
    <n v="16.285"/>
    <x v="355"/>
    <s v="5   35352"/>
    <n v="1030352"/>
    <n v="9.4000000000000004E-3"/>
    <n v="8.7000000000000001E-4"/>
  </r>
  <r>
    <x v="7"/>
    <n v="73"/>
    <n v="16.341000000000001"/>
    <x v="356"/>
    <s v="10   39993"/>
    <n v="1303463"/>
    <n v="1.1900000000000001E-2"/>
    <n v="1.1100000000000001E-3"/>
  </r>
  <r>
    <x v="7"/>
    <n v="74"/>
    <n v="16.667000000000002"/>
    <x v="357"/>
    <s v="2   77570"/>
    <n v="2355062"/>
    <n v="2.1499999999999998E-2"/>
    <n v="2E-3"/>
  </r>
  <r>
    <x v="7"/>
    <n v="75"/>
    <n v="16.943000000000001"/>
    <x v="358"/>
    <s v="4  612140"/>
    <n v="17437156"/>
    <n v="0.15939999999999999"/>
    <n v="1.481E-2"/>
  </r>
  <r>
    <x v="7"/>
    <n v="76"/>
    <n v="17.024000000000001"/>
    <x v="359"/>
    <s v="2  772390"/>
    <n v="35997031"/>
    <n v="0.32900000000000001"/>
    <n v="3.057E-2"/>
  </r>
  <r>
    <x v="7"/>
    <n v="77"/>
    <n v="17.286000000000001"/>
    <x v="360"/>
    <s v="2  140422"/>
    <n v="3841419"/>
    <n v="3.5099999999999999E-2"/>
    <n v="3.2599999999999999E-3"/>
  </r>
  <r>
    <x v="7"/>
    <n v="78"/>
    <n v="17.463000000000001"/>
    <x v="76"/>
    <s v="6  128714"/>
    <n v="4254522"/>
    <n v="3.8899999999999997E-2"/>
    <n v="3.6099999999999999E-3"/>
  </r>
  <r>
    <x v="7"/>
    <n v="79"/>
    <n v="17.568999999999999"/>
    <x v="361"/>
    <s v="9   71017"/>
    <n v="2171602"/>
    <n v="1.9800000000000002E-2"/>
    <n v="1.8400000000000001E-3"/>
  </r>
  <r>
    <x v="7"/>
    <n v="80"/>
    <n v="17.798999999999999"/>
    <x v="155"/>
    <s v="10  347450"/>
    <n v="16157985"/>
    <n v="0.1477"/>
    <n v="1.372E-2"/>
  </r>
  <r>
    <x v="7"/>
    <n v="81"/>
    <n v="17.914999999999999"/>
    <x v="80"/>
    <s v="10   46016"/>
    <n v="1296357"/>
    <n v="1.18E-2"/>
    <n v="1.1000000000000001E-3"/>
  </r>
  <r>
    <x v="7"/>
    <n v="82"/>
    <n v="18.469000000000001"/>
    <x v="362"/>
    <s v="10  180641"/>
    <n v="5144336"/>
    <n v="4.7E-2"/>
    <n v="4.3699999999999998E-3"/>
  </r>
  <r>
    <x v="7"/>
    <n v="83"/>
    <n v="18.731000000000002"/>
    <x v="160"/>
    <s v="7   82677"/>
    <n v="2593392"/>
    <n v="2.3699999999999999E-2"/>
    <n v="2.2000000000000001E-3"/>
  </r>
  <r>
    <x v="7"/>
    <n v="84"/>
    <n v="18.843"/>
    <x v="85"/>
    <s v="5  168853"/>
    <n v="4485213"/>
    <n v="4.1000000000000002E-2"/>
    <n v="3.81E-3"/>
  </r>
  <r>
    <x v="7"/>
    <n v="85"/>
    <n v="19.559999999999999"/>
    <x v="363"/>
    <s v="5   26361"/>
    <n v="1148860"/>
    <n v="1.0500000000000001E-2"/>
    <n v="9.7999999999999997E-4"/>
  </r>
  <r>
    <x v="7"/>
    <n v="86"/>
    <n v="20.23"/>
    <x v="237"/>
    <s v="5   40339"/>
    <n v="1391298"/>
    <n v="1.2699999999999999E-2"/>
    <n v="1.1800000000000001E-3"/>
  </r>
  <r>
    <x v="7"/>
    <n v="87"/>
    <n v="20.655999999999999"/>
    <x v="364"/>
    <s v="5   76297"/>
    <n v="3844968"/>
    <n v="3.5099999999999999E-2"/>
    <n v="3.2699999999999999E-3"/>
  </r>
  <r>
    <x v="7"/>
    <n v="88"/>
    <n v="21.405999999999999"/>
    <x v="365"/>
    <s v="5   47629"/>
    <n v="2005188"/>
    <n v="1.83E-2"/>
    <n v="1.6999999999999999E-3"/>
  </r>
  <r>
    <x v="7"/>
    <n v="89"/>
    <n v="23.846"/>
    <x v="240"/>
    <s v="8  136281"/>
    <n v="3423148"/>
    <n v="3.1300000000000001E-2"/>
    <n v="2.9099999999999998E-3"/>
  </r>
  <r>
    <x v="7"/>
    <n v="90"/>
    <n v="28.484000000000002"/>
    <x v="101"/>
    <n v="456137"/>
    <n v="8022212"/>
    <n v="7.3300000000000004E-2"/>
    <n v="6.8100000000000001E-3"/>
  </r>
  <r>
    <x v="7"/>
    <n v="91"/>
    <n v="28.733000000000001"/>
    <x v="104"/>
    <s v="2  134616"/>
    <n v="2138065"/>
    <n v="1.95E-2"/>
    <n v="1.82E-3"/>
  </r>
  <r>
    <x v="7"/>
    <n v="92"/>
    <n v="28.893000000000001"/>
    <x v="105"/>
    <n v="234068"/>
    <n v="3159471"/>
    <n v="2.8899999999999999E-2"/>
    <n v="2.6800000000000001E-3"/>
  </r>
  <r>
    <x v="7"/>
    <n v="93"/>
    <n v="29.047999999999998"/>
    <x v="106"/>
    <n v="2508954"/>
    <n v="29675665"/>
    <n v="0.2712"/>
    <n v="2.52E-2"/>
  </r>
  <r>
    <x v="7"/>
    <n v="94"/>
    <n v="29.420999999999999"/>
    <x v="166"/>
    <n v="51959"/>
    <n v="1613100"/>
    <n v="1.47E-2"/>
    <n v="1.3699999999999999E-3"/>
  </r>
  <r>
    <x v="7"/>
    <n v="95"/>
    <n v="29.468"/>
    <x v="167"/>
    <s v="7   54933"/>
    <n v="1612427"/>
    <n v="1.47E-2"/>
    <n v="1.3699999999999999E-3"/>
  </r>
  <r>
    <x v="7"/>
    <n v="96"/>
    <n v="29.742999999999999"/>
    <x v="115"/>
    <n v="387089"/>
    <n v="5993714"/>
    <n v="5.4800000000000001E-2"/>
    <n v="5.0899999999999999E-3"/>
  </r>
  <r>
    <x v="7"/>
    <n v="97"/>
    <n v="29.826000000000001"/>
    <x v="245"/>
    <s v="4  374139"/>
    <n v="4774548"/>
    <n v="4.36E-2"/>
    <n v="4.0499999999999998E-3"/>
  </r>
  <r>
    <x v="7"/>
    <n v="98"/>
    <n v="29.898"/>
    <x v="168"/>
    <s v="3   58026"/>
    <n v="2923145"/>
    <n v="2.6700000000000002E-2"/>
    <n v="2.48E-3"/>
  </r>
  <r>
    <x v="7"/>
    <n v="99"/>
    <n v="30.175999999999998"/>
    <x v="120"/>
    <n v="84715"/>
    <n v="1033540"/>
    <n v="9.4000000000000004E-3"/>
    <n v="8.8000000000000003E-4"/>
  </r>
  <r>
    <x v="7"/>
    <n v="100"/>
    <n v="30.259"/>
    <x v="310"/>
    <s v="7   50498"/>
    <n v="1501396"/>
    <n v="1.37E-2"/>
    <n v="1.2800000000000001E-3"/>
  </r>
  <r>
    <x v="7"/>
    <n v="101"/>
    <n v="31.018000000000001"/>
    <x v="266"/>
    <s v="7   28362"/>
    <n v="1385966"/>
    <n v="1.2699999999999999E-2"/>
    <n v="1.1800000000000001E-3"/>
  </r>
  <r>
    <x v="7"/>
    <n v="102"/>
    <n v="31.114999999999998"/>
    <x v="366"/>
    <s v="7   26277"/>
    <n v="1114189"/>
    <n v="1.0200000000000001E-2"/>
    <n v="9.5E-4"/>
  </r>
  <r>
    <x v="7"/>
    <n v="103"/>
    <n v="31.268000000000001"/>
    <x v="288"/>
    <s v="10   30735"/>
    <n v="1299449"/>
    <n v="1.1900000000000001E-2"/>
    <n v="1.1000000000000001E-3"/>
  </r>
  <r>
    <x v="7"/>
    <n v="104"/>
    <n v="31.402999999999999"/>
    <x v="367"/>
    <s v="10   32365"/>
    <n v="1068570"/>
    <n v="9.7999999999999997E-3"/>
    <n v="9.1E-4"/>
  </r>
  <r>
    <x v="7"/>
    <n v="105"/>
    <n v="31.495999999999999"/>
    <x v="368"/>
    <s v="10   40072"/>
    <n v="1116816"/>
    <n v="1.0200000000000001E-2"/>
    <n v="9.5E-4"/>
  </r>
  <r>
    <x v="7"/>
    <n v="106"/>
    <n v="31.542000000000002"/>
    <x v="369"/>
    <s v="9   41446"/>
    <n v="1361678"/>
    <n v="1.24E-2"/>
    <n v="1.16E-3"/>
  </r>
  <r>
    <x v="7"/>
    <n v="107"/>
    <n v="31.841000000000001"/>
    <x v="370"/>
    <s v="9  787786"/>
    <n v="43861696"/>
    <n v="0.40079999999999999"/>
    <n v="3.7249999999999998E-2"/>
  </r>
  <r>
    <x v="7"/>
    <n v="108"/>
    <n v="31.988"/>
    <x v="128"/>
    <n v="143966"/>
    <n v="4445419"/>
    <n v="4.0599999999999997E-2"/>
    <n v="3.7799999999999999E-3"/>
  </r>
  <r>
    <x v="7"/>
    <n v="109"/>
    <n v="32.731999999999999"/>
    <x v="131"/>
    <s v="4   94239"/>
    <n v="2801281"/>
    <n v="2.5600000000000001E-2"/>
    <n v="2.3800000000000002E-3"/>
  </r>
  <r>
    <x v="7"/>
    <n v="110"/>
    <n v="33.103999999999999"/>
    <x v="132"/>
    <n v="223810"/>
    <n v="8080966"/>
    <n v="7.3800000000000004E-2"/>
    <n v="6.8599999999999998E-3"/>
  </r>
  <r>
    <x v="8"/>
    <n v="1"/>
    <n v="4.9089999999999998"/>
    <x v="371"/>
    <s v="6  112467"/>
    <n v="3004995"/>
    <n v="8.2900000000000001E-2"/>
    <n v="1.643E-2"/>
  </r>
  <r>
    <x v="8"/>
    <n v="2"/>
    <n v="6.2679999999999998"/>
    <x v="177"/>
    <s v="3   61532"/>
    <n v="1832158"/>
    <n v="5.0500000000000003E-2"/>
    <n v="1.0019999999999999E-2"/>
  </r>
  <r>
    <x v="8"/>
    <n v="3"/>
    <n v="6.4989999999999997"/>
    <x v="313"/>
    <s v="4   52967"/>
    <n v="1734733"/>
    <n v="4.7899999999999998E-2"/>
    <n v="9.4800000000000006E-3"/>
  </r>
  <r>
    <x v="8"/>
    <n v="4"/>
    <n v="8.1189999999999998"/>
    <x v="17"/>
    <s v="2   70572"/>
    <n v="2494739"/>
    <n v="6.88E-2"/>
    <n v="1.3639999999999999E-2"/>
  </r>
  <r>
    <x v="8"/>
    <n v="5"/>
    <n v="8.2360000000000007"/>
    <x v="372"/>
    <s v="10   40349"/>
    <n v="1834875"/>
    <n v="5.0599999999999999E-2"/>
    <n v="1.0030000000000001E-2"/>
  </r>
  <r>
    <x v="8"/>
    <n v="6"/>
    <n v="8.9580000000000002"/>
    <x v="250"/>
    <s v="10   40607"/>
    <n v="1811111"/>
    <n v="0.05"/>
    <n v="9.9000000000000008E-3"/>
  </r>
  <r>
    <x v="8"/>
    <n v="7"/>
    <n v="9.1940000000000008"/>
    <x v="142"/>
    <s v="8   22793"/>
    <n v="1319244"/>
    <n v="3.6400000000000002E-2"/>
    <n v="7.2100000000000003E-3"/>
  </r>
  <r>
    <x v="8"/>
    <n v="8"/>
    <n v="9.6669999999999998"/>
    <x v="373"/>
    <s v="3  102743"/>
    <n v="3646881"/>
    <n v="0.10059999999999999"/>
    <n v="1.9939999999999999E-2"/>
  </r>
  <r>
    <x v="8"/>
    <n v="9"/>
    <n v="10.291"/>
    <x v="30"/>
    <s v="6   43786"/>
    <n v="1407031"/>
    <n v="3.8800000000000001E-2"/>
    <n v="7.6899999999999998E-3"/>
  </r>
  <r>
    <x v="8"/>
    <n v="10"/>
    <n v="10.59"/>
    <x v="33"/>
    <s v="8  155732"/>
    <n v="12924272"/>
    <n v="0.35659999999999997"/>
    <n v="7.0660000000000001E-2"/>
  </r>
  <r>
    <x v="8"/>
    <n v="11"/>
    <n v="10.763"/>
    <x v="213"/>
    <s v="5   65783"/>
    <n v="4350058"/>
    <n v="0.12"/>
    <n v="2.3779999999999999E-2"/>
  </r>
  <r>
    <x v="8"/>
    <n v="12"/>
    <n v="11.141999999999999"/>
    <x v="374"/>
    <s v="3   49629"/>
    <n v="2024621"/>
    <n v="5.5899999999999998E-2"/>
    <n v="1.107E-2"/>
  </r>
  <r>
    <x v="8"/>
    <n v="13"/>
    <n v="11.21"/>
    <x v="215"/>
    <s v="10   94214"/>
    <n v="5660523"/>
    <n v="0.15620000000000001"/>
    <n v="3.0949999999999998E-2"/>
  </r>
  <r>
    <x v="8"/>
    <n v="14"/>
    <n v="11.558"/>
    <x v="39"/>
    <s v="7   68051"/>
    <n v="2694392"/>
    <n v="7.4300000000000005E-2"/>
    <n v="1.473E-2"/>
  </r>
  <r>
    <x v="8"/>
    <n v="15"/>
    <n v="11.641999999999999"/>
    <x v="375"/>
    <s v="4   52232"/>
    <n v="2872840"/>
    <n v="7.9299999999999995E-2"/>
    <n v="1.5709999999999998E-2"/>
  </r>
  <r>
    <x v="8"/>
    <n v="16"/>
    <n v="11.776"/>
    <x v="376"/>
    <s v="4   41520"/>
    <n v="1528692"/>
    <n v="4.2200000000000001E-2"/>
    <n v="8.3599999999999994E-3"/>
  </r>
  <r>
    <x v="8"/>
    <n v="17"/>
    <n v="11.914999999999999"/>
    <x v="377"/>
    <s v="4   50156"/>
    <n v="2301657"/>
    <n v="6.3500000000000001E-2"/>
    <n v="1.2579999999999999E-2"/>
  </r>
  <r>
    <x v="8"/>
    <n v="18"/>
    <n v="11.967000000000001"/>
    <x v="43"/>
    <s v="4   35148"/>
    <n v="1029749"/>
    <n v="2.8400000000000002E-2"/>
    <n v="5.6299999999999996E-3"/>
  </r>
  <r>
    <x v="8"/>
    <n v="19"/>
    <n v="12.128"/>
    <x v="44"/>
    <s v="4   41709"/>
    <n v="1536326"/>
    <n v="4.24E-2"/>
    <n v="8.3999999999999995E-3"/>
  </r>
  <r>
    <x v="8"/>
    <n v="20"/>
    <n v="12.228999999999999"/>
    <x v="220"/>
    <s v="5   86958"/>
    <n v="3534803"/>
    <n v="9.7500000000000003E-2"/>
    <n v="1.932E-2"/>
  </r>
  <r>
    <x v="8"/>
    <n v="21"/>
    <n v="12.311999999999999"/>
    <x v="221"/>
    <s v="5   38121"/>
    <n v="1480443"/>
    <n v="4.0800000000000003E-2"/>
    <n v="8.09E-3"/>
  </r>
  <r>
    <x v="8"/>
    <n v="22"/>
    <n v="12.537000000000001"/>
    <x v="49"/>
    <s v="5   28629"/>
    <n v="2397203"/>
    <n v="6.6100000000000006E-2"/>
    <n v="1.311E-2"/>
  </r>
  <r>
    <x v="8"/>
    <n v="23"/>
    <n v="12.704000000000001"/>
    <x v="51"/>
    <s v="5   35903"/>
    <n v="1229038"/>
    <n v="3.39E-2"/>
    <n v="6.7200000000000003E-3"/>
  </r>
  <r>
    <x v="8"/>
    <n v="24"/>
    <n v="12.845000000000001"/>
    <x v="337"/>
    <s v="2  868134"/>
    <n v="26454325"/>
    <n v="0.7298"/>
    <n v="0.14462"/>
  </r>
  <r>
    <x v="8"/>
    <n v="25"/>
    <n v="13.321999999999999"/>
    <x v="339"/>
    <s v="10   39263"/>
    <n v="1370193"/>
    <n v="3.78E-2"/>
    <n v="7.4900000000000001E-3"/>
  </r>
  <r>
    <x v="8"/>
    <n v="26"/>
    <n v="14.621"/>
    <x v="378"/>
    <s v="5   28432"/>
    <n v="1038265"/>
    <n v="2.86E-2"/>
    <n v="5.6800000000000002E-3"/>
  </r>
  <r>
    <x v="8"/>
    <n v="27"/>
    <n v="15.881"/>
    <x v="69"/>
    <s v="5  212260"/>
    <n v="5945962"/>
    <n v="0.16400000000000001"/>
    <n v="3.2509999999999997E-2"/>
  </r>
  <r>
    <x v="8"/>
    <n v="28"/>
    <n v="16.934999999999999"/>
    <x v="358"/>
    <s v="3  216468"/>
    <n v="6292058"/>
    <n v="0.1736"/>
    <n v="3.44E-2"/>
  </r>
  <r>
    <x v="8"/>
    <n v="29"/>
    <n v="17.498000000000001"/>
    <x v="379"/>
    <s v="4   33945"/>
    <n v="1582349"/>
    <n v="4.3700000000000003E-2"/>
    <n v="8.6499999999999997E-3"/>
  </r>
  <r>
    <x v="8"/>
    <n v="30"/>
    <n v="18.844000000000001"/>
    <x v="85"/>
    <s v="5  151367"/>
    <n v="4279151"/>
    <n v="0.1181"/>
    <n v="2.3390000000000001E-2"/>
  </r>
  <r>
    <x v="8"/>
    <n v="31"/>
    <n v="28.484000000000002"/>
    <x v="101"/>
    <n v="489257"/>
    <n v="9798585"/>
    <n v="0.27029999999999998"/>
    <n v="5.357E-2"/>
  </r>
  <r>
    <x v="8"/>
    <n v="32"/>
    <n v="28.893000000000001"/>
    <x v="105"/>
    <n v="291572"/>
    <n v="4026929"/>
    <n v="0.1111"/>
    <n v="2.2009999999999998E-2"/>
  </r>
  <r>
    <x v="8"/>
    <n v="33"/>
    <n v="29.047999999999998"/>
    <x v="106"/>
    <n v="3055897"/>
    <n v="36247986"/>
    <n v="0"/>
    <n v="0.19817000000000001"/>
  </r>
  <r>
    <x v="8"/>
    <n v="34"/>
    <n v="29.747"/>
    <x v="380"/>
    <n v="111957"/>
    <n v="1998210"/>
    <n v="5.5100000000000003E-2"/>
    <n v="1.0919999999999999E-2"/>
  </r>
  <r>
    <x v="8"/>
    <n v="35"/>
    <n v="29.914999999999999"/>
    <x v="381"/>
    <s v="3   50332"/>
    <n v="2507407"/>
    <n v="6.9199999999999998E-2"/>
    <n v="1.371E-2"/>
  </r>
  <r>
    <x v="8"/>
    <n v="36"/>
    <n v="31.356000000000002"/>
    <x v="172"/>
    <s v="3   32556"/>
    <n v="1364446"/>
    <n v="3.7600000000000001E-2"/>
    <n v="7.4599999999999996E-3"/>
  </r>
  <r>
    <x v="8"/>
    <n v="37"/>
    <n v="31.988"/>
    <x v="128"/>
    <n v="239324"/>
    <n v="7367617"/>
    <n v="0.20330000000000001"/>
    <n v="4.0280000000000003E-2"/>
  </r>
  <r>
    <x v="8"/>
    <n v="38"/>
    <n v="32.743000000000002"/>
    <x v="173"/>
    <s v="4   60663"/>
    <n v="2223973"/>
    <n v="6.1400000000000003E-2"/>
    <n v="1.2160000000000001E-2"/>
  </r>
  <r>
    <x v="8"/>
    <n v="39"/>
    <n v="33.103000000000002"/>
    <x v="132"/>
    <n v="133177"/>
    <n v="5770184"/>
    <n v="0.15920000000000001"/>
    <n v="3.1550000000000002E-2"/>
  </r>
  <r>
    <x v="9"/>
    <n v="1"/>
    <n v="4.9000000000000004"/>
    <x v="4"/>
    <s v="10  243424"/>
    <n v="7047598"/>
    <n v="0.31330000000000002"/>
    <n v="5.7430000000000002E-2"/>
  </r>
  <r>
    <x v="9"/>
    <n v="2"/>
    <n v="6.5039999999999996"/>
    <x v="313"/>
    <s v="4   43618"/>
    <n v="1559285"/>
    <n v="6.93E-2"/>
    <n v="1.2710000000000001E-2"/>
  </r>
  <r>
    <x v="9"/>
    <n v="3"/>
    <n v="9.5190000000000001"/>
    <x v="210"/>
    <s v="4   23860"/>
    <n v="1043328"/>
    <n v="4.6399999999999997E-2"/>
    <n v="8.5000000000000006E-3"/>
  </r>
  <r>
    <x v="9"/>
    <n v="4"/>
    <n v="9.6649999999999991"/>
    <x v="373"/>
    <s v="3  140793"/>
    <n v="4661004"/>
    <n v="0.2072"/>
    <n v="3.798E-2"/>
  </r>
  <r>
    <x v="9"/>
    <n v="5"/>
    <n v="12.704000000000001"/>
    <x v="51"/>
    <s v="3   27265"/>
    <n v="1084759"/>
    <n v="4.82E-2"/>
    <n v="8.8400000000000006E-3"/>
  </r>
  <r>
    <x v="9"/>
    <n v="6"/>
    <n v="12.845000000000001"/>
    <x v="337"/>
    <s v="2  685885"/>
    <n v="20731257"/>
    <n v="0.92149999999999999"/>
    <n v="0.16893"/>
  </r>
  <r>
    <x v="9"/>
    <n v="7"/>
    <n v="15.877000000000001"/>
    <x v="69"/>
    <s v="4  238159"/>
    <n v="6619924"/>
    <n v="0.29420000000000002"/>
    <n v="5.3940000000000002E-2"/>
  </r>
  <r>
    <x v="9"/>
    <n v="8"/>
    <n v="17.492999999999999"/>
    <x v="382"/>
    <s v="7   40334"/>
    <n v="1779976"/>
    <n v="7.9100000000000004E-2"/>
    <n v="1.4500000000000001E-2"/>
  </r>
  <r>
    <x v="9"/>
    <n v="9"/>
    <n v="18.742999999999999"/>
    <x v="84"/>
    <s v="7   39725"/>
    <n v="1010000"/>
    <n v="4.4900000000000002E-2"/>
    <n v="8.2299999999999995E-3"/>
  </r>
  <r>
    <x v="9"/>
    <n v="10"/>
    <n v="18.844000000000001"/>
    <x v="85"/>
    <s v="5  126572"/>
    <n v="3561213"/>
    <n v="0.1583"/>
    <n v="2.9020000000000001E-2"/>
  </r>
  <r>
    <x v="9"/>
    <n v="11"/>
    <n v="28.486999999999998"/>
    <x v="383"/>
    <n v="237128"/>
    <n v="5582543"/>
    <n v="0.24809999999999999"/>
    <n v="4.5490000000000003E-2"/>
  </r>
  <r>
    <x v="9"/>
    <n v="12"/>
    <n v="28.893000000000001"/>
    <x v="105"/>
    <n v="163741"/>
    <n v="2964555"/>
    <n v="0.1318"/>
    <n v="2.4160000000000001E-2"/>
  </r>
  <r>
    <x v="9"/>
    <n v="13"/>
    <n v="29.047999999999998"/>
    <x v="106"/>
    <n v="1867454"/>
    <n v="22497914"/>
    <n v="0"/>
    <n v="0.18332000000000001"/>
  </r>
  <r>
    <x v="9"/>
    <n v="14"/>
    <n v="29.748000000000001"/>
    <x v="380"/>
    <n v="164200"/>
    <n v="2871689"/>
    <n v="0.12759999999999999"/>
    <n v="2.3400000000000001E-2"/>
  </r>
  <r>
    <x v="9"/>
    <n v="15"/>
    <n v="29.823"/>
    <x v="200"/>
    <s v="6   37427"/>
    <n v="1002051"/>
    <n v="4.4499999999999998E-2"/>
    <n v="8.1700000000000002E-3"/>
  </r>
  <r>
    <x v="9"/>
    <n v="16"/>
    <n v="29.937999999999999"/>
    <x v="201"/>
    <s v="3   31870"/>
    <n v="1128992"/>
    <n v="5.0200000000000002E-2"/>
    <n v="9.1999999999999998E-3"/>
  </r>
  <r>
    <x v="9"/>
    <n v="17"/>
    <n v="31.117999999999999"/>
    <x v="366"/>
    <s v="3   47568"/>
    <n v="2055998"/>
    <n v="9.1399999999999995E-2"/>
    <n v="1.6750000000000001E-2"/>
  </r>
  <r>
    <x v="9"/>
    <n v="18"/>
    <n v="31.297999999999998"/>
    <x v="267"/>
    <s v="3   32840"/>
    <n v="1023175"/>
    <n v="4.5499999999999999E-2"/>
    <n v="8.3400000000000002E-3"/>
  </r>
  <r>
    <x v="9"/>
    <n v="19"/>
    <n v="31.359000000000002"/>
    <x v="172"/>
    <s v="8   29887"/>
    <n v="1007100"/>
    <n v="4.48E-2"/>
    <n v="8.2100000000000003E-3"/>
  </r>
  <r>
    <x v="9"/>
    <n v="20"/>
    <n v="31.742999999999999"/>
    <x v="384"/>
    <s v="8   34878"/>
    <n v="1098476"/>
    <n v="4.8800000000000003E-2"/>
    <n v="8.9499999999999996E-3"/>
  </r>
  <r>
    <x v="9"/>
    <n v="21"/>
    <n v="31.815999999999999"/>
    <x v="292"/>
    <s v="8   45797"/>
    <n v="2006508"/>
    <n v="8.9200000000000002E-2"/>
    <n v="1.635E-2"/>
  </r>
  <r>
    <x v="9"/>
    <n v="22"/>
    <n v="31.986999999999998"/>
    <x v="128"/>
    <n v="779012"/>
    <n v="14727175"/>
    <n v="0.65459999999999996"/>
    <n v="0.12"/>
  </r>
  <r>
    <x v="9"/>
    <n v="23"/>
    <n v="32.731999999999999"/>
    <x v="131"/>
    <s v="3  100821"/>
    <n v="2795537"/>
    <n v="0.12429999999999999"/>
    <n v="2.2780000000000002E-2"/>
  </r>
  <r>
    <x v="9"/>
    <n v="24"/>
    <n v="33.101999999999997"/>
    <x v="132"/>
    <n v="406474"/>
    <n v="12863688"/>
    <n v="0.57179999999999997"/>
    <n v="0.10482"/>
  </r>
  <r>
    <x v="10"/>
    <n v="1"/>
    <n v="4.9039999999999999"/>
    <x v="4"/>
    <s v="7  178194"/>
    <n v="5366273"/>
    <n v="4.02E-2"/>
    <n v="1.5049999999999999E-2"/>
  </r>
  <r>
    <x v="10"/>
    <n v="2"/>
    <n v="5.2030000000000003"/>
    <x v="7"/>
    <s v="7  108956"/>
    <n v="3850718"/>
    <n v="2.8899999999999999E-2"/>
    <n v="1.0800000000000001E-2"/>
  </r>
  <r>
    <x v="10"/>
    <n v="3"/>
    <n v="5.3120000000000003"/>
    <x v="385"/>
    <s v="10   43367"/>
    <n v="1510222"/>
    <n v="1.1299999999999999E-2"/>
    <n v="4.2399999999999998E-3"/>
  </r>
  <r>
    <x v="10"/>
    <n v="4"/>
    <n v="5.3849999999999998"/>
    <x v="386"/>
    <s v="10   35592"/>
    <n v="2101442"/>
    <n v="1.5800000000000002E-2"/>
    <n v="5.8999999999999999E-3"/>
  </r>
  <r>
    <x v="10"/>
    <n v="5"/>
    <n v="6.2670000000000003"/>
    <x v="177"/>
    <s v="3   59274"/>
    <n v="1834523"/>
    <n v="1.38E-2"/>
    <n v="5.1500000000000001E-3"/>
  </r>
  <r>
    <x v="10"/>
    <n v="6"/>
    <n v="6.4960000000000004"/>
    <x v="313"/>
    <s v="4  119536"/>
    <n v="4232287"/>
    <n v="3.1699999999999999E-2"/>
    <n v="1.187E-2"/>
  </r>
  <r>
    <x v="10"/>
    <n v="7"/>
    <n v="8.2929999999999993"/>
    <x v="387"/>
    <s v="6   26370"/>
    <n v="1419690"/>
    <n v="1.06E-2"/>
    <n v="3.98E-3"/>
  </r>
  <r>
    <x v="10"/>
    <n v="8"/>
    <n v="9.1850000000000005"/>
    <x v="142"/>
    <s v="7  142046"/>
    <n v="4199094"/>
    <n v="3.15E-2"/>
    <n v="1.1780000000000001E-2"/>
  </r>
  <r>
    <x v="10"/>
    <n v="9"/>
    <n v="9.25"/>
    <x v="143"/>
    <s v="7   37591"/>
    <n v="1223840"/>
    <n v="9.1999999999999998E-3"/>
    <n v="3.4299999999999999E-3"/>
  </r>
  <r>
    <x v="10"/>
    <n v="10"/>
    <n v="9.6579999999999995"/>
    <x v="211"/>
    <s v="3  489797"/>
    <n v="15815459"/>
    <n v="0.1186"/>
    <n v="4.437E-2"/>
  </r>
  <r>
    <x v="10"/>
    <n v="11"/>
    <n v="9.8309999999999995"/>
    <x v="180"/>
    <n v="113153"/>
    <n v="3953817"/>
    <n v="2.9700000000000001E-2"/>
    <n v="1.1089999999999999E-2"/>
  </r>
  <r>
    <x v="10"/>
    <n v="12"/>
    <n v="11.287000000000001"/>
    <x v="388"/>
    <s v="9   23229"/>
    <n v="1294624"/>
    <n v="9.7000000000000003E-3"/>
    <n v="3.63E-3"/>
  </r>
  <r>
    <x v="10"/>
    <n v="13"/>
    <n v="12.555"/>
    <x v="389"/>
    <s v="9   21695"/>
    <n v="1072341"/>
    <n v="8.0000000000000002E-3"/>
    <n v="3.0100000000000001E-3"/>
  </r>
  <r>
    <x v="10"/>
    <n v="14"/>
    <n v="12.843999999999999"/>
    <x v="52"/>
    <s v="2 1874724"/>
    <n v="53842673"/>
    <n v="0.40379999999999999"/>
    <n v="0.15104999999999999"/>
  </r>
  <r>
    <x v="10"/>
    <n v="15"/>
    <n v="14.532999999999999"/>
    <x v="301"/>
    <s v="2   65378"/>
    <n v="2954121"/>
    <n v="2.2200000000000001E-2"/>
    <n v="8.2900000000000005E-3"/>
  </r>
  <r>
    <x v="10"/>
    <n v="16"/>
    <n v="14.827999999999999"/>
    <x v="63"/>
    <s v="2   46665"/>
    <n v="1420668"/>
    <n v="1.0699999999999999E-2"/>
    <n v="3.9899999999999996E-3"/>
  </r>
  <r>
    <x v="10"/>
    <n v="17"/>
    <n v="15.346"/>
    <x v="229"/>
    <s v="3   72021"/>
    <n v="2104823"/>
    <n v="1.5800000000000002E-2"/>
    <n v="5.9100000000000003E-3"/>
  </r>
  <r>
    <x v="10"/>
    <n v="18"/>
    <n v="15.597"/>
    <x v="390"/>
    <s v="4   34161"/>
    <n v="2129899"/>
    <n v="1.6E-2"/>
    <n v="5.9800000000000001E-3"/>
  </r>
  <r>
    <x v="10"/>
    <n v="19"/>
    <n v="15.875"/>
    <x v="69"/>
    <s v="4  683633"/>
    <n v="18460343"/>
    <n v="0.13850000000000001"/>
    <n v="5.1790000000000003E-2"/>
  </r>
  <r>
    <x v="10"/>
    <n v="20"/>
    <n v="16.667000000000002"/>
    <x v="357"/>
    <s v="2   66497"/>
    <n v="1934504"/>
    <n v="1.4500000000000001E-2"/>
    <n v="5.4299999999999999E-3"/>
  </r>
  <r>
    <x v="10"/>
    <n v="21"/>
    <n v="16.765000000000001"/>
    <x v="184"/>
    <s v="10  187670"/>
    <n v="4987538"/>
    <n v="3.7400000000000003E-2"/>
    <n v="1.3990000000000001E-2"/>
  </r>
  <r>
    <x v="10"/>
    <n v="22"/>
    <n v="17.120999999999999"/>
    <x v="185"/>
    <s v="2 1595933"/>
    <n v="133335793"/>
    <n v="0"/>
    <n v="0.37407000000000001"/>
  </r>
  <r>
    <x v="10"/>
    <n v="23"/>
    <n v="17.207000000000001"/>
    <x v="391"/>
    <s v="2   33131"/>
    <n v="1182295"/>
    <n v="8.8999999999999999E-3"/>
    <n v="3.32E-3"/>
  </r>
  <r>
    <x v="10"/>
    <n v="24"/>
    <n v="17.460999999999999"/>
    <x v="76"/>
    <s v="6  237829"/>
    <n v="8184546"/>
    <n v="6.1400000000000003E-2"/>
    <n v="2.2960000000000001E-2"/>
  </r>
  <r>
    <x v="10"/>
    <n v="25"/>
    <n v="17.558"/>
    <x v="186"/>
    <s v="6   28389"/>
    <n v="1319384"/>
    <n v="9.9000000000000008E-3"/>
    <n v="3.7000000000000002E-3"/>
  </r>
  <r>
    <x v="10"/>
    <n v="26"/>
    <n v="17.709"/>
    <x v="154"/>
    <s v="8   42111"/>
    <n v="1462696"/>
    <n v="1.0999999999999999E-2"/>
    <n v="4.1000000000000003E-3"/>
  </r>
  <r>
    <x v="10"/>
    <n v="27"/>
    <n v="17.803999999999998"/>
    <x v="155"/>
    <s v="8   38788"/>
    <n v="1183566"/>
    <n v="8.8999999999999999E-3"/>
    <n v="3.32E-3"/>
  </r>
  <r>
    <x v="10"/>
    <n v="28"/>
    <n v="17.917999999999999"/>
    <x v="80"/>
    <s v="8   53656"/>
    <n v="1606632"/>
    <n v="1.2E-2"/>
    <n v="4.5100000000000001E-3"/>
  </r>
  <r>
    <x v="10"/>
    <n v="29"/>
    <n v="18.728000000000002"/>
    <x v="160"/>
    <s v="8   63696"/>
    <n v="1947284"/>
    <n v="1.46E-2"/>
    <n v="5.4599999999999996E-3"/>
  </r>
  <r>
    <x v="10"/>
    <n v="30"/>
    <n v="18.843"/>
    <x v="85"/>
    <s v="5  173375"/>
    <n v="5222152"/>
    <n v="3.9199999999999999E-2"/>
    <n v="1.465E-2"/>
  </r>
  <r>
    <x v="10"/>
    <n v="31"/>
    <n v="20.231000000000002"/>
    <x v="237"/>
    <s v="5   58719"/>
    <n v="1864884"/>
    <n v="1.4E-2"/>
    <n v="5.2300000000000003E-3"/>
  </r>
  <r>
    <x v="10"/>
    <n v="32"/>
    <n v="21.402999999999999"/>
    <x v="89"/>
    <s v="5   43233"/>
    <n v="1154930"/>
    <n v="8.6999999999999994E-3"/>
    <n v="3.2399999999999998E-3"/>
  </r>
  <r>
    <x v="10"/>
    <n v="33"/>
    <n v="28.484999999999999"/>
    <x v="383"/>
    <n v="397908"/>
    <n v="7580048"/>
    <n v="5.6800000000000003E-2"/>
    <n v="2.1270000000000001E-2"/>
  </r>
  <r>
    <x v="10"/>
    <n v="34"/>
    <n v="28.731999999999999"/>
    <x v="104"/>
    <s v="3   37727"/>
    <n v="1081433"/>
    <n v="8.0999999999999996E-3"/>
    <n v="3.0300000000000001E-3"/>
  </r>
  <r>
    <x v="10"/>
    <n v="35"/>
    <n v="28.893000000000001"/>
    <x v="105"/>
    <n v="219123"/>
    <n v="3360673"/>
    <n v="2.52E-2"/>
    <n v="9.4299999999999991E-3"/>
  </r>
  <r>
    <x v="10"/>
    <n v="36"/>
    <n v="29.047999999999998"/>
    <x v="106"/>
    <n v="1776057"/>
    <n v="21696367"/>
    <n v="0.16270000000000001"/>
    <n v="6.087E-2"/>
  </r>
  <r>
    <x v="10"/>
    <n v="37"/>
    <n v="29.233000000000001"/>
    <x v="108"/>
    <s v="9   36652"/>
    <n v="1041916"/>
    <n v="7.7999999999999996E-3"/>
    <n v="2.9199999999999999E-3"/>
  </r>
  <r>
    <x v="10"/>
    <n v="38"/>
    <n v="29.745999999999999"/>
    <x v="380"/>
    <n v="203240"/>
    <n v="3699154"/>
    <n v="2.7699999999999999E-2"/>
    <n v="1.038E-2"/>
  </r>
  <r>
    <x v="10"/>
    <n v="39"/>
    <n v="29.911000000000001"/>
    <x v="392"/>
    <s v="3   48670"/>
    <n v="2153030"/>
    <n v="1.61E-2"/>
    <n v="6.0400000000000002E-3"/>
  </r>
  <r>
    <x v="10"/>
    <n v="40"/>
    <n v="31.152999999999999"/>
    <x v="393"/>
    <s v="3   19183"/>
    <n v="1557145"/>
    <n v="1.17E-2"/>
    <n v="4.3699999999999998E-3"/>
  </r>
  <r>
    <x v="10"/>
    <n v="41"/>
    <n v="31.327999999999999"/>
    <x v="394"/>
    <s v="3   25483"/>
    <n v="1677300"/>
    <n v="1.26E-2"/>
    <n v="4.7099999999999998E-3"/>
  </r>
  <r>
    <x v="10"/>
    <n v="42"/>
    <n v="31.664999999999999"/>
    <x v="395"/>
    <s v="10   23634"/>
    <n v="1426111"/>
    <n v="1.0699999999999999E-2"/>
    <n v="4.0000000000000001E-3"/>
  </r>
  <r>
    <x v="10"/>
    <n v="43"/>
    <n v="31.765999999999998"/>
    <x v="271"/>
    <s v="10   24446"/>
    <n v="1257312"/>
    <n v="9.4000000000000004E-3"/>
    <n v="3.5300000000000002E-3"/>
  </r>
  <r>
    <x v="10"/>
    <n v="44"/>
    <n v="31.99"/>
    <x v="128"/>
    <n v="184441"/>
    <n v="6396949"/>
    <n v="4.8000000000000001E-2"/>
    <n v="1.7950000000000001E-2"/>
  </r>
  <r>
    <x v="10"/>
    <n v="45"/>
    <n v="32.171999999999997"/>
    <x v="274"/>
    <n v="19174"/>
    <n v="1300305"/>
    <n v="9.7999999999999997E-3"/>
    <n v="3.65E-3"/>
  </r>
  <r>
    <x v="10"/>
    <n v="46"/>
    <n v="32.734999999999999"/>
    <x v="173"/>
    <s v="3   58281"/>
    <n v="1841776"/>
    <n v="1.38E-2"/>
    <n v="5.1700000000000001E-3"/>
  </r>
  <r>
    <x v="10"/>
    <n v="47"/>
    <n v="33.103999999999999"/>
    <x v="132"/>
    <n v="145150"/>
    <n v="6203942"/>
    <n v="4.65E-2"/>
    <n v="1.7399999999999999E-2"/>
  </r>
  <r>
    <x v="11"/>
    <n v="1"/>
    <n v="4.5309999999999997"/>
    <x v="396"/>
    <s v="10  112581"/>
    <n v="4034238"/>
    <n v="2.1000000000000001E-2"/>
    <n v="2.6199999999999999E-3"/>
  </r>
  <r>
    <x v="11"/>
    <n v="2"/>
    <n v="4.7469999999999999"/>
    <x v="397"/>
    <s v="10   66213"/>
    <n v="2169372"/>
    <n v="1.1299999999999999E-2"/>
    <n v="1.41E-3"/>
  </r>
  <r>
    <x v="11"/>
    <n v="3"/>
    <n v="4.8419999999999996"/>
    <x v="398"/>
    <s v="7  108037"/>
    <n v="2767943"/>
    <n v="1.44E-2"/>
    <n v="1.7899999999999999E-3"/>
  </r>
  <r>
    <x v="11"/>
    <n v="4"/>
    <n v="4.8979999999999997"/>
    <x v="4"/>
    <s v="6  555618"/>
    <n v="19926340"/>
    <n v="0.1038"/>
    <n v="1.2919999999999999E-2"/>
  </r>
  <r>
    <x v="11"/>
    <n v="5"/>
    <n v="5.01"/>
    <x v="399"/>
    <s v="6  136876"/>
    <n v="4751910"/>
    <n v="2.4799999999999999E-2"/>
    <n v="3.0799999999999998E-3"/>
  </r>
  <r>
    <x v="11"/>
    <n v="6"/>
    <n v="5.1970000000000001"/>
    <x v="7"/>
    <s v="6 2109656"/>
    <n v="90529643"/>
    <n v="0.4718"/>
    <n v="5.8689999999999999E-2"/>
  </r>
  <r>
    <x v="11"/>
    <n v="7"/>
    <n v="5.54"/>
    <x v="400"/>
    <s v="6   99621"/>
    <n v="5555579"/>
    <n v="2.9000000000000001E-2"/>
    <n v="3.5999999999999999E-3"/>
  </r>
  <r>
    <x v="11"/>
    <n v="8"/>
    <n v="6.12"/>
    <x v="401"/>
    <s v="9   87666"/>
    <n v="3472363"/>
    <n v="1.8100000000000002E-2"/>
    <n v="2.2499999999999998E-3"/>
  </r>
  <r>
    <x v="11"/>
    <n v="9"/>
    <n v="6.2610000000000001"/>
    <x v="402"/>
    <s v="3  125466"/>
    <n v="4428540"/>
    <n v="2.3099999999999999E-2"/>
    <n v="2.8700000000000002E-3"/>
  </r>
  <r>
    <x v="11"/>
    <n v="10"/>
    <n v="6.36"/>
    <x v="403"/>
    <s v="10   53257"/>
    <n v="2210570"/>
    <n v="1.15E-2"/>
    <n v="1.4300000000000001E-3"/>
  </r>
  <r>
    <x v="11"/>
    <n v="11"/>
    <n v="6.4939999999999998"/>
    <x v="13"/>
    <s v="4  242663"/>
    <n v="9265206"/>
    <n v="4.8300000000000003E-2"/>
    <n v="6.0099999999999997E-3"/>
  </r>
  <r>
    <x v="11"/>
    <n v="12"/>
    <n v="7.0179999999999998"/>
    <x v="404"/>
    <s v="4   23798"/>
    <n v="1190419"/>
    <n v="6.1999999999999998E-3"/>
    <n v="7.6999999999999996E-4"/>
  </r>
  <r>
    <x v="11"/>
    <n v="13"/>
    <n v="7.125"/>
    <x v="405"/>
    <s v="2   63591"/>
    <n v="1815564"/>
    <n v="9.4999999999999998E-3"/>
    <n v="1.1800000000000001E-3"/>
  </r>
  <r>
    <x v="11"/>
    <n v="14"/>
    <n v="7.3680000000000003"/>
    <x v="406"/>
    <s v="5   28712"/>
    <n v="1138311"/>
    <n v="5.8999999999999999E-3"/>
    <n v="7.3999999999999999E-4"/>
  </r>
  <r>
    <x v="11"/>
    <n v="15"/>
    <n v="8.1150000000000002"/>
    <x v="17"/>
    <s v="2  285908"/>
    <n v="9184156"/>
    <n v="4.7899999999999998E-2"/>
    <n v="5.9500000000000004E-3"/>
  </r>
  <r>
    <x v="11"/>
    <n v="16"/>
    <n v="8.2590000000000003"/>
    <x v="18"/>
    <s v="9  251998"/>
    <n v="11632470"/>
    <n v="6.0600000000000001E-2"/>
    <n v="7.5399999999999998E-3"/>
  </r>
  <r>
    <x v="11"/>
    <n v="17"/>
    <n v="8.343"/>
    <x v="407"/>
    <s v="10  136116"/>
    <n v="5589124"/>
    <n v="2.9100000000000001E-2"/>
    <n v="3.62E-3"/>
  </r>
  <r>
    <x v="11"/>
    <n v="18"/>
    <n v="8.641"/>
    <x v="20"/>
    <s v="10   78927"/>
    <n v="3400062"/>
    <n v="1.77E-2"/>
    <n v="2.2000000000000001E-3"/>
  </r>
  <r>
    <x v="11"/>
    <n v="19"/>
    <n v="8.9410000000000007"/>
    <x v="408"/>
    <s v="10   96023"/>
    <n v="3579154"/>
    <n v="1.8700000000000001E-2"/>
    <n v="2.32E-3"/>
  </r>
  <r>
    <x v="11"/>
    <n v="20"/>
    <n v="9.0020000000000007"/>
    <x v="409"/>
    <s v="10  126748"/>
    <n v="8253762"/>
    <n v="4.2999999999999997E-2"/>
    <n v="5.3499999999999997E-3"/>
  </r>
  <r>
    <x v="11"/>
    <n v="21"/>
    <n v="9.1859999999999999"/>
    <x v="142"/>
    <s v="5  136035"/>
    <n v="5480267"/>
    <n v="2.86E-2"/>
    <n v="3.5500000000000002E-3"/>
  </r>
  <r>
    <x v="11"/>
    <n v="22"/>
    <n v="9.26"/>
    <x v="24"/>
    <s v="5  137898"/>
    <n v="9821943"/>
    <n v="5.1200000000000002E-2"/>
    <n v="6.3699999999999998E-3"/>
  </r>
  <r>
    <x v="11"/>
    <n v="23"/>
    <n v="9.5139999999999993"/>
    <x v="26"/>
    <s v="5   50834"/>
    <n v="2647538"/>
    <n v="1.38E-2"/>
    <n v="1.72E-3"/>
  </r>
  <r>
    <x v="11"/>
    <n v="24"/>
    <n v="9.6579999999999995"/>
    <x v="211"/>
    <s v="4  524128"/>
    <n v="18421918"/>
    <n v="9.6000000000000002E-2"/>
    <n v="1.1939999999999999E-2"/>
  </r>
  <r>
    <x v="11"/>
    <n v="25"/>
    <n v="9.8230000000000004"/>
    <x v="28"/>
    <n v="1525924"/>
    <n v="50936000"/>
    <n v="0.26540000000000002"/>
    <n v="3.3020000000000001E-2"/>
  </r>
  <r>
    <x v="11"/>
    <n v="26"/>
    <n v="10.292999999999999"/>
    <x v="30"/>
    <s v="5  134362"/>
    <n v="6320625"/>
    <n v="3.2899999999999999E-2"/>
    <n v="4.1000000000000003E-3"/>
  </r>
  <r>
    <x v="11"/>
    <n v="27"/>
    <n v="10.404"/>
    <x v="31"/>
    <s v="3   71304"/>
    <n v="2754700"/>
    <n v="1.44E-2"/>
    <n v="1.7899999999999999E-3"/>
  </r>
  <r>
    <x v="11"/>
    <n v="28"/>
    <n v="10.502000000000001"/>
    <x v="410"/>
    <s v="3 1030613"/>
    <n v="36542927"/>
    <n v="0.19040000000000001"/>
    <n v="2.3689999999999999E-2"/>
  </r>
  <r>
    <x v="11"/>
    <n v="29"/>
    <n v="10.612"/>
    <x v="411"/>
    <s v="8 2054786"/>
    <n v="141384389"/>
    <n v="0.73680000000000001"/>
    <n v="9.1660000000000005E-2"/>
  </r>
  <r>
    <x v="11"/>
    <n v="30"/>
    <n v="10.906000000000001"/>
    <x v="412"/>
    <s v="8  239543"/>
    <n v="13925411"/>
    <n v="7.2599999999999998E-2"/>
    <n v="9.0299999999999998E-3"/>
  </r>
  <r>
    <x v="11"/>
    <n v="31"/>
    <n v="11.02"/>
    <x v="413"/>
    <s v="4  174343"/>
    <n v="2071064"/>
    <n v="1.0800000000000001E-2"/>
    <n v="1.34E-3"/>
  </r>
  <r>
    <x v="11"/>
    <n v="32"/>
    <n v="11.092000000000001"/>
    <x v="36"/>
    <s v="3  259569"/>
    <n v="10456944"/>
    <n v="5.45E-2"/>
    <n v="6.7799999999999996E-3"/>
  </r>
  <r>
    <x v="11"/>
    <n v="33"/>
    <n v="11.135999999999999"/>
    <x v="374"/>
    <s v="9  215584"/>
    <n v="4811364"/>
    <n v="2.5100000000000001E-2"/>
    <n v="3.1199999999999999E-3"/>
  </r>
  <r>
    <x v="11"/>
    <n v="34"/>
    <n v="11.217000000000001"/>
    <x v="37"/>
    <s v="10  301952"/>
    <n v="21314175"/>
    <n v="0.1111"/>
    <n v="1.3820000000000001E-2"/>
  </r>
  <r>
    <x v="11"/>
    <n v="35"/>
    <n v="11.554"/>
    <x v="216"/>
    <s v="7  198021"/>
    <n v="6117469"/>
    <n v="3.1899999999999998E-2"/>
    <n v="3.9699999999999996E-3"/>
  </r>
  <r>
    <x v="11"/>
    <n v="36"/>
    <n v="11.613"/>
    <x v="414"/>
    <s v="4  272109"/>
    <n v="14159713"/>
    <n v="7.3800000000000004E-2"/>
    <n v="9.1800000000000007E-3"/>
  </r>
  <r>
    <x v="11"/>
    <n v="37"/>
    <n v="11.75"/>
    <x v="41"/>
    <s v="4  116616"/>
    <n v="7173668"/>
    <n v="3.7400000000000003E-2"/>
    <n v="4.6499999999999996E-3"/>
  </r>
  <r>
    <x v="11"/>
    <n v="38"/>
    <n v="11.906000000000001"/>
    <x v="42"/>
    <s v="4  144889"/>
    <n v="7969526"/>
    <n v="4.1500000000000002E-2"/>
    <n v="5.1700000000000001E-3"/>
  </r>
  <r>
    <x v="11"/>
    <n v="39"/>
    <n v="11.973000000000001"/>
    <x v="43"/>
    <s v="4  113223"/>
    <n v="6399032"/>
    <n v="3.3300000000000003E-2"/>
    <n v="4.15E-3"/>
  </r>
  <r>
    <x v="11"/>
    <n v="40"/>
    <n v="12.132999999999999"/>
    <x v="44"/>
    <s v="4  103184"/>
    <n v="4924824"/>
    <n v="2.5700000000000001E-2"/>
    <n v="3.1900000000000001E-3"/>
  </r>
  <r>
    <x v="11"/>
    <n v="41"/>
    <n v="12.225"/>
    <x v="220"/>
    <s v="6  313446"/>
    <n v="14491341"/>
    <n v="7.5499999999999998E-2"/>
    <n v="9.3900000000000008E-3"/>
  </r>
  <r>
    <x v="11"/>
    <n v="42"/>
    <n v="12.339"/>
    <x v="415"/>
    <s v="6  149034"/>
    <n v="6379321"/>
    <n v="3.32E-2"/>
    <n v="4.1399999999999996E-3"/>
  </r>
  <r>
    <x v="11"/>
    <n v="43"/>
    <n v="12.538"/>
    <x v="49"/>
    <s v="6  136162"/>
    <n v="9944781"/>
    <n v="5.1799999999999999E-2"/>
    <n v="6.45E-3"/>
  </r>
  <r>
    <x v="11"/>
    <n v="44"/>
    <n v="12.621"/>
    <x v="416"/>
    <s v="9   85267"/>
    <n v="2533792"/>
    <n v="1.32E-2"/>
    <n v="1.64E-3"/>
  </r>
  <r>
    <x v="11"/>
    <n v="45"/>
    <n v="12.7"/>
    <x v="51"/>
    <s v="9  110084"/>
    <n v="4586662"/>
    <n v="2.3900000000000001E-2"/>
    <n v="2.97E-3"/>
  </r>
  <r>
    <x v="11"/>
    <n v="46"/>
    <n v="12.846"/>
    <x v="337"/>
    <s v="2 3937512"/>
    <n v="117122497"/>
    <n v="0.61040000000000005"/>
    <n v="7.5929999999999997E-2"/>
  </r>
  <r>
    <x v="11"/>
    <n v="47"/>
    <n v="13.141999999999999"/>
    <x v="417"/>
    <s v="2   51717"/>
    <n v="1736734"/>
    <n v="9.1000000000000004E-3"/>
    <n v="1.1299999999999999E-3"/>
  </r>
  <r>
    <x v="11"/>
    <n v="48"/>
    <n v="13.227"/>
    <x v="147"/>
    <s v="2  376238"/>
    <n v="13908801"/>
    <n v="7.2499999999999995E-2"/>
    <n v="9.0200000000000002E-3"/>
  </r>
  <r>
    <x v="11"/>
    <n v="49"/>
    <n v="13.397"/>
    <x v="418"/>
    <s v="2   64368"/>
    <n v="2281715"/>
    <n v="1.1900000000000001E-2"/>
    <n v="1.48E-3"/>
  </r>
  <r>
    <x v="11"/>
    <n v="50"/>
    <n v="13.445"/>
    <x v="341"/>
    <s v="2   63453"/>
    <n v="1993241"/>
    <n v="1.04E-2"/>
    <n v="1.2899999999999999E-3"/>
  </r>
  <r>
    <x v="11"/>
    <n v="51"/>
    <n v="13.557"/>
    <x v="54"/>
    <s v="10   47183"/>
    <n v="2016834"/>
    <n v="1.0500000000000001E-2"/>
    <n v="1.31E-3"/>
  </r>
  <r>
    <x v="11"/>
    <n v="52"/>
    <n v="13.614000000000001"/>
    <x v="419"/>
    <s v="9   40309"/>
    <n v="1385670"/>
    <n v="7.1999999999999998E-3"/>
    <n v="8.9999999999999998E-4"/>
  </r>
  <r>
    <x v="11"/>
    <n v="53"/>
    <n v="13.696"/>
    <x v="56"/>
    <s v="10   51076"/>
    <n v="1709554"/>
    <n v="8.8999999999999999E-3"/>
    <n v="1.1100000000000001E-3"/>
  </r>
  <r>
    <x v="11"/>
    <n v="54"/>
    <n v="13.851000000000001"/>
    <x v="420"/>
    <s v="10   41264"/>
    <n v="1169250"/>
    <n v="6.1000000000000004E-3"/>
    <n v="7.6000000000000004E-4"/>
  </r>
  <r>
    <x v="11"/>
    <n v="55"/>
    <n v="14.085000000000001"/>
    <x v="421"/>
    <s v="10   52449"/>
    <n v="4300977"/>
    <n v="2.24E-2"/>
    <n v="2.7899999999999999E-3"/>
  </r>
  <r>
    <x v="11"/>
    <n v="56"/>
    <n v="14.420999999999999"/>
    <x v="422"/>
    <s v="10   49013"/>
    <n v="3083369"/>
    <n v="1.61E-2"/>
    <n v="2E-3"/>
  </r>
  <r>
    <x v="11"/>
    <n v="57"/>
    <n v="14.541"/>
    <x v="423"/>
    <s v="10   79385"/>
    <n v="4636546"/>
    <n v="2.4199999999999999E-2"/>
    <n v="3.0100000000000001E-3"/>
  </r>
  <r>
    <x v="11"/>
    <n v="58"/>
    <n v="14.692"/>
    <x v="348"/>
    <s v="10   56646"/>
    <n v="2476297"/>
    <n v="1.29E-2"/>
    <n v="1.6100000000000001E-3"/>
  </r>
  <r>
    <x v="11"/>
    <n v="59"/>
    <n v="14.829000000000001"/>
    <x v="63"/>
    <s v="10   61651"/>
    <n v="3830060"/>
    <n v="0.02"/>
    <n v="2.48E-3"/>
  </r>
  <r>
    <x v="11"/>
    <n v="60"/>
    <n v="15.028"/>
    <x v="64"/>
    <s v="10   33109"/>
    <n v="1552937"/>
    <n v="8.0999999999999996E-3"/>
    <n v="1.01E-3"/>
  </r>
  <r>
    <x v="11"/>
    <n v="61"/>
    <n v="15.14"/>
    <x v="350"/>
    <s v="10   30480"/>
    <n v="1623878"/>
    <n v="8.5000000000000006E-3"/>
    <n v="1.0499999999999999E-3"/>
  </r>
  <r>
    <x v="11"/>
    <n v="62"/>
    <n v="15.269"/>
    <x v="65"/>
    <s v="10   42382"/>
    <n v="1401296"/>
    <n v="7.3000000000000001E-3"/>
    <n v="9.1E-4"/>
  </r>
  <r>
    <x v="11"/>
    <n v="63"/>
    <n v="15.34"/>
    <x v="66"/>
    <s v="4  170416"/>
    <n v="5167071"/>
    <n v="2.69E-2"/>
    <n v="3.3500000000000001E-3"/>
  </r>
  <r>
    <x v="11"/>
    <n v="64"/>
    <n v="15.416"/>
    <x v="148"/>
    <s v="5   58534"/>
    <n v="1351467"/>
    <n v="7.0000000000000001E-3"/>
    <n v="8.8000000000000003E-4"/>
  </r>
  <r>
    <x v="11"/>
    <n v="65"/>
    <n v="15.52"/>
    <x v="67"/>
    <s v="3  246106"/>
    <n v="9099165"/>
    <n v="4.7399999999999998E-2"/>
    <n v="5.8999999999999999E-3"/>
  </r>
  <r>
    <x v="11"/>
    <n v="66"/>
    <n v="15.712999999999999"/>
    <x v="151"/>
    <s v="3   55885"/>
    <n v="2236827"/>
    <n v="1.17E-2"/>
    <n v="1.4499999999999999E-3"/>
  </r>
  <r>
    <x v="11"/>
    <n v="67"/>
    <n v="15.875999999999999"/>
    <x v="69"/>
    <s v="5  414744"/>
    <n v="12432583"/>
    <n v="6.4799999999999996E-2"/>
    <n v="8.0599999999999995E-3"/>
  </r>
  <r>
    <x v="11"/>
    <n v="68"/>
    <n v="16.11"/>
    <x v="424"/>
    <s v="5   27061"/>
    <n v="1232909"/>
    <n v="6.4000000000000003E-3"/>
    <n v="8.0000000000000004E-4"/>
  </r>
  <r>
    <x v="11"/>
    <n v="69"/>
    <n v="16.661999999999999"/>
    <x v="71"/>
    <s v="2  142723"/>
    <n v="4032844"/>
    <n v="2.1000000000000001E-2"/>
    <n v="2.6099999999999999E-3"/>
  </r>
  <r>
    <x v="11"/>
    <n v="70"/>
    <n v="16.763000000000002"/>
    <x v="72"/>
    <s v="7  791210"/>
    <n v="20197785"/>
    <n v="0.1053"/>
    <n v="1.3089999999999999E-2"/>
  </r>
  <r>
    <x v="11"/>
    <n v="71"/>
    <n v="17.059999999999999"/>
    <x v="282"/>
    <s v="2 1172182"/>
    <n v="86174175"/>
    <n v="0.4491"/>
    <n v="5.5870000000000003E-2"/>
  </r>
  <r>
    <x v="11"/>
    <n v="72"/>
    <n v="17.291"/>
    <x v="360"/>
    <s v="2   44910"/>
    <n v="1874063"/>
    <n v="9.7999999999999997E-3"/>
    <n v="1.2099999999999999E-3"/>
  </r>
  <r>
    <x v="11"/>
    <n v="73"/>
    <n v="17.373000000000001"/>
    <x v="425"/>
    <s v="2   42929"/>
    <n v="1203143"/>
    <n v="6.3E-3"/>
    <n v="7.7999999999999999E-4"/>
  </r>
  <r>
    <x v="11"/>
    <n v="74"/>
    <n v="17.457000000000001"/>
    <x v="76"/>
    <s v="6  205916"/>
    <n v="6491908"/>
    <n v="3.3799999999999997E-2"/>
    <n v="4.2100000000000002E-3"/>
  </r>
  <r>
    <x v="11"/>
    <n v="75"/>
    <n v="17.552"/>
    <x v="233"/>
    <s v="6   39665"/>
    <n v="1504857"/>
    <n v="7.7999999999999996E-3"/>
    <n v="9.7999999999999997E-4"/>
  </r>
  <r>
    <x v="11"/>
    <n v="76"/>
    <n v="17.716000000000001"/>
    <x v="426"/>
    <s v="6   60029"/>
    <n v="2159221"/>
    <n v="1.1299999999999999E-2"/>
    <n v="1.4E-3"/>
  </r>
  <r>
    <x v="11"/>
    <n v="77"/>
    <n v="17.803999999999998"/>
    <x v="155"/>
    <s v="8   48505"/>
    <n v="1293469"/>
    <n v="6.7000000000000002E-3"/>
    <n v="8.4000000000000003E-4"/>
  </r>
  <r>
    <x v="11"/>
    <n v="78"/>
    <n v="18.305"/>
    <x v="82"/>
    <s v="9   63621"/>
    <n v="1525160"/>
    <n v="7.9000000000000008E-3"/>
    <n v="9.8999999999999999E-4"/>
  </r>
  <r>
    <x v="11"/>
    <n v="79"/>
    <n v="18.468"/>
    <x v="362"/>
    <s v="9   42793"/>
    <n v="1379752"/>
    <n v="7.1999999999999998E-3"/>
    <n v="8.8999999999999995E-4"/>
  </r>
  <r>
    <x v="11"/>
    <n v="80"/>
    <n v="18.739000000000001"/>
    <x v="84"/>
    <s v="8   84033"/>
    <n v="2553126"/>
    <n v="1.3299999999999999E-2"/>
    <n v="1.66E-3"/>
  </r>
  <r>
    <x v="11"/>
    <n v="81"/>
    <n v="18.841999999999999"/>
    <x v="85"/>
    <s v="6  208288"/>
    <n v="5244805"/>
    <n v="2.7300000000000001E-2"/>
    <n v="3.3999999999999998E-3"/>
  </r>
  <r>
    <x v="11"/>
    <n v="82"/>
    <n v="19.209"/>
    <x v="161"/>
    <s v="8   45722"/>
    <n v="1583714"/>
    <n v="8.3000000000000001E-3"/>
    <n v="1.0300000000000001E-3"/>
  </r>
  <r>
    <x v="11"/>
    <n v="83"/>
    <n v="20.233000000000001"/>
    <x v="237"/>
    <s v="8   46953"/>
    <n v="1656926"/>
    <n v="8.6E-3"/>
    <n v="1.07E-3"/>
  </r>
  <r>
    <x v="11"/>
    <n v="84"/>
    <n v="20.968"/>
    <x v="162"/>
    <s v="10   71221"/>
    <n v="2182582"/>
    <n v="1.14E-2"/>
    <n v="1.41E-3"/>
  </r>
  <r>
    <x v="11"/>
    <n v="85"/>
    <n v="21.173999999999999"/>
    <x v="259"/>
    <s v="10   30021"/>
    <n v="1141088"/>
    <n v="5.8999999999999999E-3"/>
    <n v="7.3999999999999999E-4"/>
  </r>
  <r>
    <x v="11"/>
    <n v="86"/>
    <n v="21.402999999999999"/>
    <x v="89"/>
    <s v="9   50826"/>
    <n v="1158788"/>
    <n v="6.0000000000000001E-3"/>
    <n v="7.5000000000000002E-4"/>
  </r>
  <r>
    <x v="11"/>
    <n v="87"/>
    <n v="21.690999999999999"/>
    <x v="427"/>
    <s v="9  127018"/>
    <n v="4263251"/>
    <n v="2.2200000000000001E-2"/>
    <n v="2.7599999999999999E-3"/>
  </r>
  <r>
    <x v="11"/>
    <n v="88"/>
    <n v="22.513000000000002"/>
    <x v="90"/>
    <s v="9   28353"/>
    <n v="1150223"/>
    <n v="6.0000000000000001E-3"/>
    <n v="7.5000000000000002E-4"/>
  </r>
  <r>
    <x v="11"/>
    <n v="89"/>
    <n v="23.477"/>
    <x v="93"/>
    <s v="7  108940"/>
    <n v="2961592"/>
    <n v="1.54E-2"/>
    <n v="1.92E-3"/>
  </r>
  <r>
    <x v="11"/>
    <n v="90"/>
    <n v="23.66"/>
    <x v="190"/>
    <s v="10   50122"/>
    <n v="1621362"/>
    <n v="8.3999999999999995E-3"/>
    <n v="1.0499999999999999E-3"/>
  </r>
  <r>
    <x v="11"/>
    <n v="91"/>
    <n v="23.925000000000001"/>
    <x v="95"/>
    <s v="10   40654"/>
    <n v="1303632"/>
    <n v="6.7999999999999996E-3"/>
    <n v="8.4999999999999995E-4"/>
  </r>
  <r>
    <x v="11"/>
    <n v="92"/>
    <n v="24.041"/>
    <x v="96"/>
    <s v="3   48586"/>
    <n v="1530975"/>
    <n v="8.0000000000000002E-3"/>
    <n v="9.8999999999999999E-4"/>
  </r>
  <r>
    <x v="11"/>
    <n v="93"/>
    <n v="24.260999999999999"/>
    <x v="97"/>
    <s v="9   67170"/>
    <n v="1720705"/>
    <n v="8.9999999999999993E-3"/>
    <n v="1.1199999999999999E-3"/>
  </r>
  <r>
    <x v="11"/>
    <n v="94"/>
    <n v="25.76"/>
    <x v="262"/>
    <s v="8   69275"/>
    <n v="1629273"/>
    <n v="8.5000000000000006E-3"/>
    <n v="1.06E-3"/>
  </r>
  <r>
    <x v="11"/>
    <n v="95"/>
    <n v="25.92"/>
    <x v="98"/>
    <s v="4   43067"/>
    <n v="1210558"/>
    <n v="6.3E-3"/>
    <n v="7.7999999999999999E-4"/>
  </r>
  <r>
    <x v="11"/>
    <n v="96"/>
    <n v="27.504999999999999"/>
    <x v="100"/>
    <s v="3   96026"/>
    <n v="1537667"/>
    <n v="8.0000000000000002E-3"/>
    <n v="1E-3"/>
  </r>
  <r>
    <x v="11"/>
    <n v="97"/>
    <n v="27.664000000000001"/>
    <x v="306"/>
    <s v="10   51514"/>
    <n v="1108942"/>
    <n v="5.7999999999999996E-3"/>
    <n v="7.2000000000000005E-4"/>
  </r>
  <r>
    <x v="11"/>
    <n v="98"/>
    <n v="27.97"/>
    <x v="164"/>
    <s v="6  421597"/>
    <n v="4954557"/>
    <n v="2.58E-2"/>
    <n v="3.2100000000000002E-3"/>
  </r>
  <r>
    <x v="11"/>
    <n v="99"/>
    <n v="28.481999999999999"/>
    <x v="101"/>
    <n v="2765743"/>
    <n v="35066613"/>
    <n v="0.1827"/>
    <n v="2.273E-2"/>
  </r>
  <r>
    <x v="11"/>
    <n v="100"/>
    <n v="28.532"/>
    <x v="263"/>
    <s v="8  171888"/>
    <n v="5226222"/>
    <n v="2.7199999999999998E-2"/>
    <n v="3.3899999999999998E-3"/>
  </r>
  <r>
    <x v="11"/>
    <n v="101"/>
    <n v="28.588000000000001"/>
    <x v="102"/>
    <s v="7  113502"/>
    <n v="3588478"/>
    <n v="1.8700000000000001E-2"/>
    <n v="2.33E-3"/>
  </r>
  <r>
    <x v="11"/>
    <n v="102"/>
    <n v="28.731999999999999"/>
    <x v="104"/>
    <s v="2  280382"/>
    <n v="4515438"/>
    <n v="2.35E-2"/>
    <n v="2.9299999999999999E-3"/>
  </r>
  <r>
    <x v="11"/>
    <n v="103"/>
    <n v="28.890999999999998"/>
    <x v="105"/>
    <n v="1018028"/>
    <n v="12088077"/>
    <n v="6.3E-2"/>
    <n v="7.8399999999999997E-3"/>
  </r>
  <r>
    <x v="11"/>
    <n v="104"/>
    <n v="29.048999999999999"/>
    <x v="106"/>
    <n v="9736493"/>
    <n v="116759253"/>
    <n v="0.60850000000000004"/>
    <n v="7.5700000000000003E-2"/>
  </r>
  <r>
    <x v="11"/>
    <n v="105"/>
    <n v="29.231000000000002"/>
    <x v="108"/>
    <n v="93269"/>
    <n v="2299273"/>
    <n v="1.2E-2"/>
    <n v="1.49E-3"/>
  </r>
  <r>
    <x v="11"/>
    <n v="106"/>
    <n v="29.42"/>
    <x v="166"/>
    <n v="102987"/>
    <n v="3100563"/>
    <n v="1.6199999999999999E-2"/>
    <n v="2.0100000000000001E-3"/>
  </r>
  <r>
    <x v="11"/>
    <n v="107"/>
    <n v="29.459"/>
    <x v="111"/>
    <s v="4  120589"/>
    <n v="3054939"/>
    <n v="1.5900000000000001E-2"/>
    <n v="1.98E-3"/>
  </r>
  <r>
    <x v="11"/>
    <n v="108"/>
    <n v="29.533000000000001"/>
    <x v="199"/>
    <s v="7   63427"/>
    <n v="1521883"/>
    <n v="7.9000000000000008E-3"/>
    <n v="9.8999999999999999E-4"/>
  </r>
  <r>
    <x v="11"/>
    <n v="109"/>
    <n v="29.74"/>
    <x v="115"/>
    <n v="1567914"/>
    <n v="16923277"/>
    <n v="8.8200000000000001E-2"/>
    <n v="1.0970000000000001E-2"/>
  </r>
  <r>
    <x v="11"/>
    <n v="110"/>
    <n v="29.837"/>
    <x v="116"/>
    <s v="7  795232"/>
    <n v="12228153"/>
    <n v="6.3700000000000007E-2"/>
    <n v="7.9299999999999995E-3"/>
  </r>
  <r>
    <x v="11"/>
    <n v="111"/>
    <n v="29.870999999999999"/>
    <x v="428"/>
    <s v="3  265572"/>
    <n v="5878166"/>
    <n v="3.0599999999999999E-2"/>
    <n v="3.81E-3"/>
  </r>
  <r>
    <x v="11"/>
    <n v="112"/>
    <n v="30.012"/>
    <x v="118"/>
    <n v="148774"/>
    <n v="2048011"/>
    <n v="1.0699999999999999E-2"/>
    <n v="1.33E-3"/>
  </r>
  <r>
    <x v="11"/>
    <n v="113"/>
    <n v="30.175000000000001"/>
    <x v="120"/>
    <s v="2  396970"/>
    <n v="3884930"/>
    <n v="2.0199999999999999E-2"/>
    <n v="2.5200000000000001E-3"/>
  </r>
  <r>
    <x v="11"/>
    <n v="114"/>
    <n v="30.25"/>
    <x v="121"/>
    <s v="5   66793"/>
    <n v="1181550"/>
    <n v="6.1999999999999998E-3"/>
    <n v="7.6999999999999996E-4"/>
  </r>
  <r>
    <x v="11"/>
    <n v="115"/>
    <n v="30.466999999999999"/>
    <x v="265"/>
    <s v="5  413901"/>
    <n v="6410194"/>
    <n v="3.3399999999999999E-2"/>
    <n v="4.1599999999999996E-3"/>
  </r>
  <r>
    <x v="11"/>
    <n v="116"/>
    <n v="30.812999999999999"/>
    <x v="170"/>
    <s v="5   37945"/>
    <n v="1037948"/>
    <n v="5.4000000000000003E-3"/>
    <n v="6.7000000000000002E-4"/>
  </r>
  <r>
    <x v="11"/>
    <n v="117"/>
    <n v="30.966999999999999"/>
    <x v="429"/>
    <s v="5   37642"/>
    <n v="1241646"/>
    <n v="6.4999999999999997E-3"/>
    <n v="8.0000000000000004E-4"/>
  </r>
  <r>
    <x v="11"/>
    <n v="118"/>
    <n v="31.015999999999998"/>
    <x v="266"/>
    <s v="5  207033"/>
    <n v="4404804"/>
    <n v="2.3E-2"/>
    <n v="2.8600000000000001E-3"/>
  </r>
  <r>
    <x v="11"/>
    <n v="119"/>
    <n v="31.116"/>
    <x v="366"/>
    <s v="5  157488"/>
    <n v="2846457"/>
    <n v="1.4800000000000001E-2"/>
    <n v="1.8500000000000001E-3"/>
  </r>
  <r>
    <x v="11"/>
    <n v="120"/>
    <n v="31.285"/>
    <x v="125"/>
    <s v="5   43366"/>
    <n v="1423943"/>
    <n v="7.4000000000000003E-3"/>
    <n v="9.2000000000000003E-4"/>
  </r>
  <r>
    <x v="11"/>
    <n v="121"/>
    <n v="31.367000000000001"/>
    <x v="268"/>
    <s v="10   40367"/>
    <n v="1276998"/>
    <n v="6.7000000000000002E-3"/>
    <n v="8.3000000000000001E-4"/>
  </r>
  <r>
    <x v="11"/>
    <n v="122"/>
    <n v="31.475000000000001"/>
    <x v="430"/>
    <s v="10   29534"/>
    <n v="1476441"/>
    <n v="7.7000000000000002E-3"/>
    <n v="9.6000000000000002E-4"/>
  </r>
  <r>
    <x v="11"/>
    <n v="123"/>
    <n v="31.594999999999999"/>
    <x v="431"/>
    <s v="10  106286"/>
    <n v="3168553"/>
    <n v="1.6500000000000001E-2"/>
    <n v="2.0500000000000002E-3"/>
  </r>
  <r>
    <x v="11"/>
    <n v="124"/>
    <n v="31.721"/>
    <x v="432"/>
    <s v="10   56928"/>
    <n v="2084179"/>
    <n v="1.09E-2"/>
    <n v="1.3500000000000001E-3"/>
  </r>
  <r>
    <x v="11"/>
    <n v="125"/>
    <n v="31.986999999999998"/>
    <x v="128"/>
    <n v="380301"/>
    <n v="7856068"/>
    <n v="4.0899999999999999E-2"/>
    <n v="5.0899999999999999E-3"/>
  </r>
  <r>
    <x v="11"/>
    <n v="126"/>
    <n v="32.17"/>
    <x v="274"/>
    <n v="35335"/>
    <n v="1522936"/>
    <n v="7.9000000000000008E-3"/>
    <n v="9.8999999999999999E-4"/>
  </r>
  <r>
    <x v="11"/>
    <n v="127"/>
    <n v="32.283999999999999"/>
    <x v="275"/>
    <n v="62581"/>
    <n v="1693129"/>
    <n v="8.8000000000000005E-3"/>
    <n v="1.1000000000000001E-3"/>
  </r>
  <r>
    <x v="11"/>
    <n v="128"/>
    <n v="32.548000000000002"/>
    <x v="276"/>
    <n v="167786"/>
    <n v="5291762"/>
    <n v="2.76E-2"/>
    <n v="3.4299999999999999E-3"/>
  </r>
  <r>
    <x v="11"/>
    <n v="129"/>
    <n v="32.726999999999997"/>
    <x v="131"/>
    <s v="4 1953133"/>
    <n v="36719724"/>
    <n v="0.19139999999999999"/>
    <n v="2.3810000000000001E-2"/>
  </r>
  <r>
    <x v="11"/>
    <n v="130"/>
    <n v="33.097000000000001"/>
    <x v="132"/>
    <n v="1130004"/>
    <n v="29290060"/>
    <n v="0.15260000000000001"/>
    <n v="1.899E-2"/>
  </r>
  <r>
    <x v="11"/>
    <n v="131"/>
    <n v="33.337000000000003"/>
    <x v="174"/>
    <n v="6495230"/>
    <n v="191891395"/>
    <n v="0"/>
    <n v="0.1244"/>
  </r>
  <r>
    <x v="11"/>
    <n v="132"/>
    <n v="33.685000000000002"/>
    <x v="176"/>
    <s v="A  1741218"/>
    <n v="40913325"/>
    <n v="0.2132"/>
    <n v="2.6519999999999998E-2"/>
  </r>
  <r>
    <x v="12"/>
    <n v="1"/>
    <n v="4.8940000000000001"/>
    <x v="133"/>
    <s v="6  380156"/>
    <n v="11860375"/>
    <n v="0.157"/>
    <n v="3.9050000000000001E-2"/>
  </r>
  <r>
    <x v="12"/>
    <n v="2"/>
    <n v="6.5129999999999999"/>
    <x v="433"/>
    <s v="4   34270"/>
    <n v="1189262"/>
    <n v="1.5699999999999999E-2"/>
    <n v="3.9199999999999999E-3"/>
  </r>
  <r>
    <x v="12"/>
    <n v="3"/>
    <n v="8.2940000000000005"/>
    <x v="387"/>
    <s v="5   28141"/>
    <n v="1022115"/>
    <n v="1.35E-2"/>
    <n v="3.3700000000000002E-3"/>
  </r>
  <r>
    <x v="12"/>
    <n v="4"/>
    <n v="9.1890000000000001"/>
    <x v="142"/>
    <s v="5   78586"/>
    <n v="2254646"/>
    <n v="2.9899999999999999E-2"/>
    <n v="7.4200000000000004E-3"/>
  </r>
  <r>
    <x v="12"/>
    <n v="5"/>
    <n v="9.2569999999999997"/>
    <x v="24"/>
    <s v="5   54916"/>
    <n v="1883394"/>
    <n v="2.4899999999999999E-2"/>
    <n v="6.1999999999999998E-3"/>
  </r>
  <r>
    <x v="12"/>
    <n v="6"/>
    <n v="9.6630000000000003"/>
    <x v="211"/>
    <s v="4  138395"/>
    <n v="4720105"/>
    <n v="6.25E-2"/>
    <n v="1.554E-2"/>
  </r>
  <r>
    <x v="12"/>
    <n v="7"/>
    <n v="10.292999999999999"/>
    <x v="30"/>
    <s v="7   35770"/>
    <n v="1233990"/>
    <n v="1.6299999999999999E-2"/>
    <n v="4.0600000000000002E-3"/>
  </r>
  <r>
    <x v="12"/>
    <n v="8"/>
    <n v="10.404999999999999"/>
    <x v="323"/>
    <s v="3   95497"/>
    <n v="3301627"/>
    <n v="4.3700000000000003E-2"/>
    <n v="1.0869999999999999E-2"/>
  </r>
  <r>
    <x v="12"/>
    <n v="9"/>
    <n v="10.481999999999999"/>
    <x v="212"/>
    <s v="3   31031"/>
    <n v="1003777"/>
    <n v="1.3299999999999999E-2"/>
    <n v="3.3E-3"/>
  </r>
  <r>
    <x v="12"/>
    <n v="10"/>
    <n v="10.602"/>
    <x v="434"/>
    <s v="5   60679"/>
    <n v="1580197"/>
    <n v="2.0899999999999998E-2"/>
    <n v="5.1999999999999998E-3"/>
  </r>
  <r>
    <x v="12"/>
    <n v="11"/>
    <n v="11.093999999999999"/>
    <x v="36"/>
    <s v="3   73799"/>
    <n v="2826234"/>
    <n v="3.7400000000000003E-2"/>
    <n v="9.3100000000000006E-3"/>
  </r>
  <r>
    <x v="12"/>
    <n v="12"/>
    <n v="11.212999999999999"/>
    <x v="215"/>
    <s v="7   34518"/>
    <n v="1154562"/>
    <n v="1.5299999999999999E-2"/>
    <n v="3.8E-3"/>
  </r>
  <r>
    <x v="12"/>
    <n v="13"/>
    <n v="12.843999999999999"/>
    <x v="52"/>
    <s v="2  556844"/>
    <n v="16240779"/>
    <n v="0.215"/>
    <n v="5.3469999999999997E-2"/>
  </r>
  <r>
    <x v="12"/>
    <n v="14"/>
    <n v="13.226000000000001"/>
    <x v="147"/>
    <s v="2  326383"/>
    <n v="9649198"/>
    <n v="0.1278"/>
    <n v="3.177E-2"/>
  </r>
  <r>
    <x v="12"/>
    <n v="15"/>
    <n v="14.544"/>
    <x v="423"/>
    <s v="2   90814"/>
    <n v="2606873"/>
    <n v="3.4500000000000003E-2"/>
    <n v="8.5800000000000008E-3"/>
  </r>
  <r>
    <x v="12"/>
    <n v="16"/>
    <n v="15.529"/>
    <x v="149"/>
    <s v="3   46813"/>
    <n v="1657312"/>
    <n v="2.1899999999999999E-2"/>
    <n v="5.4599999999999996E-3"/>
  </r>
  <r>
    <x v="12"/>
    <n v="17"/>
    <n v="15.879"/>
    <x v="69"/>
    <s v="4  213344"/>
    <n v="6164210"/>
    <n v="8.1600000000000006E-2"/>
    <n v="2.0299999999999999E-2"/>
  </r>
  <r>
    <x v="12"/>
    <n v="18"/>
    <n v="16.672000000000001"/>
    <x v="357"/>
    <s v="2   57895"/>
    <n v="1706560"/>
    <n v="2.2599999999999999E-2"/>
    <n v="5.62E-3"/>
  </r>
  <r>
    <x v="12"/>
    <n v="19"/>
    <n v="16.766999999999999"/>
    <x v="184"/>
    <s v="10   61736"/>
    <n v="1665002"/>
    <n v="2.1999999999999999E-2"/>
    <n v="5.4799999999999996E-3"/>
  </r>
  <r>
    <x v="12"/>
    <n v="20"/>
    <n v="16.969000000000001"/>
    <x v="435"/>
    <s v="4  527814"/>
    <n v="21454414"/>
    <n v="0.28399999999999997"/>
    <n v="7.0639999999999994E-2"/>
  </r>
  <r>
    <x v="12"/>
    <n v="21"/>
    <n v="17.477"/>
    <x v="436"/>
    <s v="6   60749"/>
    <n v="2680946"/>
    <n v="3.5499999999999997E-2"/>
    <n v="8.8299999999999993E-3"/>
  </r>
  <r>
    <x v="12"/>
    <n v="22"/>
    <n v="17.803999999999998"/>
    <x v="155"/>
    <s v="8   46763"/>
    <n v="1349293"/>
    <n v="1.7899999999999999E-2"/>
    <n v="4.4400000000000004E-3"/>
  </r>
  <r>
    <x v="12"/>
    <n v="23"/>
    <n v="18.062999999999999"/>
    <x v="235"/>
    <s v="4   20496"/>
    <n v="1072969"/>
    <n v="1.4200000000000001E-2"/>
    <n v="3.5300000000000002E-3"/>
  </r>
  <r>
    <x v="12"/>
    <n v="24"/>
    <n v="18.305"/>
    <x v="82"/>
    <s v="4   40003"/>
    <n v="1176640"/>
    <n v="1.5599999999999999E-2"/>
    <n v="3.8700000000000002E-3"/>
  </r>
  <r>
    <x v="12"/>
    <n v="25"/>
    <n v="18.733000000000001"/>
    <x v="160"/>
    <s v="6   36984"/>
    <n v="1104907"/>
    <n v="1.46E-2"/>
    <n v="3.64E-3"/>
  </r>
  <r>
    <x v="12"/>
    <n v="26"/>
    <n v="18.844000000000001"/>
    <x v="85"/>
    <s v="5  171966"/>
    <n v="4560773"/>
    <n v="6.0400000000000002E-2"/>
    <n v="1.502E-2"/>
  </r>
  <r>
    <x v="12"/>
    <n v="27"/>
    <n v="19.405000000000001"/>
    <x v="285"/>
    <s v="9   28362"/>
    <n v="1008648"/>
    <n v="1.34E-2"/>
    <n v="3.32E-3"/>
  </r>
  <r>
    <x v="12"/>
    <n v="28"/>
    <n v="23.48"/>
    <x v="93"/>
    <s v="6   58533"/>
    <n v="1606810"/>
    <n v="2.1299999999999999E-2"/>
    <n v="5.2900000000000004E-3"/>
  </r>
  <r>
    <x v="12"/>
    <n v="29"/>
    <n v="23.664000000000001"/>
    <x v="190"/>
    <s v="6   40375"/>
    <n v="1329590"/>
    <n v="1.7600000000000001E-2"/>
    <n v="4.3800000000000002E-3"/>
  </r>
  <r>
    <x v="12"/>
    <n v="30"/>
    <n v="24.041"/>
    <x v="96"/>
    <s v="3   39904"/>
    <n v="1123326"/>
    <n v="1.49E-2"/>
    <n v="3.7000000000000002E-3"/>
  </r>
  <r>
    <x v="12"/>
    <n v="31"/>
    <n v="24.359000000000002"/>
    <x v="437"/>
    <s v="8   36805"/>
    <n v="1082575"/>
    <n v="1.43E-2"/>
    <n v="3.5599999999999998E-3"/>
  </r>
  <r>
    <x v="12"/>
    <n v="32"/>
    <n v="27.507999999999999"/>
    <x v="100"/>
    <s v="2   75104"/>
    <n v="1307836"/>
    <n v="1.7299999999999999E-2"/>
    <n v="4.3099999999999996E-3"/>
  </r>
  <r>
    <x v="12"/>
    <n v="33"/>
    <n v="28.481999999999999"/>
    <x v="101"/>
    <n v="1888564"/>
    <n v="27795911"/>
    <n v="0.36799999999999999"/>
    <n v="9.1520000000000004E-2"/>
  </r>
  <r>
    <x v="12"/>
    <n v="34"/>
    <n v="28.599"/>
    <x v="242"/>
    <s v="7   61688"/>
    <n v="1092747"/>
    <n v="1.4500000000000001E-2"/>
    <n v="3.5999999999999999E-3"/>
  </r>
  <r>
    <x v="12"/>
    <n v="35"/>
    <n v="28.638000000000002"/>
    <x v="103"/>
    <s v="7  102865"/>
    <n v="2384129"/>
    <n v="3.1600000000000003E-2"/>
    <n v="7.8499999999999993E-3"/>
  </r>
  <r>
    <x v="12"/>
    <n v="36"/>
    <n v="28.733000000000001"/>
    <x v="104"/>
    <s v="3  375431"/>
    <n v="7175713"/>
    <n v="9.5000000000000001E-2"/>
    <n v="2.3630000000000002E-2"/>
  </r>
  <r>
    <x v="12"/>
    <n v="37"/>
    <n v="28.891999999999999"/>
    <x v="105"/>
    <n v="758590"/>
    <n v="10452457"/>
    <n v="0.1384"/>
    <n v="3.4410000000000003E-2"/>
  </r>
  <r>
    <x v="12"/>
    <n v="38"/>
    <n v="29.048999999999999"/>
    <x v="106"/>
    <n v="6670382"/>
    <n v="75531148"/>
    <n v="0"/>
    <n v="0.24868000000000001"/>
  </r>
  <r>
    <x v="12"/>
    <n v="39"/>
    <n v="29.158000000000001"/>
    <x v="197"/>
    <s v="7   58003"/>
    <n v="1144262"/>
    <n v="1.5100000000000001E-2"/>
    <n v="3.7699999999999999E-3"/>
  </r>
  <r>
    <x v="12"/>
    <n v="40"/>
    <n v="29.234000000000002"/>
    <x v="108"/>
    <s v="9   54796"/>
    <n v="1501503"/>
    <n v="1.9900000000000001E-2"/>
    <n v="4.9399999999999999E-3"/>
  </r>
  <r>
    <x v="12"/>
    <n v="41"/>
    <n v="29.433"/>
    <x v="110"/>
    <s v="9   36451"/>
    <n v="1260751"/>
    <n v="1.67E-2"/>
    <n v="4.15E-3"/>
  </r>
  <r>
    <x v="12"/>
    <n v="42"/>
    <n v="29.469000000000001"/>
    <x v="167"/>
    <s v="5   41220"/>
    <n v="1305237"/>
    <n v="1.7299999999999999E-2"/>
    <n v="4.3E-3"/>
  </r>
  <r>
    <x v="12"/>
    <n v="43"/>
    <n v="29.54"/>
    <x v="112"/>
    <s v="6  106462"/>
    <n v="1737615"/>
    <n v="2.3E-2"/>
    <n v="5.7200000000000003E-3"/>
  </r>
  <r>
    <x v="12"/>
    <n v="44"/>
    <n v="29.742000000000001"/>
    <x v="115"/>
    <n v="713867"/>
    <n v="9245591"/>
    <n v="0.12239999999999999"/>
    <n v="3.0439999999999998E-2"/>
  </r>
  <r>
    <x v="12"/>
    <n v="45"/>
    <n v="29.826000000000001"/>
    <x v="245"/>
    <s v="5  192481"/>
    <n v="3144354"/>
    <n v="4.1599999999999998E-2"/>
    <n v="1.035E-2"/>
  </r>
  <r>
    <x v="12"/>
    <n v="46"/>
    <n v="29.89"/>
    <x v="117"/>
    <s v="3  113116"/>
    <n v="4986393"/>
    <n v="6.6000000000000003E-2"/>
    <n v="1.6420000000000001E-2"/>
  </r>
  <r>
    <x v="12"/>
    <n v="47"/>
    <n v="30.013999999999999"/>
    <x v="118"/>
    <n v="48774"/>
    <n v="1171497"/>
    <n v="1.55E-2"/>
    <n v="3.8600000000000001E-3"/>
  </r>
  <r>
    <x v="12"/>
    <n v="48"/>
    <n v="30.175000000000001"/>
    <x v="120"/>
    <n v="80593"/>
    <n v="1043277"/>
    <n v="1.38E-2"/>
    <n v="3.4299999999999999E-3"/>
  </r>
  <r>
    <x v="12"/>
    <n v="49"/>
    <n v="30.234999999999999"/>
    <x v="169"/>
    <s v="8   74407"/>
    <n v="1389951"/>
    <n v="1.84E-2"/>
    <n v="4.5799999999999999E-3"/>
  </r>
  <r>
    <x v="12"/>
    <n v="50"/>
    <n v="30.812000000000001"/>
    <x v="170"/>
    <s v="8   68713"/>
    <n v="1262903"/>
    <n v="1.67E-2"/>
    <n v="4.1599999999999996E-3"/>
  </r>
  <r>
    <x v="12"/>
    <n v="51"/>
    <n v="31.364999999999998"/>
    <x v="268"/>
    <s v="8   63825"/>
    <n v="1965602"/>
    <n v="2.5999999999999999E-2"/>
    <n v="6.4700000000000001E-3"/>
  </r>
  <r>
    <x v="12"/>
    <n v="52"/>
    <n v="31.827000000000002"/>
    <x v="438"/>
    <s v="8   65652"/>
    <n v="4205888"/>
    <n v="5.57E-2"/>
    <n v="1.3849999999999999E-2"/>
  </r>
  <r>
    <x v="12"/>
    <n v="53"/>
    <n v="31.989000000000001"/>
    <x v="128"/>
    <n v="438809"/>
    <n v="10086686"/>
    <n v="0.13350000000000001"/>
    <n v="3.3210000000000003E-2"/>
  </r>
  <r>
    <x v="12"/>
    <n v="54"/>
    <n v="32.732999999999997"/>
    <x v="131"/>
    <s v="3  307158"/>
    <n v="7526809"/>
    <n v="9.9699999999999997E-2"/>
    <n v="2.478E-2"/>
  </r>
  <r>
    <x v="12"/>
    <n v="55"/>
    <n v="32.829000000000001"/>
    <x v="439"/>
    <s v="3   28450"/>
    <n v="1081104"/>
    <n v="1.43E-2"/>
    <n v="3.5599999999999998E-3"/>
  </r>
  <r>
    <x v="12"/>
    <n v="56"/>
    <n v="33.100999999999999"/>
    <x v="132"/>
    <n v="248560"/>
    <n v="8932920"/>
    <n v="0.1183"/>
    <n v="2.9409999999999999E-2"/>
  </r>
  <r>
    <x v="12"/>
    <n v="57"/>
    <n v="33.691000000000003"/>
    <x v="176"/>
    <n v="48730"/>
    <n v="1723733"/>
    <n v="2.2800000000000001E-2"/>
    <n v="5.6800000000000002E-3"/>
  </r>
  <r>
    <x v="13"/>
    <n v="1"/>
    <n v="4.5039999999999996"/>
    <x v="204"/>
    <s v="6   52480"/>
    <n v="1187828"/>
    <n v="8.5000000000000006E-3"/>
    <n v="2.16E-3"/>
  </r>
  <r>
    <x v="13"/>
    <n v="2"/>
    <n v="4.7270000000000003"/>
    <x v="440"/>
    <s v="7   31683"/>
    <n v="1139074"/>
    <n v="8.2000000000000007E-3"/>
    <n v="2.0699999999999998E-3"/>
  </r>
  <r>
    <x v="13"/>
    <n v="3"/>
    <n v="4.8179999999999996"/>
    <x v="205"/>
    <s v="4   55216"/>
    <n v="1635965"/>
    <n v="1.17E-2"/>
    <n v="2.97E-3"/>
  </r>
  <r>
    <x v="13"/>
    <n v="4"/>
    <n v="4.8929999999999998"/>
    <x v="133"/>
    <s v="6  349586"/>
    <n v="10421070"/>
    <n v="7.4800000000000005E-2"/>
    <n v="1.8919999999999999E-2"/>
  </r>
  <r>
    <x v="13"/>
    <n v="5"/>
    <n v="4.992"/>
    <x v="441"/>
    <s v="8   72527"/>
    <n v="2361354"/>
    <n v="1.6899999999999998E-2"/>
    <n v="4.2900000000000004E-3"/>
  </r>
  <r>
    <x v="13"/>
    <n v="6"/>
    <n v="5.1369999999999996"/>
    <x v="442"/>
    <s v="6   41000"/>
    <n v="1114781"/>
    <n v="8.0000000000000002E-3"/>
    <n v="2.0200000000000001E-3"/>
  </r>
  <r>
    <x v="13"/>
    <n v="7"/>
    <n v="6.11"/>
    <x v="138"/>
    <s v="10   47715"/>
    <n v="1173332"/>
    <n v="8.3999999999999995E-3"/>
    <n v="2.1299999999999999E-3"/>
  </r>
  <r>
    <x v="13"/>
    <n v="8"/>
    <n v="6.2619999999999996"/>
    <x v="402"/>
    <s v="3   56665"/>
    <n v="2278628"/>
    <n v="1.6400000000000001E-2"/>
    <n v="4.1399999999999996E-3"/>
  </r>
  <r>
    <x v="13"/>
    <n v="9"/>
    <n v="6.4969999999999999"/>
    <x v="313"/>
    <s v="4   93919"/>
    <n v="3439047"/>
    <n v="2.47E-2"/>
    <n v="6.2399999999999999E-3"/>
  </r>
  <r>
    <x v="13"/>
    <n v="10"/>
    <n v="7.1269999999999998"/>
    <x v="405"/>
    <s v="3   39130"/>
    <n v="1373556"/>
    <n v="9.9000000000000008E-3"/>
    <n v="2.49E-3"/>
  </r>
  <r>
    <x v="13"/>
    <n v="11"/>
    <n v="7.36"/>
    <x v="207"/>
    <s v="5   29466"/>
    <n v="1052017"/>
    <n v="7.4999999999999997E-3"/>
    <n v="1.91E-3"/>
  </r>
  <r>
    <x v="13"/>
    <n v="12"/>
    <n v="8.2710000000000008"/>
    <x v="140"/>
    <s v="9   74436"/>
    <n v="3491718"/>
    <n v="2.5100000000000001E-2"/>
    <n v="6.3400000000000001E-3"/>
  </r>
  <r>
    <x v="13"/>
    <n v="13"/>
    <n v="8.94"/>
    <x v="408"/>
    <s v="9   44971"/>
    <n v="1901822"/>
    <n v="1.3599999999999999E-2"/>
    <n v="3.4499999999999999E-3"/>
  </r>
  <r>
    <x v="13"/>
    <n v="14"/>
    <n v="9.1869999999999994"/>
    <x v="142"/>
    <s v="7   92461"/>
    <n v="3104907"/>
    <n v="2.23E-2"/>
    <n v="5.64E-3"/>
  </r>
  <r>
    <x v="13"/>
    <n v="15"/>
    <n v="9.2590000000000003"/>
    <x v="24"/>
    <s v="10   85806"/>
    <n v="3592325"/>
    <n v="2.58E-2"/>
    <n v="6.5199999999999998E-3"/>
  </r>
  <r>
    <x v="13"/>
    <n v="16"/>
    <n v="9.657"/>
    <x v="211"/>
    <s v="4  340826"/>
    <n v="11471320"/>
    <n v="8.2299999999999998E-2"/>
    <n v="2.0830000000000001E-2"/>
  </r>
  <r>
    <x v="13"/>
    <n v="17"/>
    <n v="10.297000000000001"/>
    <x v="298"/>
    <s v="5   46638"/>
    <n v="1540188"/>
    <n v="1.11E-2"/>
    <n v="2.8E-3"/>
  </r>
  <r>
    <x v="13"/>
    <n v="18"/>
    <n v="10.404999999999999"/>
    <x v="323"/>
    <s v="3   49697"/>
    <n v="1616970"/>
    <n v="1.1599999999999999E-2"/>
    <n v="2.9399999999999999E-3"/>
  </r>
  <r>
    <x v="13"/>
    <n v="19"/>
    <n v="10.772"/>
    <x v="35"/>
    <s v="5   86164"/>
    <n v="2662679"/>
    <n v="1.9099999999999999E-2"/>
    <n v="4.8399999999999997E-3"/>
  </r>
  <r>
    <x v="13"/>
    <n v="20"/>
    <n v="11.096"/>
    <x v="251"/>
    <s v="3   96544"/>
    <n v="3623988"/>
    <n v="2.5999999999999999E-2"/>
    <n v="6.5799999999999999E-3"/>
  </r>
  <r>
    <x v="13"/>
    <n v="21"/>
    <n v="11.222"/>
    <x v="37"/>
    <s v="3   30900"/>
    <n v="1050986"/>
    <n v="7.4999999999999997E-3"/>
    <n v="1.91E-3"/>
  </r>
  <r>
    <x v="13"/>
    <n v="22"/>
    <n v="11.414999999999999"/>
    <x v="443"/>
    <s v="3   19469"/>
    <n v="1076031"/>
    <n v="7.7000000000000002E-3"/>
    <n v="1.9499999999999999E-3"/>
  </r>
  <r>
    <x v="13"/>
    <n v="23"/>
    <n v="11.638"/>
    <x v="375"/>
    <s v="4   27129"/>
    <n v="1056420"/>
    <n v="7.6E-3"/>
    <n v="1.92E-3"/>
  </r>
  <r>
    <x v="13"/>
    <n v="24"/>
    <n v="12.707000000000001"/>
    <x v="146"/>
    <s v="4  181611"/>
    <n v="6489179"/>
    <n v="4.6600000000000003E-2"/>
    <n v="1.1780000000000001E-2"/>
  </r>
  <r>
    <x v="13"/>
    <n v="25"/>
    <n v="12.843"/>
    <x v="52"/>
    <s v="2  737107"/>
    <n v="22077877"/>
    <n v="0.15840000000000001"/>
    <n v="4.0090000000000001E-2"/>
  </r>
  <r>
    <x v="13"/>
    <n v="26"/>
    <n v="13.226000000000001"/>
    <x v="147"/>
    <s v="2  460891"/>
    <n v="14714240"/>
    <n v="0.1056"/>
    <n v="2.6720000000000001E-2"/>
  </r>
  <r>
    <x v="13"/>
    <n v="27"/>
    <n v="14.007999999999999"/>
    <x v="58"/>
    <s v="2   22351"/>
    <n v="1171313"/>
    <n v="8.3999999999999995E-3"/>
    <n v="2.1299999999999999E-3"/>
  </r>
  <r>
    <x v="13"/>
    <n v="28"/>
    <n v="14.233000000000001"/>
    <x v="444"/>
    <s v="2   42802"/>
    <n v="1600019"/>
    <n v="1.15E-2"/>
    <n v="2.9099999999999998E-3"/>
  </r>
  <r>
    <x v="13"/>
    <n v="29"/>
    <n v="14.528"/>
    <x v="301"/>
    <s v="9   62274"/>
    <n v="2022137"/>
    <n v="1.4500000000000001E-2"/>
    <n v="3.6700000000000001E-3"/>
  </r>
  <r>
    <x v="13"/>
    <n v="30"/>
    <n v="15.343999999999999"/>
    <x v="66"/>
    <s v="3   46391"/>
    <n v="1298562"/>
    <n v="9.2999999999999992E-3"/>
    <n v="2.3600000000000001E-3"/>
  </r>
  <r>
    <x v="13"/>
    <n v="31"/>
    <n v="15.416"/>
    <x v="148"/>
    <s v="10   62156"/>
    <n v="2225809"/>
    <n v="1.6E-2"/>
    <n v="4.0400000000000002E-3"/>
  </r>
  <r>
    <x v="13"/>
    <n v="32"/>
    <n v="15.526"/>
    <x v="149"/>
    <s v="3   57539"/>
    <n v="2999924"/>
    <n v="2.1499999999999998E-2"/>
    <n v="5.45E-3"/>
  </r>
  <r>
    <x v="13"/>
    <n v="33"/>
    <n v="15.722"/>
    <x v="445"/>
    <s v="3   33610"/>
    <n v="1446610"/>
    <n v="1.04E-2"/>
    <n v="2.63E-3"/>
  </r>
  <r>
    <x v="13"/>
    <n v="34"/>
    <n v="15.877000000000001"/>
    <x v="69"/>
    <s v="4  258490"/>
    <n v="7618271"/>
    <n v="5.4699999999999999E-2"/>
    <n v="1.383E-2"/>
  </r>
  <r>
    <x v="13"/>
    <n v="35"/>
    <n v="16.663"/>
    <x v="71"/>
    <s v="2  125448"/>
    <n v="3670332"/>
    <n v="2.63E-2"/>
    <n v="6.6600000000000001E-3"/>
  </r>
  <r>
    <x v="13"/>
    <n v="36"/>
    <n v="16.763999999999999"/>
    <x v="72"/>
    <s v="9  102699"/>
    <n v="2845825"/>
    <n v="2.0400000000000001E-2"/>
    <n v="5.1700000000000001E-3"/>
  </r>
  <r>
    <x v="13"/>
    <n v="37"/>
    <n v="17.071000000000002"/>
    <x v="446"/>
    <s v="2 1293827"/>
    <n v="88503090"/>
    <n v="0.6351"/>
    <n v="0.16070999999999999"/>
  </r>
  <r>
    <x v="13"/>
    <n v="38"/>
    <n v="17.454999999999998"/>
    <x v="76"/>
    <s v="6  350964"/>
    <n v="11047071"/>
    <n v="7.9299999999999995E-2"/>
    <n v="2.0060000000000001E-2"/>
  </r>
  <r>
    <x v="13"/>
    <n v="39"/>
    <n v="17.716999999999999"/>
    <x v="426"/>
    <s v="7   34627"/>
    <n v="1267564"/>
    <n v="9.1000000000000004E-3"/>
    <n v="2.3E-3"/>
  </r>
  <r>
    <x v="13"/>
    <n v="40"/>
    <n v="17.803000000000001"/>
    <x v="155"/>
    <s v="8   84703"/>
    <n v="2681449"/>
    <n v="1.9199999999999998E-2"/>
    <n v="4.8700000000000002E-3"/>
  </r>
  <r>
    <x v="13"/>
    <n v="41"/>
    <n v="18.062999999999999"/>
    <x v="235"/>
    <s v="4   49543"/>
    <n v="3283591"/>
    <n v="2.3599999999999999E-2"/>
    <n v="5.96E-3"/>
  </r>
  <r>
    <x v="13"/>
    <n v="42"/>
    <n v="18.305"/>
    <x v="82"/>
    <s v="5   89965"/>
    <n v="2931826"/>
    <n v="2.1000000000000001E-2"/>
    <n v="5.3200000000000001E-3"/>
  </r>
  <r>
    <x v="13"/>
    <n v="43"/>
    <n v="18.736000000000001"/>
    <x v="84"/>
    <s v="8   59791"/>
    <n v="2070750"/>
    <n v="1.49E-2"/>
    <n v="3.7599999999999999E-3"/>
  </r>
  <r>
    <x v="13"/>
    <n v="44"/>
    <n v="18.843"/>
    <x v="85"/>
    <s v="6  171872"/>
    <n v="5594822"/>
    <n v="4.0099999999999997E-2"/>
    <n v="1.0160000000000001E-2"/>
  </r>
  <r>
    <x v="13"/>
    <n v="45"/>
    <n v="20.225000000000001"/>
    <x v="237"/>
    <s v="6   70742"/>
    <n v="2507118"/>
    <n v="1.7999999999999999E-2"/>
    <n v="4.5500000000000002E-3"/>
  </r>
  <r>
    <x v="13"/>
    <n v="46"/>
    <n v="20.966999999999999"/>
    <x v="162"/>
    <s v="6   79437"/>
    <n v="2062908"/>
    <n v="1.4800000000000001E-2"/>
    <n v="3.7499999999999999E-3"/>
  </r>
  <r>
    <x v="13"/>
    <n v="47"/>
    <n v="21.170999999999999"/>
    <x v="259"/>
    <s v="10   40183"/>
    <n v="1586867"/>
    <n v="1.14E-2"/>
    <n v="2.8800000000000002E-3"/>
  </r>
  <r>
    <x v="13"/>
    <n v="48"/>
    <n v="21.404"/>
    <x v="89"/>
    <s v="10   43465"/>
    <n v="1799833"/>
    <n v="1.29E-2"/>
    <n v="3.2699999999999999E-3"/>
  </r>
  <r>
    <x v="13"/>
    <n v="49"/>
    <n v="22.512"/>
    <x v="90"/>
    <s v="10   36791"/>
    <n v="1164722"/>
    <n v="8.3999999999999995E-3"/>
    <n v="2.1099999999999999E-3"/>
  </r>
  <r>
    <x v="13"/>
    <n v="50"/>
    <n v="23.475999999999999"/>
    <x v="93"/>
    <s v="6  154439"/>
    <n v="3994998"/>
    <n v="2.87E-2"/>
    <n v="7.2500000000000004E-3"/>
  </r>
  <r>
    <x v="13"/>
    <n v="51"/>
    <n v="23.664000000000001"/>
    <x v="190"/>
    <s v="8   63928"/>
    <n v="1644627"/>
    <n v="1.18E-2"/>
    <n v="2.99E-3"/>
  </r>
  <r>
    <x v="13"/>
    <n v="52"/>
    <n v="23.928999999999998"/>
    <x v="95"/>
    <s v="8   34690"/>
    <n v="1154117"/>
    <n v="8.3000000000000001E-3"/>
    <n v="2.0999999999999999E-3"/>
  </r>
  <r>
    <x v="13"/>
    <n v="53"/>
    <n v="25.846"/>
    <x v="163"/>
    <s v="10   45245"/>
    <n v="1045577"/>
    <n v="7.4999999999999997E-3"/>
    <n v="1.9E-3"/>
  </r>
  <r>
    <x v="13"/>
    <n v="54"/>
    <n v="26.012"/>
    <x v="447"/>
    <s v="9   30825"/>
    <n v="1156273"/>
    <n v="8.3000000000000001E-3"/>
    <n v="2.0999999999999999E-3"/>
  </r>
  <r>
    <x v="13"/>
    <n v="55"/>
    <n v="27.43"/>
    <x v="99"/>
    <s v="10   66003"/>
    <n v="1212354"/>
    <n v="8.6999999999999994E-3"/>
    <n v="2.2000000000000001E-3"/>
  </r>
  <r>
    <x v="13"/>
    <n v="56"/>
    <n v="27.507000000000001"/>
    <x v="100"/>
    <s v="4  110337"/>
    <n v="2043101"/>
    <n v="1.47E-2"/>
    <n v="3.7100000000000002E-3"/>
  </r>
  <r>
    <x v="13"/>
    <n v="57"/>
    <n v="28.481000000000002"/>
    <x v="101"/>
    <n v="3651946"/>
    <n v="48174241"/>
    <n v="0.34570000000000001"/>
    <n v="8.7480000000000002E-2"/>
  </r>
  <r>
    <x v="13"/>
    <n v="58"/>
    <n v="28.594999999999999"/>
    <x v="242"/>
    <s v="6  103936"/>
    <n v="1996313"/>
    <n v="1.43E-2"/>
    <n v="3.63E-3"/>
  </r>
  <r>
    <x v="13"/>
    <n v="59"/>
    <n v="28.635999999999999"/>
    <x v="103"/>
    <s v="4   90733"/>
    <n v="1705356"/>
    <n v="1.2200000000000001E-2"/>
    <n v="3.0999999999999999E-3"/>
  </r>
  <r>
    <x v="13"/>
    <n v="60"/>
    <n v="28.733000000000001"/>
    <x v="104"/>
    <s v="3  485824"/>
    <n v="8598875"/>
    <n v="6.1699999999999998E-2"/>
    <n v="1.5610000000000001E-2"/>
  </r>
  <r>
    <x v="13"/>
    <n v="61"/>
    <n v="28.891999999999999"/>
    <x v="105"/>
    <n v="1381811"/>
    <n v="17076555"/>
    <n v="0.1225"/>
    <n v="3.1009999999999999E-2"/>
  </r>
  <r>
    <x v="13"/>
    <n v="62"/>
    <n v="29.05"/>
    <x v="106"/>
    <n v="12240181"/>
    <n v="139362336"/>
    <n v="1"/>
    <n v="0.25307000000000002"/>
  </r>
  <r>
    <x v="13"/>
    <n v="63"/>
    <n v="29.16"/>
    <x v="197"/>
    <s v="7  123953"/>
    <n v="1950915"/>
    <n v="1.4E-2"/>
    <n v="3.5400000000000002E-3"/>
  </r>
  <r>
    <x v="13"/>
    <n v="64"/>
    <n v="29.233000000000001"/>
    <x v="108"/>
    <s v="7  113489"/>
    <n v="3859260"/>
    <n v="2.7699999999999999E-2"/>
    <n v="7.0099999999999997E-3"/>
  </r>
  <r>
    <x v="13"/>
    <n v="65"/>
    <n v="29.311"/>
    <x v="198"/>
    <s v="7   61143"/>
    <n v="1720704"/>
    <n v="1.23E-2"/>
    <n v="3.1199999999999999E-3"/>
  </r>
  <r>
    <x v="13"/>
    <n v="66"/>
    <n v="29.431999999999999"/>
    <x v="110"/>
    <s v="7   77979"/>
    <n v="2263406"/>
    <n v="1.6199999999999999E-2"/>
    <n v="4.1099999999999999E-3"/>
  </r>
  <r>
    <x v="13"/>
    <n v="67"/>
    <n v="29.466000000000001"/>
    <x v="167"/>
    <s v="2   63731"/>
    <n v="1930205"/>
    <n v="1.3899999999999999E-2"/>
    <n v="3.5100000000000001E-3"/>
  </r>
  <r>
    <x v="13"/>
    <n v="68"/>
    <n v="29.533000000000001"/>
    <x v="199"/>
    <s v="6  101224"/>
    <n v="1985886"/>
    <n v="1.4200000000000001E-2"/>
    <n v="3.6099999999999999E-3"/>
  </r>
  <r>
    <x v="13"/>
    <n v="69"/>
    <n v="29.62"/>
    <x v="113"/>
    <s v="6   52670"/>
    <n v="1332021"/>
    <n v="9.5999999999999992E-3"/>
    <n v="2.4199999999999998E-3"/>
  </r>
  <r>
    <x v="13"/>
    <n v="70"/>
    <n v="29.67"/>
    <x v="114"/>
    <s v="9   58163"/>
    <n v="1217191"/>
    <n v="8.6999999999999994E-3"/>
    <n v="2.2100000000000002E-3"/>
  </r>
  <r>
    <x v="13"/>
    <n v="71"/>
    <n v="29.741"/>
    <x v="115"/>
    <n v="1067319"/>
    <n v="14155848"/>
    <n v="0.1016"/>
    <n v="2.571E-2"/>
  </r>
  <r>
    <x v="13"/>
    <n v="72"/>
    <n v="29.824000000000002"/>
    <x v="200"/>
    <s v="6  372374"/>
    <n v="5588971"/>
    <n v="4.0099999999999997E-2"/>
    <n v="1.0149999999999999E-2"/>
  </r>
  <r>
    <x v="13"/>
    <n v="73"/>
    <n v="29.937999999999999"/>
    <x v="201"/>
    <s v="8   51420"/>
    <n v="1316962"/>
    <n v="9.4000000000000004E-3"/>
    <n v="2.3900000000000002E-3"/>
  </r>
  <r>
    <x v="13"/>
    <n v="74"/>
    <n v="30.015000000000001"/>
    <x v="309"/>
    <n v="81616"/>
    <n v="1554438"/>
    <n v="1.12E-2"/>
    <n v="2.82E-3"/>
  </r>
  <r>
    <x v="13"/>
    <n v="75"/>
    <n v="30.175999999999998"/>
    <x v="120"/>
    <n v="139387"/>
    <n v="1431569"/>
    <n v="1.03E-2"/>
    <n v="2.5999999999999999E-3"/>
  </r>
  <r>
    <x v="13"/>
    <n v="76"/>
    <n v="30.812999999999999"/>
    <x v="170"/>
    <n v="36436"/>
    <n v="1006783"/>
    <n v="7.1999999999999998E-3"/>
    <n v="1.83E-3"/>
  </r>
  <r>
    <x v="13"/>
    <n v="77"/>
    <n v="31.73"/>
    <x v="448"/>
    <s v="8   31890"/>
    <n v="1484334"/>
    <n v="1.0699999999999999E-2"/>
    <n v="2.7000000000000001E-3"/>
  </r>
  <r>
    <x v="13"/>
    <n v="78"/>
    <n v="31.806999999999999"/>
    <x v="449"/>
    <s v="8   31137"/>
    <n v="1110407"/>
    <n v="8.0000000000000002E-3"/>
    <n v="2.0200000000000001E-3"/>
  </r>
  <r>
    <x v="13"/>
    <n v="79"/>
    <n v="31.989000000000001"/>
    <x v="128"/>
    <n v="272404"/>
    <n v="6883861"/>
    <n v="4.9399999999999999E-2"/>
    <n v="1.2500000000000001E-2"/>
  </r>
  <r>
    <x v="13"/>
    <n v="80"/>
    <n v="32.734999999999999"/>
    <x v="173"/>
    <s v="4   83464"/>
    <n v="2668631"/>
    <n v="1.9099999999999999E-2"/>
    <n v="4.8500000000000001E-3"/>
  </r>
  <r>
    <x v="13"/>
    <n v="81"/>
    <n v="33.101999999999997"/>
    <x v="132"/>
    <n v="202232"/>
    <n v="8023291"/>
    <n v="5.7599999999999998E-2"/>
    <n v="1.457E-2"/>
  </r>
  <r>
    <x v="14"/>
    <n v="1"/>
    <n v="4.3230000000000004"/>
    <x v="450"/>
    <n v="88201"/>
    <n v="2196332"/>
    <n v="2.8000000000000001E-2"/>
    <n v="4.7699999999999999E-3"/>
  </r>
  <r>
    <x v="14"/>
    <n v="2"/>
    <n v="4.9059999999999997"/>
    <x v="371"/>
    <s v="4  105125"/>
    <n v="3483785"/>
    <n v="4.4400000000000002E-2"/>
    <n v="7.5700000000000003E-3"/>
  </r>
  <r>
    <x v="14"/>
    <n v="3"/>
    <n v="5.2279999999999998"/>
    <x v="451"/>
    <s v="10   55064"/>
    <n v="1844920"/>
    <n v="2.35E-2"/>
    <n v="4.0099999999999997E-3"/>
  </r>
  <r>
    <x v="14"/>
    <n v="4"/>
    <n v="6.11"/>
    <x v="138"/>
    <s v="10   61961"/>
    <n v="2065396"/>
    <n v="2.63E-2"/>
    <n v="4.4900000000000001E-3"/>
  </r>
  <r>
    <x v="14"/>
    <n v="5"/>
    <n v="6.4930000000000003"/>
    <x v="13"/>
    <s v="4  140533"/>
    <n v="5211618"/>
    <n v="6.6400000000000001E-2"/>
    <n v="1.133E-2"/>
  </r>
  <r>
    <x v="14"/>
    <n v="6"/>
    <n v="8.266"/>
    <x v="140"/>
    <s v="6   64296"/>
    <n v="3364725"/>
    <n v="4.2799999999999998E-2"/>
    <n v="7.3099999999999997E-3"/>
  </r>
  <r>
    <x v="14"/>
    <n v="7"/>
    <n v="9.0589999999999993"/>
    <x v="452"/>
    <s v="6  122177"/>
    <n v="8975803"/>
    <n v="0.1143"/>
    <n v="1.951E-2"/>
  </r>
  <r>
    <x v="14"/>
    <n v="8"/>
    <n v="9.1929999999999996"/>
    <x v="142"/>
    <s v="6   56416"/>
    <n v="1703113"/>
    <n v="2.1700000000000001E-2"/>
    <n v="3.7000000000000002E-3"/>
  </r>
  <r>
    <x v="14"/>
    <n v="9"/>
    <n v="9.2569999999999997"/>
    <x v="24"/>
    <s v="10   58905"/>
    <n v="2991354"/>
    <n v="3.8100000000000002E-2"/>
    <n v="6.4999999999999997E-3"/>
  </r>
  <r>
    <x v="14"/>
    <n v="10"/>
    <n v="9.6549999999999994"/>
    <x v="211"/>
    <s v="3  659513"/>
    <n v="21861393"/>
    <n v="0.27839999999999998"/>
    <n v="4.752E-2"/>
  </r>
  <r>
    <x v="14"/>
    <n v="11"/>
    <n v="11.090999999999999"/>
    <x v="36"/>
    <s v="3   48992"/>
    <n v="2207310"/>
    <n v="2.81E-2"/>
    <n v="4.7999999999999996E-3"/>
  </r>
  <r>
    <x v="14"/>
    <n v="12"/>
    <n v="12.006"/>
    <x v="453"/>
    <s v="3   44857"/>
    <n v="1756096"/>
    <n v="2.24E-2"/>
    <n v="3.82E-3"/>
  </r>
  <r>
    <x v="14"/>
    <n v="13"/>
    <n v="12.435"/>
    <x v="47"/>
    <s v="3   24143"/>
    <n v="1000405"/>
    <n v="1.2699999999999999E-2"/>
    <n v="2.1700000000000001E-3"/>
  </r>
  <r>
    <x v="14"/>
    <n v="14"/>
    <n v="12.542"/>
    <x v="49"/>
    <s v="3   65391"/>
    <n v="2585198"/>
    <n v="3.2899999999999999E-2"/>
    <n v="5.62E-3"/>
  </r>
  <r>
    <x v="14"/>
    <n v="15"/>
    <n v="12.708"/>
    <x v="146"/>
    <s v="3   34064"/>
    <n v="1704422"/>
    <n v="2.1700000000000001E-2"/>
    <n v="3.7100000000000002E-3"/>
  </r>
  <r>
    <x v="14"/>
    <n v="16"/>
    <n v="12.842000000000001"/>
    <x v="52"/>
    <s v="2 1172584"/>
    <n v="36084755"/>
    <n v="0.45939999999999998"/>
    <n v="7.8439999999999996E-2"/>
  </r>
  <r>
    <x v="14"/>
    <n v="17"/>
    <n v="13.324999999999999"/>
    <x v="454"/>
    <s v="2   36306"/>
    <n v="1320645"/>
    <n v="1.6799999999999999E-2"/>
    <n v="2.8700000000000002E-3"/>
  </r>
  <r>
    <x v="14"/>
    <n v="18"/>
    <n v="14.427"/>
    <x v="60"/>
    <s v="2   38876"/>
    <n v="1157570"/>
    <n v="1.47E-2"/>
    <n v="2.5200000000000001E-3"/>
  </r>
  <r>
    <x v="14"/>
    <n v="19"/>
    <n v="14.541"/>
    <x v="423"/>
    <s v="2  245431"/>
    <n v="8157357"/>
    <n v="0.10390000000000001"/>
    <n v="1.7729999999999999E-2"/>
  </r>
  <r>
    <x v="14"/>
    <n v="20"/>
    <n v="14.928000000000001"/>
    <x v="455"/>
    <s v="10   34300"/>
    <n v="1022941"/>
    <n v="1.2999999999999999E-2"/>
    <n v="2.2200000000000002E-3"/>
  </r>
  <r>
    <x v="14"/>
    <n v="21"/>
    <n v="15.121"/>
    <x v="349"/>
    <s v="10   70526"/>
    <n v="2958387"/>
    <n v="3.7699999999999997E-2"/>
    <n v="6.43E-3"/>
  </r>
  <r>
    <x v="14"/>
    <n v="22"/>
    <n v="15.275"/>
    <x v="352"/>
    <s v="10   59565"/>
    <n v="1850781"/>
    <n v="2.3599999999999999E-2"/>
    <n v="4.0200000000000001E-3"/>
  </r>
  <r>
    <x v="14"/>
    <n v="23"/>
    <n v="15.523"/>
    <x v="67"/>
    <s v="3  111482"/>
    <n v="6219766"/>
    <n v="7.9200000000000007E-2"/>
    <n v="1.3520000000000001E-2"/>
  </r>
  <r>
    <x v="14"/>
    <n v="24"/>
    <n v="15.877000000000001"/>
    <x v="69"/>
    <s v="4  298873"/>
    <n v="8725387"/>
    <n v="0.1111"/>
    <n v="1.8970000000000001E-2"/>
  </r>
  <r>
    <x v="14"/>
    <n v="25"/>
    <n v="16.661999999999999"/>
    <x v="71"/>
    <s v="3  114712"/>
    <n v="3523790"/>
    <n v="4.4900000000000002E-2"/>
    <n v="7.6600000000000001E-3"/>
  </r>
  <r>
    <x v="14"/>
    <n v="26"/>
    <n v="16.765000000000001"/>
    <x v="184"/>
    <s v="6  270113"/>
    <n v="7179978"/>
    <n v="9.1399999999999995E-2"/>
    <n v="1.5610000000000001E-2"/>
  </r>
  <r>
    <x v="14"/>
    <n v="27"/>
    <n v="16.997"/>
    <x v="456"/>
    <s v="2  565079"/>
    <n v="26623342"/>
    <n v="0.33900000000000002"/>
    <n v="5.7880000000000001E-2"/>
  </r>
  <r>
    <x v="14"/>
    <n v="28"/>
    <n v="17.073"/>
    <x v="446"/>
    <s v="2   61812"/>
    <n v="2589288"/>
    <n v="3.3000000000000002E-2"/>
    <n v="5.6299999999999996E-3"/>
  </r>
  <r>
    <x v="14"/>
    <n v="29"/>
    <n v="17.454999999999998"/>
    <x v="76"/>
    <s v="7  373324"/>
    <n v="13615206"/>
    <n v="0.1734"/>
    <n v="2.9600000000000001E-2"/>
  </r>
  <r>
    <x v="14"/>
    <n v="30"/>
    <n v="17.768000000000001"/>
    <x v="457"/>
    <s v="10  244090"/>
    <n v="12681604"/>
    <n v="0.1615"/>
    <n v="2.7570000000000001E-2"/>
  </r>
  <r>
    <x v="14"/>
    <n v="31"/>
    <n v="17.920000000000002"/>
    <x v="80"/>
    <s v="10   37192"/>
    <n v="1198941"/>
    <n v="1.5299999999999999E-2"/>
    <n v="2.6099999999999999E-3"/>
  </r>
  <r>
    <x v="14"/>
    <n v="32"/>
    <n v="17.998000000000001"/>
    <x v="458"/>
    <s v="7   57219"/>
    <n v="1467508"/>
    <n v="1.8700000000000001E-2"/>
    <n v="3.1900000000000001E-3"/>
  </r>
  <r>
    <x v="14"/>
    <n v="33"/>
    <n v="18.053000000000001"/>
    <x v="81"/>
    <s v="2   91705"/>
    <n v="2710945"/>
    <n v="3.4500000000000003E-2"/>
    <n v="5.8900000000000003E-3"/>
  </r>
  <r>
    <x v="14"/>
    <n v="34"/>
    <n v="18.138999999999999"/>
    <x v="459"/>
    <s v="2   40182"/>
    <n v="1153466"/>
    <n v="1.47E-2"/>
    <n v="2.5100000000000001E-3"/>
  </r>
  <r>
    <x v="14"/>
    <n v="35"/>
    <n v="18.305"/>
    <x v="82"/>
    <s v="9   99965"/>
    <n v="2499148"/>
    <n v="3.1800000000000002E-2"/>
    <n v="5.4299999999999999E-3"/>
  </r>
  <r>
    <x v="14"/>
    <n v="36"/>
    <n v="18.727"/>
    <x v="160"/>
    <s v="8   68512"/>
    <n v="1908311"/>
    <n v="2.4299999999999999E-2"/>
    <n v="4.15E-3"/>
  </r>
  <r>
    <x v="14"/>
    <n v="37"/>
    <n v="18.84"/>
    <x v="85"/>
    <s v="4  168270"/>
    <n v="4027178"/>
    <n v="5.1299999999999998E-2"/>
    <n v="8.7500000000000008E-3"/>
  </r>
  <r>
    <x v="14"/>
    <n v="38"/>
    <n v="19.405999999999999"/>
    <x v="285"/>
    <s v="9   50761"/>
    <n v="1369603"/>
    <n v="1.7399999999999999E-2"/>
    <n v="2.98E-3"/>
  </r>
  <r>
    <x v="14"/>
    <n v="39"/>
    <n v="20.225999999999999"/>
    <x v="237"/>
    <s v="9   77628"/>
    <n v="2599789"/>
    <n v="3.3099999999999997E-2"/>
    <n v="5.6499999999999996E-3"/>
  </r>
  <r>
    <x v="14"/>
    <n v="40"/>
    <n v="20.571999999999999"/>
    <x v="460"/>
    <s v="9   35965"/>
    <n v="1806929"/>
    <n v="2.3E-2"/>
    <n v="3.9300000000000003E-3"/>
  </r>
  <r>
    <x v="14"/>
    <n v="41"/>
    <n v="20.620999999999999"/>
    <x v="461"/>
    <s v="5   37857"/>
    <n v="1749896"/>
    <n v="2.23E-2"/>
    <n v="3.8E-3"/>
  </r>
  <r>
    <x v="14"/>
    <n v="42"/>
    <n v="20.893999999999998"/>
    <x v="462"/>
    <s v="5   35178"/>
    <n v="1835049"/>
    <n v="2.3400000000000001E-2"/>
    <n v="3.9899999999999996E-3"/>
  </r>
  <r>
    <x v="14"/>
    <n v="43"/>
    <n v="20.965"/>
    <x v="162"/>
    <s v="5   87161"/>
    <n v="2508233"/>
    <n v="3.1899999999999998E-2"/>
    <n v="5.45E-3"/>
  </r>
  <r>
    <x v="14"/>
    <n v="44"/>
    <n v="21.167999999999999"/>
    <x v="259"/>
    <s v="5   40385"/>
    <n v="1645032"/>
    <n v="2.0899999999999998E-2"/>
    <n v="3.5799999999999998E-3"/>
  </r>
  <r>
    <x v="14"/>
    <n v="45"/>
    <n v="21.315999999999999"/>
    <x v="463"/>
    <s v="10   48577"/>
    <n v="1592519"/>
    <n v="2.0299999999999999E-2"/>
    <n v="3.46E-3"/>
  </r>
  <r>
    <x v="14"/>
    <n v="46"/>
    <n v="21.396000000000001"/>
    <x v="89"/>
    <s v="10   66038"/>
    <n v="1830666"/>
    <n v="2.3300000000000001E-2"/>
    <n v="3.98E-3"/>
  </r>
  <r>
    <x v="14"/>
    <n v="47"/>
    <n v="21.692"/>
    <x v="427"/>
    <s v="10   41467"/>
    <n v="1254188"/>
    <n v="1.6E-2"/>
    <n v="2.7299999999999998E-3"/>
  </r>
  <r>
    <x v="14"/>
    <n v="48"/>
    <n v="22.507999999999999"/>
    <x v="90"/>
    <s v="10   26564"/>
    <n v="1075363"/>
    <n v="1.37E-2"/>
    <n v="2.3400000000000001E-3"/>
  </r>
  <r>
    <x v="14"/>
    <n v="49"/>
    <n v="23.010999999999999"/>
    <x v="92"/>
    <s v="5   31215"/>
    <n v="1525628"/>
    <n v="1.9400000000000001E-2"/>
    <n v="3.32E-3"/>
  </r>
  <r>
    <x v="14"/>
    <n v="50"/>
    <n v="23.475000000000001"/>
    <x v="93"/>
    <s v="6  169481"/>
    <n v="4825688"/>
    <n v="6.1400000000000003E-2"/>
    <n v="1.0489999999999999E-2"/>
  </r>
  <r>
    <x v="14"/>
    <n v="51"/>
    <n v="23.664000000000001"/>
    <x v="190"/>
    <s v="8   73183"/>
    <n v="2183784"/>
    <n v="2.7799999999999998E-2"/>
    <n v="4.7499999999999999E-3"/>
  </r>
  <r>
    <x v="14"/>
    <n v="52"/>
    <n v="23.773"/>
    <x v="464"/>
    <s v="8   46362"/>
    <n v="1229022"/>
    <n v="1.5599999999999999E-2"/>
    <n v="2.6700000000000001E-3"/>
  </r>
  <r>
    <x v="14"/>
    <n v="53"/>
    <n v="23.922000000000001"/>
    <x v="191"/>
    <s v="10   45774"/>
    <n v="1541990"/>
    <n v="1.9599999999999999E-2"/>
    <n v="3.3500000000000001E-3"/>
  </r>
  <r>
    <x v="14"/>
    <n v="54"/>
    <n v="24.036000000000001"/>
    <x v="96"/>
    <s v="2   58010"/>
    <n v="1437080"/>
    <n v="1.83E-2"/>
    <n v="3.1199999999999999E-3"/>
  </r>
  <r>
    <x v="14"/>
    <n v="55"/>
    <n v="24.263999999999999"/>
    <x v="97"/>
    <s v="8   52135"/>
    <n v="1440900"/>
    <n v="1.83E-2"/>
    <n v="3.13E-3"/>
  </r>
  <r>
    <x v="14"/>
    <n v="56"/>
    <n v="24.356000000000002"/>
    <x v="437"/>
    <s v="8   61580"/>
    <n v="2351442"/>
    <n v="2.9899999999999999E-2"/>
    <n v="5.11E-3"/>
  </r>
  <r>
    <x v="14"/>
    <n v="57"/>
    <n v="25.45"/>
    <x v="465"/>
    <s v="8   27566"/>
    <n v="1279378"/>
    <n v="1.6299999999999999E-2"/>
    <n v="2.7799999999999999E-3"/>
  </r>
  <r>
    <x v="14"/>
    <n v="58"/>
    <n v="25.850999999999999"/>
    <x v="163"/>
    <s v="8   54824"/>
    <n v="1466107"/>
    <n v="1.8700000000000001E-2"/>
    <n v="3.1900000000000001E-3"/>
  </r>
  <r>
    <x v="14"/>
    <n v="59"/>
    <n v="25.913"/>
    <x v="466"/>
    <s v="3   60648"/>
    <n v="1767021"/>
    <n v="2.2499999999999999E-2"/>
    <n v="3.8400000000000001E-3"/>
  </r>
  <r>
    <x v="14"/>
    <n v="60"/>
    <n v="26.007000000000001"/>
    <x v="447"/>
    <s v="10   46372"/>
    <n v="1923374"/>
    <n v="2.4500000000000001E-2"/>
    <n v="4.1799999999999997E-3"/>
  </r>
  <r>
    <x v="14"/>
    <n v="61"/>
    <n v="26.114999999999998"/>
    <x v="467"/>
    <s v="4  139007"/>
    <n v="6263086"/>
    <n v="7.9699999999999993E-2"/>
    <n v="1.362E-2"/>
  </r>
  <r>
    <x v="14"/>
    <n v="62"/>
    <n v="26.562999999999999"/>
    <x v="468"/>
    <s v="7   43470"/>
    <n v="2168087"/>
    <n v="2.76E-2"/>
    <n v="4.7099999999999998E-3"/>
  </r>
  <r>
    <x v="14"/>
    <n v="63"/>
    <n v="27.116"/>
    <x v="241"/>
    <s v="8   36007"/>
    <n v="1417945"/>
    <n v="1.8100000000000002E-2"/>
    <n v="3.0799999999999998E-3"/>
  </r>
  <r>
    <x v="14"/>
    <n v="64"/>
    <n v="27.425999999999998"/>
    <x v="99"/>
    <s v="10   68605"/>
    <n v="1222738"/>
    <n v="1.5599999999999999E-2"/>
    <n v="2.66E-3"/>
  </r>
  <r>
    <x v="14"/>
    <n v="65"/>
    <n v="27.504999999999999"/>
    <x v="100"/>
    <s v="2  205328"/>
    <n v="3570945"/>
    <n v="4.5499999999999999E-2"/>
    <n v="7.7600000000000004E-3"/>
  </r>
  <r>
    <x v="14"/>
    <n v="66"/>
    <n v="27.664000000000001"/>
    <x v="306"/>
    <s v="9   49597"/>
    <n v="1383426"/>
    <n v="1.7600000000000001E-2"/>
    <n v="3.0100000000000001E-3"/>
  </r>
  <r>
    <x v="14"/>
    <n v="67"/>
    <n v="28.178000000000001"/>
    <x v="469"/>
    <s v="6   41993"/>
    <n v="1083421"/>
    <n v="1.38E-2"/>
    <n v="2.3600000000000001E-3"/>
  </r>
  <r>
    <x v="14"/>
    <n v="68"/>
    <n v="28.481000000000002"/>
    <x v="101"/>
    <n v="2195632"/>
    <n v="33799956"/>
    <n v="0.4304"/>
    <n v="7.3480000000000004E-2"/>
  </r>
  <r>
    <x v="14"/>
    <n v="69"/>
    <n v="28.638999999999999"/>
    <x v="103"/>
    <s v="7   56830"/>
    <n v="1665735"/>
    <n v="2.12E-2"/>
    <n v="3.62E-3"/>
  </r>
  <r>
    <x v="14"/>
    <n v="70"/>
    <n v="28.731999999999999"/>
    <x v="104"/>
    <s v="2  457918"/>
    <n v="8269563"/>
    <n v="0.1053"/>
    <n v="1.7979999999999999E-2"/>
  </r>
  <r>
    <x v="14"/>
    <n v="71"/>
    <n v="28.891999999999999"/>
    <x v="105"/>
    <n v="856849"/>
    <n v="11022396"/>
    <n v="0.14030000000000001"/>
    <n v="2.3959999999999999E-2"/>
  </r>
  <r>
    <x v="14"/>
    <n v="72"/>
    <n v="28.951000000000001"/>
    <x v="470"/>
    <s v="5   41255"/>
    <n v="1025926"/>
    <n v="1.3100000000000001E-2"/>
    <n v="2.2300000000000002E-3"/>
  </r>
  <r>
    <x v="14"/>
    <n v="73"/>
    <n v="29.047999999999998"/>
    <x v="106"/>
    <n v="6990182"/>
    <n v="78539166"/>
    <n v="0"/>
    <n v="0.17072999999999999"/>
  </r>
  <r>
    <x v="14"/>
    <n v="74"/>
    <n v="29.158000000000001"/>
    <x v="197"/>
    <s v="7   67064"/>
    <n v="1209154"/>
    <n v="1.54E-2"/>
    <n v="2.63E-3"/>
  </r>
  <r>
    <x v="14"/>
    <n v="75"/>
    <n v="29.231999999999999"/>
    <x v="108"/>
    <s v="7  131503"/>
    <n v="3638756"/>
    <n v="4.6300000000000001E-2"/>
    <n v="7.9100000000000004E-3"/>
  </r>
  <r>
    <x v="14"/>
    <n v="76"/>
    <n v="29.285"/>
    <x v="165"/>
    <s v="10   50322"/>
    <n v="1209637"/>
    <n v="1.54E-2"/>
    <n v="2.63E-3"/>
  </r>
  <r>
    <x v="14"/>
    <n v="77"/>
    <n v="29.431000000000001"/>
    <x v="110"/>
    <s v="10   79444"/>
    <n v="2276837"/>
    <n v="2.9000000000000001E-2"/>
    <n v="4.9500000000000004E-3"/>
  </r>
  <r>
    <x v="14"/>
    <n v="78"/>
    <n v="29.463000000000001"/>
    <x v="111"/>
    <s v="4   87168"/>
    <n v="2308980"/>
    <n v="2.9399999999999999E-2"/>
    <n v="5.0200000000000002E-3"/>
  </r>
  <r>
    <x v="14"/>
    <n v="79"/>
    <n v="29.532"/>
    <x v="199"/>
    <s v="5   79335"/>
    <n v="2436630"/>
    <n v="3.1E-2"/>
    <n v="5.3E-3"/>
  </r>
  <r>
    <x v="14"/>
    <n v="80"/>
    <n v="29.664999999999999"/>
    <x v="114"/>
    <s v="10   46995"/>
    <n v="1164717"/>
    <n v="1.4800000000000001E-2"/>
    <n v="2.5300000000000001E-3"/>
  </r>
  <r>
    <x v="14"/>
    <n v="81"/>
    <n v="29.741"/>
    <x v="115"/>
    <n v="631327"/>
    <n v="9158661"/>
    <n v="0.1166"/>
    <n v="1.9910000000000001E-2"/>
  </r>
  <r>
    <x v="14"/>
    <n v="82"/>
    <n v="29.82"/>
    <x v="200"/>
    <s v="5   75653"/>
    <n v="1698889"/>
    <n v="2.1600000000000001E-2"/>
    <n v="3.6900000000000001E-3"/>
  </r>
  <r>
    <x v="14"/>
    <n v="83"/>
    <n v="29.937999999999999"/>
    <x v="201"/>
    <s v="2   56446"/>
    <n v="2620168"/>
    <n v="3.3399999999999999E-2"/>
    <n v="5.7000000000000002E-3"/>
  </r>
  <r>
    <x v="14"/>
    <n v="84"/>
    <n v="30.013000000000002"/>
    <x v="118"/>
    <s v="2   49001"/>
    <n v="1828135"/>
    <n v="2.3300000000000001E-2"/>
    <n v="3.9699999999999996E-3"/>
  </r>
  <r>
    <x v="14"/>
    <n v="85"/>
    <n v="30.466000000000001"/>
    <x v="265"/>
    <s v="2   20409"/>
    <n v="1057382"/>
    <n v="1.35E-2"/>
    <n v="2.3E-3"/>
  </r>
  <r>
    <x v="14"/>
    <n v="86"/>
    <n v="31.297000000000001"/>
    <x v="267"/>
    <s v="7   30825"/>
    <n v="1193125"/>
    <n v="1.52E-2"/>
    <n v="2.5899999999999999E-3"/>
  </r>
  <r>
    <x v="14"/>
    <n v="87"/>
    <n v="31.59"/>
    <x v="269"/>
    <s v="7   27315"/>
    <n v="2606143"/>
    <n v="3.32E-2"/>
    <n v="5.6699999999999997E-3"/>
  </r>
  <r>
    <x v="14"/>
    <n v="88"/>
    <n v="31.77"/>
    <x v="271"/>
    <s v="7   54690"/>
    <n v="5313254"/>
    <n v="6.7699999999999996E-2"/>
    <n v="1.155E-2"/>
  </r>
  <r>
    <x v="14"/>
    <n v="89"/>
    <n v="31.988"/>
    <x v="128"/>
    <n v="197160"/>
    <n v="4693135"/>
    <n v="5.9799999999999999E-2"/>
    <n v="1.0200000000000001E-2"/>
  </r>
  <r>
    <x v="14"/>
    <n v="90"/>
    <n v="32.731000000000002"/>
    <x v="131"/>
    <s v="4   65355"/>
    <n v="2214271"/>
    <n v="2.8199999999999999E-2"/>
    <n v="4.81E-3"/>
  </r>
  <r>
    <x v="14"/>
    <n v="91"/>
    <n v="32.887999999999998"/>
    <x v="202"/>
    <s v="4   33578"/>
    <n v="3074108"/>
    <n v="3.9100000000000003E-2"/>
    <n v="6.6800000000000002E-3"/>
  </r>
  <r>
    <x v="14"/>
    <n v="92"/>
    <n v="33.101999999999997"/>
    <x v="132"/>
    <n v="73293"/>
    <n v="3482802"/>
    <n v="4.4299999999999999E-2"/>
    <n v="7.5700000000000003E-3"/>
  </r>
  <r>
    <x v="14"/>
    <n v="93"/>
    <n v="33.692999999999998"/>
    <x v="176"/>
    <s v="A    24345"/>
    <n v="1527339"/>
    <n v="1.9400000000000001E-2"/>
    <n v="3.32E-3"/>
  </r>
  <r>
    <x v="15"/>
    <n v="1"/>
    <n v="4.8899999999999997"/>
    <x v="133"/>
    <s v="8  477362"/>
    <n v="14969001"/>
    <n v="0.3281"/>
    <n v="4.3549999999999998E-2"/>
  </r>
  <r>
    <x v="15"/>
    <n v="2"/>
    <n v="6.2690000000000001"/>
    <x v="177"/>
    <s v="3   39376"/>
    <n v="1314253"/>
    <n v="2.8799999999999999E-2"/>
    <n v="3.82E-3"/>
  </r>
  <r>
    <x v="15"/>
    <n v="3"/>
    <n v="6.4960000000000004"/>
    <x v="313"/>
    <s v="4  117510"/>
    <n v="4141841"/>
    <n v="9.0800000000000006E-2"/>
    <n v="1.205E-2"/>
  </r>
  <r>
    <x v="15"/>
    <n v="4"/>
    <n v="8.1219999999999999"/>
    <x v="17"/>
    <s v="3   40704"/>
    <n v="1375739"/>
    <n v="3.0200000000000001E-2"/>
    <n v="4.0000000000000001E-3"/>
  </r>
  <r>
    <x v="15"/>
    <n v="5"/>
    <n v="8.2279999999999998"/>
    <x v="314"/>
    <s v="8   39385"/>
    <n v="1168169"/>
    <n v="2.5600000000000001E-2"/>
    <n v="3.3999999999999998E-3"/>
  </r>
  <r>
    <x v="15"/>
    <n v="6"/>
    <n v="8.2840000000000007"/>
    <x v="249"/>
    <s v="5   39405"/>
    <n v="1666731"/>
    <n v="3.6499999999999998E-2"/>
    <n v="4.8500000000000001E-3"/>
  </r>
  <r>
    <x v="15"/>
    <n v="7"/>
    <n v="8.6440000000000001"/>
    <x v="20"/>
    <s v="5   35069"/>
    <n v="1622614"/>
    <n v="3.56E-2"/>
    <n v="4.7200000000000002E-3"/>
  </r>
  <r>
    <x v="15"/>
    <n v="8"/>
    <n v="8.9510000000000005"/>
    <x v="471"/>
    <s v="10   45413"/>
    <n v="2077330"/>
    <n v="4.5499999999999999E-2"/>
    <n v="6.0400000000000002E-3"/>
  </r>
  <r>
    <x v="15"/>
    <n v="9"/>
    <n v="9.1829999999999998"/>
    <x v="23"/>
    <s v="9   41073"/>
    <n v="1484465"/>
    <n v="3.2500000000000001E-2"/>
    <n v="4.3200000000000001E-3"/>
  </r>
  <r>
    <x v="15"/>
    <n v="10"/>
    <n v="9.26"/>
    <x v="24"/>
    <s v="9   72661"/>
    <n v="3460618"/>
    <n v="7.5800000000000006E-2"/>
    <n v="1.0070000000000001E-2"/>
  </r>
  <r>
    <x v="15"/>
    <n v="11"/>
    <n v="9.6579999999999995"/>
    <x v="211"/>
    <s v="5  339321"/>
    <n v="10883053"/>
    <n v="0.23849999999999999"/>
    <n v="3.1660000000000001E-2"/>
  </r>
  <r>
    <x v="15"/>
    <n v="12"/>
    <n v="9.8379999999999992"/>
    <x v="319"/>
    <n v="41436"/>
    <n v="2064734"/>
    <n v="4.53E-2"/>
    <n v="6.0099999999999997E-3"/>
  </r>
  <r>
    <x v="15"/>
    <n v="13"/>
    <n v="10.284000000000001"/>
    <x v="472"/>
    <s v="5   38970"/>
    <n v="1244220"/>
    <n v="2.7300000000000001E-2"/>
    <n v="3.62E-3"/>
  </r>
  <r>
    <x v="15"/>
    <n v="14"/>
    <n v="10.585000000000001"/>
    <x v="33"/>
    <s v="8  146969"/>
    <n v="10925344"/>
    <n v="0.2394"/>
    <n v="3.1780000000000003E-2"/>
  </r>
  <r>
    <x v="15"/>
    <n v="15"/>
    <n v="10.766"/>
    <x v="35"/>
    <s v="6   64655"/>
    <n v="2761742"/>
    <n v="6.0499999999999998E-2"/>
    <n v="8.0300000000000007E-3"/>
  </r>
  <r>
    <x v="15"/>
    <n v="16"/>
    <n v="10.837999999999999"/>
    <x v="473"/>
    <s v="6   36555"/>
    <n v="1516583"/>
    <n v="3.32E-2"/>
    <n v="4.4099999999999999E-3"/>
  </r>
  <r>
    <x v="15"/>
    <n v="17"/>
    <n v="11.124000000000001"/>
    <x v="214"/>
    <s v="3   28849"/>
    <n v="1541592"/>
    <n v="3.3799999999999997E-2"/>
    <n v="4.4799999999999996E-3"/>
  </r>
  <r>
    <x v="15"/>
    <n v="18"/>
    <n v="11.21"/>
    <x v="215"/>
    <s v="9   58935"/>
    <n v="2570159"/>
    <n v="5.6300000000000003E-2"/>
    <n v="7.4799999999999997E-3"/>
  </r>
  <r>
    <x v="15"/>
    <n v="19"/>
    <n v="11.555"/>
    <x v="39"/>
    <s v="7   35089"/>
    <n v="1022813"/>
    <n v="2.24E-2"/>
    <n v="2.98E-3"/>
  </r>
  <r>
    <x v="15"/>
    <n v="20"/>
    <n v="11.632"/>
    <x v="217"/>
    <s v="5   36842"/>
    <n v="1279992"/>
    <n v="2.81E-2"/>
    <n v="3.7200000000000002E-3"/>
  </r>
  <r>
    <x v="15"/>
    <n v="21"/>
    <n v="12.226000000000001"/>
    <x v="220"/>
    <s v="5  108616"/>
    <n v="3772428"/>
    <n v="8.2699999999999996E-2"/>
    <n v="1.0970000000000001E-2"/>
  </r>
  <r>
    <x v="15"/>
    <n v="22"/>
    <n v="12.711"/>
    <x v="146"/>
    <s v="5   83183"/>
    <n v="2995161"/>
    <n v="6.5600000000000006E-2"/>
    <n v="8.7100000000000007E-3"/>
  </r>
  <r>
    <x v="15"/>
    <n v="23"/>
    <n v="12.843"/>
    <x v="52"/>
    <s v="2 1323688"/>
    <n v="37959662"/>
    <n v="0.83199999999999996"/>
    <n v="0.11043"/>
  </r>
  <r>
    <x v="15"/>
    <n v="24"/>
    <n v="13.228"/>
    <x v="147"/>
    <s v="2  146140"/>
    <n v="4645268"/>
    <n v="0.1018"/>
    <n v="1.3509999999999999E-2"/>
  </r>
  <r>
    <x v="15"/>
    <n v="25"/>
    <n v="14.233000000000001"/>
    <x v="444"/>
    <s v="2   26517"/>
    <n v="1061935"/>
    <n v="2.3300000000000001E-2"/>
    <n v="3.0899999999999999E-3"/>
  </r>
  <r>
    <x v="15"/>
    <n v="26"/>
    <n v="14.534000000000001"/>
    <x v="301"/>
    <s v="7   50180"/>
    <n v="1328695"/>
    <n v="2.9100000000000001E-2"/>
    <n v="3.8700000000000002E-3"/>
  </r>
  <r>
    <x v="15"/>
    <n v="27"/>
    <n v="14.585000000000001"/>
    <x v="62"/>
    <s v="6   54596"/>
    <n v="1974226"/>
    <n v="4.3299999999999998E-2"/>
    <n v="5.7400000000000003E-3"/>
  </r>
  <r>
    <x v="15"/>
    <n v="28"/>
    <n v="15.538"/>
    <x v="474"/>
    <s v="3   27041"/>
    <n v="1447173"/>
    <n v="3.1699999999999999E-2"/>
    <n v="4.2100000000000002E-3"/>
  </r>
  <r>
    <x v="15"/>
    <n v="29"/>
    <n v="15.717000000000001"/>
    <x v="445"/>
    <s v="3   21164"/>
    <n v="1017227"/>
    <n v="2.23E-2"/>
    <n v="2.96E-3"/>
  </r>
  <r>
    <x v="15"/>
    <n v="30"/>
    <n v="15.877000000000001"/>
    <x v="69"/>
    <s v="4  208322"/>
    <n v="5855401"/>
    <n v="0.1283"/>
    <n v="1.703E-2"/>
  </r>
  <r>
    <x v="15"/>
    <n v="31"/>
    <n v="16.667999999999999"/>
    <x v="357"/>
    <s v="2   75857"/>
    <n v="2022985"/>
    <n v="4.4299999999999999E-2"/>
    <n v="5.8900000000000003E-3"/>
  </r>
  <r>
    <x v="15"/>
    <n v="32"/>
    <n v="16.762"/>
    <x v="72"/>
    <s v="7   38811"/>
    <n v="1099925"/>
    <n v="2.41E-2"/>
    <n v="3.2000000000000002E-3"/>
  </r>
  <r>
    <x v="15"/>
    <n v="33"/>
    <n v="17.015000000000001"/>
    <x v="359"/>
    <s v="5  836270"/>
    <n v="45627254"/>
    <n v="0"/>
    <n v="0.13274"/>
  </r>
  <r>
    <x v="15"/>
    <n v="34"/>
    <n v="17.081"/>
    <x v="475"/>
    <s v="2   46553"/>
    <n v="1214240"/>
    <n v="2.6599999999999999E-2"/>
    <n v="3.5300000000000002E-3"/>
  </r>
  <r>
    <x v="15"/>
    <n v="35"/>
    <n v="17.459"/>
    <x v="76"/>
    <s v="6  176249"/>
    <n v="7225912"/>
    <n v="0.15840000000000001"/>
    <n v="2.102E-2"/>
  </r>
  <r>
    <x v="15"/>
    <n v="36"/>
    <n v="18.309000000000001"/>
    <x v="82"/>
    <s v="9   42934"/>
    <n v="1237904"/>
    <n v="2.7099999999999999E-2"/>
    <n v="3.5999999999999999E-3"/>
  </r>
  <r>
    <x v="15"/>
    <n v="37"/>
    <n v="18.411000000000001"/>
    <x v="476"/>
    <s v="9   31504"/>
    <n v="1029031"/>
    <n v="2.2599999999999999E-2"/>
    <n v="2.99E-3"/>
  </r>
  <r>
    <x v="15"/>
    <n v="38"/>
    <n v="18.731000000000002"/>
    <x v="160"/>
    <s v="8   34503"/>
    <n v="1017715"/>
    <n v="2.23E-2"/>
    <n v="2.96E-3"/>
  </r>
  <r>
    <x v="15"/>
    <n v="39"/>
    <n v="18.843"/>
    <x v="85"/>
    <s v="5  162434"/>
    <n v="4223416"/>
    <n v="9.2600000000000002E-2"/>
    <n v="1.2290000000000001E-2"/>
  </r>
  <r>
    <x v="15"/>
    <n v="40"/>
    <n v="20.234999999999999"/>
    <x v="477"/>
    <s v="5   30340"/>
    <n v="1071045"/>
    <n v="2.35E-2"/>
    <n v="3.1199999999999999E-3"/>
  </r>
  <r>
    <x v="15"/>
    <n v="41"/>
    <n v="21.693000000000001"/>
    <x v="427"/>
    <s v="5   77077"/>
    <n v="2016140"/>
    <n v="4.4200000000000003E-2"/>
    <n v="5.8700000000000002E-3"/>
  </r>
  <r>
    <x v="15"/>
    <n v="42"/>
    <n v="23.475000000000001"/>
    <x v="93"/>
    <s v="7   64338"/>
    <n v="1669370"/>
    <n v="3.6600000000000001E-2"/>
    <n v="4.8599999999999997E-3"/>
  </r>
  <r>
    <x v="15"/>
    <n v="43"/>
    <n v="27.97"/>
    <x v="164"/>
    <s v="9  121922"/>
    <n v="1629300"/>
    <n v="3.5700000000000003E-2"/>
    <n v="4.7400000000000003E-3"/>
  </r>
  <r>
    <x v="15"/>
    <n v="44"/>
    <n v="28.483000000000001"/>
    <x v="101"/>
    <n v="771730"/>
    <n v="13251353"/>
    <n v="0.29039999999999999"/>
    <n v="3.8550000000000001E-2"/>
  </r>
  <r>
    <x v="15"/>
    <n v="45"/>
    <n v="28.638000000000002"/>
    <x v="103"/>
    <s v="3   50490"/>
    <n v="1211916"/>
    <n v="2.6599999999999999E-2"/>
    <n v="3.5300000000000002E-3"/>
  </r>
  <r>
    <x v="15"/>
    <n v="46"/>
    <n v="28.733000000000001"/>
    <x v="104"/>
    <s v="3  136758"/>
    <n v="2661630"/>
    <n v="5.8299999999999998E-2"/>
    <n v="7.7400000000000004E-3"/>
  </r>
  <r>
    <x v="15"/>
    <n v="47"/>
    <n v="28.891999999999999"/>
    <x v="105"/>
    <n v="360799"/>
    <n v="4642002"/>
    <n v="0.1017"/>
    <n v="1.35E-2"/>
  </r>
  <r>
    <x v="15"/>
    <n v="48"/>
    <n v="29.047000000000001"/>
    <x v="106"/>
    <n v="3544264"/>
    <n v="41549671"/>
    <n v="0.91059999999999997"/>
    <n v="0.12088"/>
  </r>
  <r>
    <x v="15"/>
    <n v="49"/>
    <n v="29.463999999999999"/>
    <x v="111"/>
    <s v="4   55192"/>
    <n v="1180876"/>
    <n v="2.5899999999999999E-2"/>
    <n v="3.4399999999999999E-3"/>
  </r>
  <r>
    <x v="15"/>
    <n v="50"/>
    <n v="29.54"/>
    <x v="112"/>
    <s v="5   48680"/>
    <n v="1036986"/>
    <n v="2.2700000000000001E-2"/>
    <n v="3.0200000000000001E-3"/>
  </r>
  <r>
    <x v="15"/>
    <n v="51"/>
    <n v="29.741"/>
    <x v="115"/>
    <n v="874066"/>
    <n v="11022847"/>
    <n v="0.24160000000000001"/>
    <n v="3.2070000000000001E-2"/>
  </r>
  <r>
    <x v="15"/>
    <n v="52"/>
    <n v="29.838000000000001"/>
    <x v="116"/>
    <s v="5  237084"/>
    <n v="3064613"/>
    <n v="6.7199999999999996E-2"/>
    <n v="8.9200000000000008E-3"/>
  </r>
  <r>
    <x v="15"/>
    <n v="53"/>
    <n v="29.888999999999999"/>
    <x v="117"/>
    <s v="3   62228"/>
    <n v="2440630"/>
    <n v="5.3499999999999999E-2"/>
    <n v="7.1000000000000004E-3"/>
  </r>
  <r>
    <x v="15"/>
    <n v="54"/>
    <n v="30.175000000000001"/>
    <x v="120"/>
    <s v="2  165455"/>
    <n v="1505210"/>
    <n v="3.3000000000000002E-2"/>
    <n v="4.3800000000000002E-3"/>
  </r>
  <r>
    <x v="15"/>
    <n v="55"/>
    <n v="30.465"/>
    <x v="265"/>
    <s v="10  126189"/>
    <n v="1768027"/>
    <n v="3.8699999999999998E-2"/>
    <n v="5.1399999999999996E-3"/>
  </r>
  <r>
    <x v="15"/>
    <n v="56"/>
    <n v="30.81"/>
    <x v="170"/>
    <s v="10   49149"/>
    <n v="1289804"/>
    <n v="2.8299999999999999E-2"/>
    <n v="3.7499999999999999E-3"/>
  </r>
  <r>
    <x v="15"/>
    <n v="57"/>
    <n v="31.013999999999999"/>
    <x v="124"/>
    <s v="10   75930"/>
    <n v="2075536"/>
    <n v="4.5499999999999999E-2"/>
    <n v="6.0400000000000002E-3"/>
  </r>
  <r>
    <x v="15"/>
    <n v="58"/>
    <n v="31.306000000000001"/>
    <x v="478"/>
    <s v="10   20422"/>
    <n v="1179128"/>
    <n v="2.58E-2"/>
    <n v="3.4299999999999999E-3"/>
  </r>
  <r>
    <x v="15"/>
    <n v="59"/>
    <n v="31.36"/>
    <x v="172"/>
    <s v="10   48028"/>
    <n v="1277394"/>
    <n v="2.8000000000000001E-2"/>
    <n v="3.7200000000000002E-3"/>
  </r>
  <r>
    <x v="15"/>
    <n v="60"/>
    <n v="31.518000000000001"/>
    <x v="479"/>
    <s v="10   19572"/>
    <n v="1051557"/>
    <n v="2.3E-2"/>
    <n v="3.0599999999999998E-3"/>
  </r>
  <r>
    <x v="15"/>
    <n v="61"/>
    <n v="31.591999999999999"/>
    <x v="269"/>
    <s v="10   49391"/>
    <n v="1701556"/>
    <n v="3.73E-2"/>
    <n v="4.9500000000000004E-3"/>
  </r>
  <r>
    <x v="15"/>
    <n v="62"/>
    <n v="31.695"/>
    <x v="270"/>
    <s v="10   29216"/>
    <n v="1043380"/>
    <n v="2.29E-2"/>
    <n v="3.0400000000000002E-3"/>
  </r>
  <r>
    <x v="15"/>
    <n v="63"/>
    <n v="31.986999999999998"/>
    <x v="128"/>
    <n v="150280"/>
    <n v="3896073"/>
    <n v="8.5400000000000004E-2"/>
    <n v="1.133E-2"/>
  </r>
  <r>
    <x v="15"/>
    <n v="64"/>
    <n v="32.548000000000002"/>
    <x v="276"/>
    <n v="54698"/>
    <n v="1304368"/>
    <n v="2.86E-2"/>
    <n v="3.79E-3"/>
  </r>
  <r>
    <x v="15"/>
    <n v="65"/>
    <n v="32.726999999999997"/>
    <x v="131"/>
    <s v="4  652709"/>
    <n v="13469524"/>
    <n v="0.29520000000000002"/>
    <n v="3.9190000000000003E-2"/>
  </r>
  <r>
    <x v="15"/>
    <n v="66"/>
    <n v="33.097999999999999"/>
    <x v="132"/>
    <n v="168642"/>
    <n v="6504124"/>
    <n v="0.14249999999999999"/>
    <n v="1.8919999999999999E-2"/>
  </r>
  <r>
    <x v="15"/>
    <n v="67"/>
    <n v="33.334000000000003"/>
    <x v="277"/>
    <n v="112207"/>
    <n v="6130708"/>
    <n v="0.13439999999999999"/>
    <n v="1.7840000000000002E-2"/>
  </r>
  <r>
    <x v="15"/>
    <n v="68"/>
    <n v="33.468000000000004"/>
    <x v="480"/>
    <n v="40736"/>
    <n v="1280109"/>
    <n v="2.81E-2"/>
    <n v="3.7200000000000002E-3"/>
  </r>
  <r>
    <x v="15"/>
    <n v="69"/>
    <n v="33.685000000000002"/>
    <x v="176"/>
    <s v="A   551066"/>
    <n v="13960782"/>
    <n v="0.30599999999999999"/>
    <n v="4.0620000000000003E-2"/>
  </r>
  <r>
    <x v="16"/>
    <n v="1"/>
    <n v="4.8949999999999996"/>
    <x v="4"/>
    <s v="8  360039"/>
    <n v="10574829"/>
    <n v="8.3699999999999997E-2"/>
    <n v="2.2970000000000001E-2"/>
  </r>
  <r>
    <x v="16"/>
    <n v="2"/>
    <n v="5.36"/>
    <x v="297"/>
    <s v="8   40924"/>
    <n v="1521418"/>
    <n v="1.2E-2"/>
    <n v="3.31E-3"/>
  </r>
  <r>
    <x v="16"/>
    <n v="3"/>
    <n v="6.4960000000000004"/>
    <x v="313"/>
    <s v="4  112619"/>
    <n v="3866323"/>
    <n v="3.0599999999999999E-2"/>
    <n v="8.3999999999999995E-3"/>
  </r>
  <r>
    <x v="16"/>
    <n v="4"/>
    <n v="8.2850000000000001"/>
    <x v="387"/>
    <s v="8   25260"/>
    <n v="1634107"/>
    <n v="1.29E-2"/>
    <n v="3.5500000000000002E-3"/>
  </r>
  <r>
    <x v="16"/>
    <n v="5"/>
    <n v="9.19"/>
    <x v="142"/>
    <s v="5   63205"/>
    <n v="1858444"/>
    <n v="1.47E-2"/>
    <n v="4.0400000000000002E-3"/>
  </r>
  <r>
    <x v="16"/>
    <n v="6"/>
    <n v="9.2840000000000007"/>
    <x v="481"/>
    <s v="5   55174"/>
    <n v="1194421"/>
    <n v="9.4999999999999998E-3"/>
    <n v="2.5899999999999999E-3"/>
  </r>
  <r>
    <x v="16"/>
    <n v="7"/>
    <n v="9.657"/>
    <x v="211"/>
    <s v="4  491053"/>
    <n v="15251564"/>
    <n v="0.1207"/>
    <n v="3.313E-2"/>
  </r>
  <r>
    <x v="16"/>
    <n v="8"/>
    <n v="9.8369999999999997"/>
    <x v="319"/>
    <n v="38977"/>
    <n v="1288378"/>
    <n v="1.0200000000000001E-2"/>
    <n v="2.8E-3"/>
  </r>
  <r>
    <x v="16"/>
    <n v="9"/>
    <n v="12.71"/>
    <x v="146"/>
    <n v="35972"/>
    <n v="1320768"/>
    <n v="1.0500000000000001E-2"/>
    <n v="2.8700000000000002E-3"/>
  </r>
  <r>
    <x v="16"/>
    <n v="10"/>
    <n v="12.843999999999999"/>
    <x v="52"/>
    <s v="2 2286600"/>
    <n v="63450197"/>
    <n v="0.502"/>
    <n v="0.13785"/>
  </r>
  <r>
    <x v="16"/>
    <n v="11"/>
    <n v="13.622"/>
    <x v="55"/>
    <s v="2   57942"/>
    <n v="2562188"/>
    <n v="2.0299999999999999E-2"/>
    <n v="5.5700000000000003E-3"/>
  </r>
  <r>
    <x v="16"/>
    <n v="12"/>
    <n v="14.541"/>
    <x v="423"/>
    <s v="8   53466"/>
    <n v="1471742"/>
    <n v="1.1599999999999999E-2"/>
    <n v="3.2000000000000002E-3"/>
  </r>
  <r>
    <x v="16"/>
    <n v="13"/>
    <n v="14.595000000000001"/>
    <x v="482"/>
    <s v="5   44475"/>
    <n v="1289328"/>
    <n v="1.0200000000000001E-2"/>
    <n v="2.8E-3"/>
  </r>
  <r>
    <x v="16"/>
    <n v="14"/>
    <n v="14.824"/>
    <x v="253"/>
    <s v="5   54053"/>
    <n v="1441449"/>
    <n v="1.14E-2"/>
    <n v="3.13E-3"/>
  </r>
  <r>
    <x v="16"/>
    <n v="15"/>
    <n v="15.875"/>
    <x v="69"/>
    <s v="4  929678"/>
    <n v="24880729"/>
    <n v="0.19689999999999999"/>
    <n v="5.4050000000000001E-2"/>
  </r>
  <r>
    <x v="16"/>
    <n v="16"/>
    <n v="16.670999999999999"/>
    <x v="357"/>
    <s v="4   67784"/>
    <n v="2038885"/>
    <n v="1.61E-2"/>
    <n v="4.4299999999999999E-3"/>
  </r>
  <r>
    <x v="16"/>
    <n v="17"/>
    <n v="16.984999999999999"/>
    <x v="483"/>
    <s v="2  634512"/>
    <n v="27132217"/>
    <n v="0.2147"/>
    <n v="5.8939999999999999E-2"/>
  </r>
  <r>
    <x v="16"/>
    <n v="18"/>
    <n v="17.082000000000001"/>
    <x v="475"/>
    <s v="2   43473"/>
    <n v="1782084"/>
    <n v="1.41E-2"/>
    <n v="3.8700000000000002E-3"/>
  </r>
  <r>
    <x v="16"/>
    <n v="19"/>
    <n v="17.469000000000001"/>
    <x v="484"/>
    <s v="6  146930"/>
    <n v="6096492"/>
    <n v="4.82E-2"/>
    <n v="1.324E-2"/>
  </r>
  <r>
    <x v="16"/>
    <n v="20"/>
    <n v="17.913"/>
    <x v="485"/>
    <s v="6   69770"/>
    <n v="1914458"/>
    <n v="1.5100000000000001E-2"/>
    <n v="4.1599999999999996E-3"/>
  </r>
  <r>
    <x v="16"/>
    <n v="21"/>
    <n v="18.006"/>
    <x v="156"/>
    <s v="3   26005"/>
    <n v="1153340"/>
    <n v="9.1000000000000004E-3"/>
    <n v="2.5100000000000001E-3"/>
  </r>
  <r>
    <x v="16"/>
    <n v="22"/>
    <n v="18.731999999999999"/>
    <x v="160"/>
    <s v="7  126916"/>
    <n v="3696918"/>
    <n v="2.93E-2"/>
    <n v="8.0300000000000007E-3"/>
  </r>
  <r>
    <x v="16"/>
    <n v="23"/>
    <n v="18.844000000000001"/>
    <x v="85"/>
    <s v="5  189859"/>
    <n v="4854606"/>
    <n v="3.8399999999999997E-2"/>
    <n v="1.055E-2"/>
  </r>
  <r>
    <x v="16"/>
    <n v="24"/>
    <n v="20.228000000000002"/>
    <x v="237"/>
    <s v="10   32204"/>
    <n v="1050275"/>
    <n v="8.3000000000000001E-3"/>
    <n v="2.2799999999999999E-3"/>
  </r>
  <r>
    <x v="16"/>
    <n v="25"/>
    <n v="21.402000000000001"/>
    <x v="89"/>
    <s v="10   56216"/>
    <n v="1802514"/>
    <n v="1.43E-2"/>
    <n v="3.9199999999999999E-3"/>
  </r>
  <r>
    <x v="16"/>
    <n v="26"/>
    <n v="25.911999999999999"/>
    <x v="466"/>
    <s v="2  442692"/>
    <n v="12613962"/>
    <n v="9.98E-2"/>
    <n v="2.7400000000000001E-2"/>
  </r>
  <r>
    <x v="16"/>
    <n v="27"/>
    <n v="28.481999999999999"/>
    <x v="101"/>
    <n v="3177810"/>
    <n v="43334200"/>
    <n v="0.34289999999999998"/>
    <n v="9.4140000000000001E-2"/>
  </r>
  <r>
    <x v="16"/>
    <n v="28"/>
    <n v="28.593"/>
    <x v="102"/>
    <s v="6   92734"/>
    <n v="2235459"/>
    <n v="1.77E-2"/>
    <n v="4.8599999999999997E-3"/>
  </r>
  <r>
    <x v="16"/>
    <n v="29"/>
    <n v="28.638999999999999"/>
    <x v="103"/>
    <s v="5   89699"/>
    <n v="2137228"/>
    <n v="1.6899999999999998E-2"/>
    <n v="4.64E-3"/>
  </r>
  <r>
    <x v="16"/>
    <n v="30"/>
    <n v="28.733000000000001"/>
    <x v="104"/>
    <s v="2  103017"/>
    <n v="2746841"/>
    <n v="2.1700000000000001E-2"/>
    <n v="5.9699999999999996E-3"/>
  </r>
  <r>
    <x v="16"/>
    <n v="31"/>
    <n v="28.891999999999999"/>
    <x v="105"/>
    <n v="1114479"/>
    <n v="14132990"/>
    <n v="0.1118"/>
    <n v="3.0700000000000002E-2"/>
  </r>
  <r>
    <x v="16"/>
    <n v="32"/>
    <n v="29.05"/>
    <x v="106"/>
    <n v="11740093"/>
    <n v="126384895"/>
    <n v="1"/>
    <n v="0.27456999999999998"/>
  </r>
  <r>
    <x v="16"/>
    <n v="33"/>
    <n v="29.231000000000002"/>
    <x v="108"/>
    <s v="9   52457"/>
    <n v="1363877"/>
    <n v="1.0800000000000001E-2"/>
    <n v="2.96E-3"/>
  </r>
  <r>
    <x v="16"/>
    <n v="34"/>
    <n v="29.288"/>
    <x v="165"/>
    <s v="9   50401"/>
    <n v="1462134"/>
    <n v="1.1599999999999999E-2"/>
    <n v="3.1800000000000001E-3"/>
  </r>
  <r>
    <x v="16"/>
    <n v="35"/>
    <n v="29.416"/>
    <x v="166"/>
    <s v="9   39593"/>
    <n v="1085688"/>
    <n v="8.6E-3"/>
    <n v="2.3600000000000001E-3"/>
  </r>
  <r>
    <x v="16"/>
    <n v="36"/>
    <n v="29.54"/>
    <x v="112"/>
    <s v="6   62634"/>
    <n v="1452895"/>
    <n v="1.15E-2"/>
    <n v="3.16E-3"/>
  </r>
  <r>
    <x v="16"/>
    <n v="37"/>
    <n v="29.741"/>
    <x v="115"/>
    <n v="946429"/>
    <n v="12393063"/>
    <n v="9.8100000000000007E-2"/>
    <n v="2.6919999999999999E-2"/>
  </r>
  <r>
    <x v="16"/>
    <n v="38"/>
    <n v="29.838000000000001"/>
    <x v="116"/>
    <s v="5  151431"/>
    <n v="2386354"/>
    <n v="1.89E-2"/>
    <n v="5.1799999999999997E-3"/>
  </r>
  <r>
    <x v="16"/>
    <n v="39"/>
    <n v="29.896999999999998"/>
    <x v="168"/>
    <s v="3   84272"/>
    <n v="3526054"/>
    <n v="2.7900000000000001E-2"/>
    <n v="7.6600000000000001E-3"/>
  </r>
  <r>
    <x v="16"/>
    <n v="40"/>
    <n v="30.013999999999999"/>
    <x v="118"/>
    <s v="2   71449"/>
    <n v="1585439"/>
    <n v="1.2500000000000001E-2"/>
    <n v="3.4399999999999999E-3"/>
  </r>
  <r>
    <x v="16"/>
    <n v="41"/>
    <n v="30.173999999999999"/>
    <x v="486"/>
    <s v="2  196810"/>
    <n v="1814235"/>
    <n v="1.44E-2"/>
    <n v="3.9399999999999999E-3"/>
  </r>
  <r>
    <x v="16"/>
    <n v="42"/>
    <n v="30.234000000000002"/>
    <x v="487"/>
    <s v="8   41649"/>
    <n v="1102621"/>
    <n v="8.6999999999999994E-3"/>
    <n v="2.3999999999999998E-3"/>
  </r>
  <r>
    <x v="16"/>
    <n v="43"/>
    <n v="31.821999999999999"/>
    <x v="292"/>
    <s v="8   89745"/>
    <n v="5077991"/>
    <n v="4.02E-2"/>
    <n v="1.103E-2"/>
  </r>
  <r>
    <x v="16"/>
    <n v="44"/>
    <n v="31.986999999999998"/>
    <x v="128"/>
    <n v="285122"/>
    <n v="5657953"/>
    <n v="4.48E-2"/>
    <n v="1.2290000000000001E-2"/>
  </r>
  <r>
    <x v="16"/>
    <n v="45"/>
    <n v="32.728999999999999"/>
    <x v="131"/>
    <s v="4  481278"/>
    <n v="11007468"/>
    <n v="8.7099999999999997E-2"/>
    <n v="2.3910000000000001E-2"/>
  </r>
  <r>
    <x v="16"/>
    <n v="46"/>
    <n v="33.1"/>
    <x v="132"/>
    <n v="647510"/>
    <n v="18198469"/>
    <n v="0.14399999999999999"/>
    <n v="3.9539999999999999E-2"/>
  </r>
  <r>
    <x v="16"/>
    <n v="47"/>
    <n v="33.694000000000003"/>
    <x v="176"/>
    <s v="A   117418"/>
    <n v="3470941"/>
    <n v="2.75E-2"/>
    <n v="7.5399999999999998E-3"/>
  </r>
  <r>
    <x v="17"/>
    <n v="1"/>
    <n v="4.8540000000000001"/>
    <x v="488"/>
    <s v="6   31704"/>
    <n v="1003169"/>
    <n v="6.3E-3"/>
    <n v="1.9599999999999999E-3"/>
  </r>
  <r>
    <x v="17"/>
    <n v="2"/>
    <n v="4.8899999999999997"/>
    <x v="133"/>
    <s v="6  396923"/>
    <n v="11417248"/>
    <n v="7.1599999999999997E-2"/>
    <n v="2.2280000000000001E-2"/>
  </r>
  <r>
    <x v="17"/>
    <n v="3"/>
    <n v="4.984"/>
    <x v="5"/>
    <s v="6   54510"/>
    <n v="1953432"/>
    <n v="1.23E-2"/>
    <n v="3.81E-3"/>
  </r>
  <r>
    <x v="17"/>
    <n v="4"/>
    <n v="5.6219999999999999"/>
    <x v="489"/>
    <s v="6   37330"/>
    <n v="1176314"/>
    <n v="7.4000000000000003E-3"/>
    <n v="2.3E-3"/>
  </r>
  <r>
    <x v="17"/>
    <n v="5"/>
    <n v="6.117"/>
    <x v="401"/>
    <s v="6   34113"/>
    <n v="1033728"/>
    <n v="6.4999999999999997E-3"/>
    <n v="2.0200000000000001E-3"/>
  </r>
  <r>
    <x v="17"/>
    <n v="6"/>
    <n v="6.266"/>
    <x v="177"/>
    <s v="4   46315"/>
    <n v="1434543"/>
    <n v="8.9999999999999993E-3"/>
    <n v="2.8E-3"/>
  </r>
  <r>
    <x v="17"/>
    <n v="7"/>
    <n v="6.4939999999999998"/>
    <x v="13"/>
    <s v="4   64373"/>
    <n v="2840350"/>
    <n v="1.78E-2"/>
    <n v="5.5399999999999998E-3"/>
  </r>
  <r>
    <x v="17"/>
    <n v="8"/>
    <n v="8.2919999999999998"/>
    <x v="387"/>
    <s v="4   36679"/>
    <n v="1864859"/>
    <n v="1.17E-2"/>
    <n v="3.64E-3"/>
  </r>
  <r>
    <x v="17"/>
    <n v="9"/>
    <n v="9.19"/>
    <x v="142"/>
    <s v="5   50611"/>
    <n v="1369160"/>
    <n v="8.6E-3"/>
    <n v="2.6700000000000001E-3"/>
  </r>
  <r>
    <x v="17"/>
    <n v="10"/>
    <n v="9.26"/>
    <x v="24"/>
    <s v="5   30206"/>
    <n v="1021854"/>
    <n v="6.4000000000000003E-3"/>
    <n v="1.99E-3"/>
  </r>
  <r>
    <x v="17"/>
    <n v="11"/>
    <n v="9.66"/>
    <x v="211"/>
    <s v="4  206995"/>
    <n v="6948458"/>
    <n v="4.36E-2"/>
    <n v="1.3559999999999999E-2"/>
  </r>
  <r>
    <x v="17"/>
    <n v="12"/>
    <n v="10.596"/>
    <x v="434"/>
    <s v="6   22422"/>
    <n v="1006766"/>
    <n v="6.3E-3"/>
    <n v="1.9599999999999999E-3"/>
  </r>
  <r>
    <x v="17"/>
    <n v="13"/>
    <n v="11.233000000000001"/>
    <x v="181"/>
    <s v="8   30621"/>
    <n v="1319605"/>
    <n v="8.3000000000000001E-3"/>
    <n v="2.5799999999999998E-3"/>
  </r>
  <r>
    <x v="17"/>
    <n v="14"/>
    <n v="12.705"/>
    <x v="146"/>
    <s v="8   91111"/>
    <n v="3277982"/>
    <n v="2.06E-2"/>
    <n v="6.4000000000000003E-3"/>
  </r>
  <r>
    <x v="17"/>
    <n v="15"/>
    <n v="12.843999999999999"/>
    <x v="52"/>
    <s v="2  644034"/>
    <n v="19462653"/>
    <n v="0.1221"/>
    <n v="3.798E-2"/>
  </r>
  <r>
    <x v="17"/>
    <n v="16"/>
    <n v="13"/>
    <x v="490"/>
    <s v="2   28165"/>
    <n v="1279091"/>
    <n v="8.0000000000000002E-3"/>
    <n v="2.5000000000000001E-3"/>
  </r>
  <r>
    <x v="17"/>
    <n v="17"/>
    <n v="13.227"/>
    <x v="147"/>
    <s v="2   81168"/>
    <n v="2869345"/>
    <n v="1.7999999999999999E-2"/>
    <n v="5.5999999999999999E-3"/>
  </r>
  <r>
    <x v="17"/>
    <n v="18"/>
    <n v="14.541"/>
    <x v="423"/>
    <s v="8   42723"/>
    <n v="1085653"/>
    <n v="6.7999999999999996E-3"/>
    <n v="2.1199999999999999E-3"/>
  </r>
  <r>
    <x v="17"/>
    <n v="19"/>
    <n v="14.589"/>
    <x v="62"/>
    <s v="8   46424"/>
    <n v="1814962"/>
    <n v="1.14E-2"/>
    <n v="3.5400000000000002E-3"/>
  </r>
  <r>
    <x v="17"/>
    <n v="20"/>
    <n v="15.529"/>
    <x v="149"/>
    <s v="3   60433"/>
    <n v="2760546"/>
    <n v="1.7299999999999999E-2"/>
    <n v="5.3899999999999998E-3"/>
  </r>
  <r>
    <x v="17"/>
    <n v="21"/>
    <n v="15.878"/>
    <x v="69"/>
    <s v="5  264907"/>
    <n v="7618913"/>
    <n v="4.7800000000000002E-2"/>
    <n v="1.487E-2"/>
  </r>
  <r>
    <x v="17"/>
    <n v="22"/>
    <n v="16.667000000000002"/>
    <x v="357"/>
    <s v="3   52314"/>
    <n v="1598189"/>
    <n v="0.01"/>
    <n v="3.1199999999999999E-3"/>
  </r>
  <r>
    <x v="17"/>
    <n v="23"/>
    <n v="17.033999999999999"/>
    <x v="491"/>
    <s v="2 1031023"/>
    <n v="59211121"/>
    <n v="0.3715"/>
    <n v="0.11554"/>
  </r>
  <r>
    <x v="17"/>
    <n v="24"/>
    <n v="17.469000000000001"/>
    <x v="484"/>
    <s v="6  132463"/>
    <n v="6209355"/>
    <n v="3.9E-2"/>
    <n v="1.2120000000000001E-2"/>
  </r>
  <r>
    <x v="17"/>
    <n v="25"/>
    <n v="17.692"/>
    <x v="256"/>
    <s v="7   27911"/>
    <n v="1168043"/>
    <n v="7.3000000000000001E-3"/>
    <n v="2.2799999999999999E-3"/>
  </r>
  <r>
    <x v="17"/>
    <n v="26"/>
    <n v="17.803999999999998"/>
    <x v="155"/>
    <s v="8   46139"/>
    <n v="1556499"/>
    <n v="9.7999999999999997E-3"/>
    <n v="3.0400000000000002E-3"/>
  </r>
  <r>
    <x v="17"/>
    <n v="27"/>
    <n v="18.056999999999999"/>
    <x v="235"/>
    <s v="3   28591"/>
    <n v="1672632"/>
    <n v="1.0500000000000001E-2"/>
    <n v="3.2599999999999999E-3"/>
  </r>
  <r>
    <x v="17"/>
    <n v="28"/>
    <n v="18.305"/>
    <x v="82"/>
    <s v="9   41504"/>
    <n v="1168881"/>
    <n v="7.3000000000000001E-3"/>
    <n v="2.2799999999999999E-3"/>
  </r>
  <r>
    <x v="17"/>
    <n v="29"/>
    <n v="18.727"/>
    <x v="160"/>
    <s v="7   46754"/>
    <n v="1414088"/>
    <n v="8.8999999999999999E-3"/>
    <n v="2.7599999999999999E-3"/>
  </r>
  <r>
    <x v="17"/>
    <n v="30"/>
    <n v="18.844000000000001"/>
    <x v="85"/>
    <s v="5  188709"/>
    <n v="5061221"/>
    <n v="3.1800000000000002E-2"/>
    <n v="9.8799999999999999E-3"/>
  </r>
  <r>
    <x v="17"/>
    <n v="31"/>
    <n v="20.231999999999999"/>
    <x v="237"/>
    <s v="10   43911"/>
    <n v="1575122"/>
    <n v="9.9000000000000008E-3"/>
    <n v="3.0699999999999998E-3"/>
  </r>
  <r>
    <x v="17"/>
    <n v="32"/>
    <n v="20.966999999999999"/>
    <x v="162"/>
    <s v="10   34157"/>
    <n v="1014549"/>
    <n v="6.4000000000000003E-3"/>
    <n v="1.98E-3"/>
  </r>
  <r>
    <x v="17"/>
    <n v="33"/>
    <n v="21.4"/>
    <x v="89"/>
    <s v="10   32257"/>
    <n v="1205698"/>
    <n v="7.6E-3"/>
    <n v="2.3500000000000001E-3"/>
  </r>
  <r>
    <x v="17"/>
    <n v="34"/>
    <n v="23.477"/>
    <x v="93"/>
    <s v="6   60732"/>
    <n v="1675276"/>
    <n v="1.0500000000000001E-2"/>
    <n v="3.2699999999999999E-3"/>
  </r>
  <r>
    <x v="17"/>
    <n v="35"/>
    <n v="23.919"/>
    <x v="191"/>
    <s v="10   30059"/>
    <n v="1027966"/>
    <n v="6.4999999999999997E-3"/>
    <n v="2.0100000000000001E-3"/>
  </r>
  <r>
    <x v="17"/>
    <n v="36"/>
    <n v="28.481999999999999"/>
    <x v="101"/>
    <n v="1508633"/>
    <n v="26092883"/>
    <n v="0.16370000000000001"/>
    <n v="5.092E-2"/>
  </r>
  <r>
    <x v="17"/>
    <n v="37"/>
    <n v="28.731999999999999"/>
    <x v="104"/>
    <s v="2  267756"/>
    <n v="4521320"/>
    <n v="2.8400000000000002E-2"/>
    <n v="8.8199999999999997E-3"/>
  </r>
  <r>
    <x v="17"/>
    <n v="38"/>
    <n v="28.891999999999999"/>
    <x v="105"/>
    <n v="598854"/>
    <n v="8085976"/>
    <n v="5.0700000000000002E-2"/>
    <n v="1.5779999999999999E-2"/>
  </r>
  <r>
    <x v="17"/>
    <n v="39"/>
    <n v="29.047999999999998"/>
    <x v="106"/>
    <n v="6119423"/>
    <n v="70343032"/>
    <n v="0.44140000000000001"/>
    <n v="0.13727"/>
  </r>
  <r>
    <x v="17"/>
    <n v="40"/>
    <n v="29.158000000000001"/>
    <x v="197"/>
    <s v="9   51983"/>
    <n v="1111509"/>
    <n v="7.0000000000000001E-3"/>
    <n v="2.1700000000000001E-3"/>
  </r>
  <r>
    <x v="17"/>
    <n v="41"/>
    <n v="29.231999999999999"/>
    <x v="108"/>
    <s v="9   76023"/>
    <n v="2140688"/>
    <n v="1.34E-2"/>
    <n v="4.1799999999999997E-3"/>
  </r>
  <r>
    <x v="17"/>
    <n v="42"/>
    <n v="29.741"/>
    <x v="115"/>
    <n v="348198"/>
    <n v="4241327"/>
    <n v="2.6599999999999999E-2"/>
    <n v="8.2799999999999992E-3"/>
  </r>
  <r>
    <x v="17"/>
    <n v="43"/>
    <n v="29.826000000000001"/>
    <x v="245"/>
    <s v="7  326222"/>
    <n v="3773402"/>
    <n v="2.3699999999999999E-2"/>
    <n v="7.3600000000000002E-3"/>
  </r>
  <r>
    <x v="17"/>
    <n v="44"/>
    <n v="29.881"/>
    <x v="307"/>
    <s v="3  104309"/>
    <n v="3271138"/>
    <n v="2.0500000000000001E-2"/>
    <n v="6.3800000000000003E-3"/>
  </r>
  <r>
    <x v="17"/>
    <n v="45"/>
    <n v="30.463999999999999"/>
    <x v="492"/>
    <s v="3   50997"/>
    <n v="1629725"/>
    <n v="1.0200000000000001E-2"/>
    <n v="3.1800000000000001E-3"/>
  </r>
  <r>
    <x v="17"/>
    <n v="46"/>
    <n v="30.812999999999999"/>
    <x v="170"/>
    <s v="3   34517"/>
    <n v="1209217"/>
    <n v="7.6E-3"/>
    <n v="2.3600000000000001E-3"/>
  </r>
  <r>
    <x v="17"/>
    <n v="47"/>
    <n v="30.962"/>
    <x v="123"/>
    <s v="3   52202"/>
    <n v="1917217"/>
    <n v="1.2E-2"/>
    <n v="3.7399999999999998E-3"/>
  </r>
  <r>
    <x v="17"/>
    <n v="48"/>
    <n v="31.006"/>
    <x v="124"/>
    <s v="3   31348"/>
    <n v="1087999"/>
    <n v="6.7999999999999996E-3"/>
    <n v="2.1199999999999999E-3"/>
  </r>
  <r>
    <x v="17"/>
    <n v="49"/>
    <n v="31.27"/>
    <x v="288"/>
    <s v="7  252842"/>
    <n v="9054503"/>
    <n v="5.6800000000000003E-2"/>
    <n v="1.7670000000000002E-2"/>
  </r>
  <r>
    <x v="17"/>
    <n v="50"/>
    <n v="31.370999999999999"/>
    <x v="268"/>
    <s v="7  120130"/>
    <n v="4487881"/>
    <n v="2.8199999999999999E-2"/>
    <n v="8.7600000000000004E-3"/>
  </r>
  <r>
    <x v="17"/>
    <n v="51"/>
    <n v="31.728999999999999"/>
    <x v="448"/>
    <s v="5   58774"/>
    <n v="1188884"/>
    <n v="7.4999999999999997E-3"/>
    <n v="2.32E-3"/>
  </r>
  <r>
    <x v="17"/>
    <n v="52"/>
    <n v="31.774999999999999"/>
    <x v="127"/>
    <s v="5   68808"/>
    <n v="1602938"/>
    <n v="1.01E-2"/>
    <n v="3.13E-3"/>
  </r>
  <r>
    <x v="17"/>
    <n v="53"/>
    <n v="31.808"/>
    <x v="449"/>
    <s v="5   60375"/>
    <n v="2146314"/>
    <n v="1.35E-2"/>
    <n v="4.1900000000000001E-3"/>
  </r>
  <r>
    <x v="17"/>
    <n v="54"/>
    <n v="31.986000000000001"/>
    <x v="128"/>
    <n v="11557154"/>
    <n v="159363527"/>
    <n v="1"/>
    <n v="0.31097999999999998"/>
  </r>
  <r>
    <x v="17"/>
    <n v="55"/>
    <n v="32.244999999999997"/>
    <x v="493"/>
    <n v="134940"/>
    <n v="6578848"/>
    <n v="4.1300000000000003E-2"/>
    <n v="1.2840000000000001E-2"/>
  </r>
  <r>
    <x v="17"/>
    <n v="56"/>
    <n v="32.351999999999997"/>
    <x v="494"/>
    <n v="36128"/>
    <n v="1379881"/>
    <n v="8.6999999999999994E-3"/>
    <n v="2.6900000000000001E-3"/>
  </r>
  <r>
    <x v="17"/>
    <n v="57"/>
    <n v="32.603000000000002"/>
    <x v="495"/>
    <n v="42752"/>
    <n v="1166279"/>
    <n v="7.3000000000000001E-3"/>
    <n v="2.2799999999999999E-3"/>
  </r>
  <r>
    <x v="17"/>
    <n v="58"/>
    <n v="32.729999999999997"/>
    <x v="131"/>
    <s v="4   81892"/>
    <n v="2642152"/>
    <n v="1.66E-2"/>
    <n v="5.1599999999999997E-3"/>
  </r>
  <r>
    <x v="17"/>
    <n v="59"/>
    <n v="32.83"/>
    <x v="439"/>
    <s v="4   43536"/>
    <n v="1046837"/>
    <n v="6.6E-3"/>
    <n v="2.0400000000000001E-3"/>
  </r>
  <r>
    <x v="17"/>
    <n v="60"/>
    <n v="33.095999999999997"/>
    <x v="132"/>
    <n v="1146256"/>
    <n v="29811597"/>
    <n v="0.18709999999999999"/>
    <n v="5.8169999999999999E-2"/>
  </r>
  <r>
    <x v="17"/>
    <n v="61"/>
    <n v="33.229999999999997"/>
    <x v="496"/>
    <n v="41102"/>
    <n v="1193066"/>
    <n v="7.4999999999999997E-3"/>
    <n v="2.33E-3"/>
  </r>
  <r>
    <x v="17"/>
    <n v="62"/>
    <n v="33.323999999999998"/>
    <x v="497"/>
    <n v="27950"/>
    <n v="1250586"/>
    <n v="7.7999999999999996E-3"/>
    <n v="2.4399999999999999E-3"/>
  </r>
  <r>
    <x v="18"/>
    <n v="1"/>
    <n v="4.8860000000000001"/>
    <x v="133"/>
    <s v="9  697354"/>
    <n v="18392059"/>
    <n v="0.1152"/>
    <n v="2.4910000000000002E-2"/>
  </r>
  <r>
    <x v="18"/>
    <n v="2"/>
    <n v="5.1079999999999997"/>
    <x v="498"/>
    <s v="6   50349"/>
    <n v="1057492"/>
    <n v="6.6E-3"/>
    <n v="1.4300000000000001E-3"/>
  </r>
  <r>
    <x v="18"/>
    <n v="3"/>
    <n v="5.194"/>
    <x v="134"/>
    <s v="6 4785348"/>
    <n v="159720212"/>
    <n v="0"/>
    <n v="0.21632000000000001"/>
  </r>
  <r>
    <x v="18"/>
    <n v="4"/>
    <n v="5.3959999999999999"/>
    <x v="499"/>
    <s v="6  230150"/>
    <n v="8178728"/>
    <n v="5.1200000000000002E-2"/>
    <n v="1.108E-2"/>
  </r>
  <r>
    <x v="18"/>
    <n v="5"/>
    <n v="5.4809999999999999"/>
    <x v="500"/>
    <s v="4  126257"/>
    <n v="1701957"/>
    <n v="1.0699999999999999E-2"/>
    <n v="2.31E-3"/>
  </r>
  <r>
    <x v="18"/>
    <n v="6"/>
    <n v="5.5049999999999999"/>
    <x v="9"/>
    <s v="6  118921"/>
    <n v="2090108"/>
    <n v="1.3100000000000001E-2"/>
    <n v="2.8300000000000001E-3"/>
  </r>
  <r>
    <x v="18"/>
    <n v="7"/>
    <n v="5.54"/>
    <x v="400"/>
    <s v="6  120599"/>
    <n v="5067674"/>
    <n v="3.1699999999999999E-2"/>
    <n v="6.8599999999999998E-3"/>
  </r>
  <r>
    <x v="18"/>
    <n v="8"/>
    <n v="5.6529999999999996"/>
    <x v="501"/>
    <s v="6   84999"/>
    <n v="3974896"/>
    <n v="2.4899999999999999E-2"/>
    <n v="5.3800000000000002E-3"/>
  </r>
  <r>
    <x v="18"/>
    <n v="9"/>
    <n v="6.1050000000000004"/>
    <x v="138"/>
    <s v="6   48318"/>
    <n v="1473139"/>
    <n v="9.1999999999999998E-3"/>
    <n v="2E-3"/>
  </r>
  <r>
    <x v="18"/>
    <n v="10"/>
    <n v="6.49"/>
    <x v="13"/>
    <s v="4  194274"/>
    <n v="6016420"/>
    <n v="3.7699999999999997E-2"/>
    <n v="8.1499999999999993E-3"/>
  </r>
  <r>
    <x v="18"/>
    <n v="11"/>
    <n v="8.2089999999999996"/>
    <x v="502"/>
    <s v="7   52842"/>
    <n v="1083078"/>
    <n v="6.7999999999999996E-3"/>
    <n v="1.47E-3"/>
  </r>
  <r>
    <x v="18"/>
    <n v="12"/>
    <n v="8.2579999999999991"/>
    <x v="18"/>
    <s v="6  113611"/>
    <n v="4773722"/>
    <n v="2.9899999999999999E-2"/>
    <n v="6.4700000000000001E-3"/>
  </r>
  <r>
    <x v="18"/>
    <n v="13"/>
    <n v="8.3520000000000003"/>
    <x v="503"/>
    <s v="6   79123"/>
    <n v="3263083"/>
    <n v="2.0400000000000001E-2"/>
    <n v="4.4200000000000003E-3"/>
  </r>
  <r>
    <x v="18"/>
    <n v="14"/>
    <n v="8.6440000000000001"/>
    <x v="20"/>
    <s v="6   62817"/>
    <n v="3115905"/>
    <n v="1.95E-2"/>
    <n v="4.2199999999999998E-3"/>
  </r>
  <r>
    <x v="18"/>
    <n v="15"/>
    <n v="8.9320000000000004"/>
    <x v="21"/>
    <s v="6   43337"/>
    <n v="2097453"/>
    <n v="1.3100000000000001E-2"/>
    <n v="2.8400000000000001E-3"/>
  </r>
  <r>
    <x v="18"/>
    <n v="16"/>
    <n v="9.1069999999999993"/>
    <x v="504"/>
    <s v="6   24066"/>
    <n v="1005631"/>
    <n v="6.3E-3"/>
    <n v="1.3600000000000001E-3"/>
  </r>
  <r>
    <x v="18"/>
    <n v="17"/>
    <n v="9.1790000000000003"/>
    <x v="23"/>
    <s v="6  269738"/>
    <n v="7394894"/>
    <n v="4.6300000000000001E-2"/>
    <n v="1.0019999999999999E-2"/>
  </r>
  <r>
    <x v="18"/>
    <n v="18"/>
    <n v="9.2539999999999996"/>
    <x v="143"/>
    <s v="9  210956"/>
    <n v="8716039"/>
    <n v="5.4600000000000003E-2"/>
    <n v="1.18E-2"/>
  </r>
  <r>
    <x v="18"/>
    <n v="19"/>
    <n v="9.3520000000000003"/>
    <x v="505"/>
    <s v="9   62302"/>
    <n v="2082081"/>
    <n v="1.2999999999999999E-2"/>
    <n v="2.82E-3"/>
  </r>
  <r>
    <x v="18"/>
    <n v="20"/>
    <n v="9.5120000000000005"/>
    <x v="26"/>
    <s v="9   32397"/>
    <n v="1382813"/>
    <n v="8.6999999999999994E-3"/>
    <n v="1.8699999999999999E-3"/>
  </r>
  <r>
    <x v="18"/>
    <n v="21"/>
    <n v="9.6539999999999999"/>
    <x v="27"/>
    <s v="4  736714"/>
    <n v="22482736"/>
    <n v="0.14080000000000001"/>
    <n v="3.0450000000000001E-2"/>
  </r>
  <r>
    <x v="18"/>
    <n v="22"/>
    <n v="9.82"/>
    <x v="28"/>
    <n v="3120335"/>
    <n v="95073719"/>
    <n v="0.59530000000000005"/>
    <n v="0.12877"/>
  </r>
  <r>
    <x v="18"/>
    <n v="23"/>
    <n v="10.288"/>
    <x v="30"/>
    <s v="5   47906"/>
    <n v="1980316"/>
    <n v="1.24E-2"/>
    <n v="2.6800000000000001E-3"/>
  </r>
  <r>
    <x v="18"/>
    <n v="24"/>
    <n v="10.406000000000001"/>
    <x v="323"/>
    <s v="3   76829"/>
    <n v="2721294"/>
    <n v="1.7000000000000001E-2"/>
    <n v="3.6900000000000001E-3"/>
  </r>
  <r>
    <x v="18"/>
    <n v="25"/>
    <n v="10.587"/>
    <x v="33"/>
    <s v="5   43578"/>
    <n v="1991535"/>
    <n v="1.2500000000000001E-2"/>
    <n v="2.7000000000000001E-3"/>
  </r>
  <r>
    <x v="18"/>
    <n v="26"/>
    <n v="10.763"/>
    <x v="213"/>
    <s v="5   30366"/>
    <n v="1419428"/>
    <n v="8.8999999999999999E-3"/>
    <n v="1.92E-3"/>
  </r>
  <r>
    <x v="18"/>
    <n v="27"/>
    <n v="11.092000000000001"/>
    <x v="36"/>
    <s v="3   74898"/>
    <n v="3218886"/>
    <n v="2.0199999999999999E-2"/>
    <n v="4.3600000000000002E-3"/>
  </r>
  <r>
    <x v="18"/>
    <n v="28"/>
    <n v="11.265000000000001"/>
    <x v="300"/>
    <s v="10   72778"/>
    <n v="4328192"/>
    <n v="2.7099999999999999E-2"/>
    <n v="5.8599999999999998E-3"/>
  </r>
  <r>
    <x v="18"/>
    <n v="29"/>
    <n v="11.409000000000001"/>
    <x v="38"/>
    <s v="10   42442"/>
    <n v="2060918"/>
    <n v="1.29E-2"/>
    <n v="2.7899999999999999E-3"/>
  </r>
  <r>
    <x v="18"/>
    <n v="30"/>
    <n v="11.544"/>
    <x v="506"/>
    <s v="8   32947"/>
    <n v="1239558"/>
    <n v="7.7999999999999996E-3"/>
    <n v="1.6800000000000001E-3"/>
  </r>
  <r>
    <x v="18"/>
    <n v="31"/>
    <n v="11.632"/>
    <x v="217"/>
    <s v="5   30803"/>
    <n v="1127030"/>
    <n v="7.1000000000000004E-3"/>
    <n v="1.5299999999999999E-3"/>
  </r>
  <r>
    <x v="18"/>
    <n v="32"/>
    <n v="11.906000000000001"/>
    <x v="42"/>
    <s v="5   30305"/>
    <n v="1537733"/>
    <n v="9.5999999999999992E-3"/>
    <n v="2.0799999999999998E-3"/>
  </r>
  <r>
    <x v="18"/>
    <n v="33"/>
    <n v="12.352"/>
    <x v="507"/>
    <s v="5   30537"/>
    <n v="1013647"/>
    <n v="6.3E-3"/>
    <n v="1.3699999999999999E-3"/>
  </r>
  <r>
    <x v="18"/>
    <n v="34"/>
    <n v="12.443"/>
    <x v="47"/>
    <s v="5   35291"/>
    <n v="1125769"/>
    <n v="7.0000000000000001E-3"/>
    <n v="1.5200000000000001E-3"/>
  </r>
  <r>
    <x v="18"/>
    <n v="35"/>
    <n v="12.537000000000001"/>
    <x v="49"/>
    <s v="5   40206"/>
    <n v="1594660"/>
    <n v="0.01"/>
    <n v="2.16E-3"/>
  </r>
  <r>
    <x v="18"/>
    <n v="36"/>
    <n v="12.702999999999999"/>
    <x v="51"/>
    <s v="5   51297"/>
    <n v="2223584"/>
    <n v="1.3899999999999999E-2"/>
    <n v="3.0100000000000001E-3"/>
  </r>
  <r>
    <x v="18"/>
    <n v="37"/>
    <n v="12.842000000000001"/>
    <x v="52"/>
    <s v="2 1283933"/>
    <n v="36807428"/>
    <n v="0.23039999999999999"/>
    <n v="4.9849999999999998E-2"/>
  </r>
  <r>
    <x v="18"/>
    <n v="38"/>
    <n v="12.994"/>
    <x v="508"/>
    <s v="2   27684"/>
    <n v="1413044"/>
    <n v="8.8000000000000005E-3"/>
    <n v="1.91E-3"/>
  </r>
  <r>
    <x v="18"/>
    <n v="39"/>
    <n v="13.228"/>
    <x v="147"/>
    <s v="2   94154"/>
    <n v="3792005"/>
    <n v="2.3699999999999999E-2"/>
    <n v="5.1399999999999996E-3"/>
  </r>
  <r>
    <x v="18"/>
    <n v="40"/>
    <n v="13.568"/>
    <x v="226"/>
    <s v="2   49193"/>
    <n v="2870608"/>
    <n v="1.7999999999999999E-2"/>
    <n v="3.8899999999999998E-3"/>
  </r>
  <r>
    <x v="18"/>
    <n v="41"/>
    <n v="14.425000000000001"/>
    <x v="60"/>
    <s v="2   40373"/>
    <n v="1434097"/>
    <n v="8.9999999999999993E-3"/>
    <n v="1.9400000000000001E-3"/>
  </r>
  <r>
    <x v="18"/>
    <n v="42"/>
    <n v="14.531000000000001"/>
    <x v="301"/>
    <s v="2  141174"/>
    <n v="6137347"/>
    <n v="3.8399999999999997E-2"/>
    <n v="8.3099999999999997E-3"/>
  </r>
  <r>
    <x v="18"/>
    <n v="43"/>
    <n v="14.717000000000001"/>
    <x v="509"/>
    <s v="2   25766"/>
    <n v="1038297"/>
    <n v="6.4999999999999997E-3"/>
    <n v="1.41E-3"/>
  </r>
  <r>
    <x v="18"/>
    <n v="44"/>
    <n v="14.827999999999999"/>
    <x v="63"/>
    <s v="2   41391"/>
    <n v="1183184"/>
    <n v="7.4000000000000003E-3"/>
    <n v="1.6000000000000001E-3"/>
  </r>
  <r>
    <x v="18"/>
    <n v="45"/>
    <n v="15.273999999999999"/>
    <x v="65"/>
    <s v="10   52487"/>
    <n v="1010104"/>
    <n v="6.3E-3"/>
    <n v="1.3699999999999999E-3"/>
  </r>
  <r>
    <x v="18"/>
    <n v="46"/>
    <n v="15.336"/>
    <x v="66"/>
    <s v="4 1043514"/>
    <n v="28038219"/>
    <n v="0.17549999999999999"/>
    <n v="3.7969999999999997E-2"/>
  </r>
  <r>
    <x v="18"/>
    <n v="47"/>
    <n v="15.468"/>
    <x v="182"/>
    <s v="8   62536"/>
    <n v="1739694"/>
    <n v="1.09E-2"/>
    <n v="2.3600000000000001E-3"/>
  </r>
  <r>
    <x v="18"/>
    <n v="48"/>
    <n v="15.551"/>
    <x v="354"/>
    <s v="8   36877"/>
    <n v="1391842"/>
    <n v="8.6999999999999994E-3"/>
    <n v="1.89E-3"/>
  </r>
  <r>
    <x v="18"/>
    <n v="49"/>
    <n v="15.71"/>
    <x v="151"/>
    <s v="8   45105"/>
    <n v="1569223"/>
    <n v="9.7999999999999997E-3"/>
    <n v="2.1299999999999999E-3"/>
  </r>
  <r>
    <x v="18"/>
    <n v="50"/>
    <n v="15.875"/>
    <x v="69"/>
    <s v="5  453706"/>
    <n v="12422228"/>
    <n v="7.7799999999999994E-2"/>
    <n v="1.6820000000000002E-2"/>
  </r>
  <r>
    <x v="18"/>
    <n v="51"/>
    <n v="16.661999999999999"/>
    <x v="71"/>
    <s v="2  185322"/>
    <n v="5014502"/>
    <n v="3.1399999999999997E-2"/>
    <n v="6.79E-3"/>
  </r>
  <r>
    <x v="18"/>
    <n v="52"/>
    <n v="16.763000000000002"/>
    <x v="72"/>
    <s v="9  929155"/>
    <n v="22984957"/>
    <n v="0.1439"/>
    <n v="3.1130000000000001E-2"/>
  </r>
  <r>
    <x v="18"/>
    <n v="53"/>
    <n v="16.989999999999998"/>
    <x v="483"/>
    <s v="3  686699"/>
    <n v="31137782"/>
    <n v="0.19500000000000001"/>
    <n v="4.2169999999999999E-2"/>
  </r>
  <r>
    <x v="18"/>
    <n v="54"/>
    <n v="17.079999999999998"/>
    <x v="475"/>
    <s v="2   53513"/>
    <n v="2429819"/>
    <n v="1.52E-2"/>
    <n v="3.29E-3"/>
  </r>
  <r>
    <x v="18"/>
    <n v="55"/>
    <n v="17.454000000000001"/>
    <x v="153"/>
    <s v="6  488612"/>
    <n v="14393075"/>
    <n v="9.01E-2"/>
    <n v="1.949E-2"/>
  </r>
  <r>
    <x v="18"/>
    <n v="56"/>
    <n v="17.687000000000001"/>
    <x v="256"/>
    <s v="7   24410"/>
    <n v="1021480"/>
    <n v="6.4000000000000003E-3"/>
    <n v="1.3799999999999999E-3"/>
  </r>
  <r>
    <x v="18"/>
    <n v="57"/>
    <n v="17.803999999999998"/>
    <x v="155"/>
    <s v="9  125661"/>
    <n v="3530979"/>
    <n v="2.2100000000000002E-2"/>
    <n v="4.7800000000000004E-3"/>
  </r>
  <r>
    <x v="18"/>
    <n v="58"/>
    <n v="17.920999999999999"/>
    <x v="80"/>
    <s v="10   36573"/>
    <n v="1485997"/>
    <n v="9.2999999999999992E-3"/>
    <n v="2.0100000000000001E-3"/>
  </r>
  <r>
    <x v="18"/>
    <n v="59"/>
    <n v="18.059000000000001"/>
    <x v="235"/>
    <s v="3   54995"/>
    <n v="1900767"/>
    <n v="1.1900000000000001E-2"/>
    <n v="2.5699999999999998E-3"/>
  </r>
  <r>
    <x v="18"/>
    <n v="60"/>
    <n v="18.303999999999998"/>
    <x v="510"/>
    <s v="10  110913"/>
    <n v="3244503"/>
    <n v="2.0299999999999999E-2"/>
    <n v="4.3899999999999998E-3"/>
  </r>
  <r>
    <x v="18"/>
    <n v="61"/>
    <n v="18.382999999999999"/>
    <x v="511"/>
    <s v="10   27197"/>
    <n v="1317007"/>
    <n v="8.2000000000000007E-3"/>
    <n v="1.7799999999999999E-3"/>
  </r>
  <r>
    <x v="18"/>
    <n v="62"/>
    <n v="18.533000000000001"/>
    <x v="159"/>
    <s v="10   48056"/>
    <n v="1234052"/>
    <n v="7.7000000000000002E-3"/>
    <n v="1.67E-3"/>
  </r>
  <r>
    <x v="18"/>
    <n v="63"/>
    <n v="18.725000000000001"/>
    <x v="160"/>
    <s v="7   74649"/>
    <n v="2412059"/>
    <n v="1.5100000000000001E-2"/>
    <n v="3.2699999999999999E-3"/>
  </r>
  <r>
    <x v="18"/>
    <n v="64"/>
    <n v="18.84"/>
    <x v="85"/>
    <s v="5  172515"/>
    <n v="4590419"/>
    <n v="2.87E-2"/>
    <n v="6.2199999999999998E-3"/>
  </r>
  <r>
    <x v="18"/>
    <n v="65"/>
    <n v="18.905999999999999"/>
    <x v="512"/>
    <s v="8   38455"/>
    <n v="1124172"/>
    <n v="7.0000000000000001E-3"/>
    <n v="1.5200000000000001E-3"/>
  </r>
  <r>
    <x v="18"/>
    <n v="66"/>
    <n v="19.207000000000001"/>
    <x v="161"/>
    <s v="8   28873"/>
    <n v="1480267"/>
    <n v="9.2999999999999992E-3"/>
    <n v="2E-3"/>
  </r>
  <r>
    <x v="18"/>
    <n v="67"/>
    <n v="20.222000000000001"/>
    <x v="87"/>
    <s v="8  102798"/>
    <n v="3246381"/>
    <n v="2.0299999999999999E-2"/>
    <n v="4.4000000000000003E-3"/>
  </r>
  <r>
    <x v="18"/>
    <n v="68"/>
    <n v="20.968"/>
    <x v="162"/>
    <s v="9  107619"/>
    <n v="2927187"/>
    <n v="1.83E-2"/>
    <n v="3.96E-3"/>
  </r>
  <r>
    <x v="18"/>
    <n v="69"/>
    <n v="21.177"/>
    <x v="189"/>
    <s v="9   58477"/>
    <n v="2065076"/>
    <n v="1.29E-2"/>
    <n v="2.8E-3"/>
  </r>
  <r>
    <x v="18"/>
    <n v="70"/>
    <n v="21.402000000000001"/>
    <x v="89"/>
    <s v="10   69307"/>
    <n v="1918223"/>
    <n v="1.2E-2"/>
    <n v="2.5999999999999999E-3"/>
  </r>
  <r>
    <x v="18"/>
    <n v="71"/>
    <n v="21.69"/>
    <x v="427"/>
    <s v="10  376149"/>
    <n v="10306980"/>
    <n v="6.4500000000000002E-2"/>
    <n v="1.396E-2"/>
  </r>
  <r>
    <x v="18"/>
    <n v="72"/>
    <n v="22.509"/>
    <x v="90"/>
    <s v="10  111410"/>
    <n v="3892529"/>
    <n v="2.4400000000000002E-2"/>
    <n v="5.2700000000000004E-3"/>
  </r>
  <r>
    <x v="18"/>
    <n v="73"/>
    <n v="23.474"/>
    <x v="261"/>
    <s v="6  190648"/>
    <n v="4742178"/>
    <n v="2.9700000000000001E-2"/>
    <n v="6.4200000000000004E-3"/>
  </r>
  <r>
    <x v="18"/>
    <n v="74"/>
    <n v="23.664000000000001"/>
    <x v="190"/>
    <s v="10  112566"/>
    <n v="2793638"/>
    <n v="1.7500000000000002E-2"/>
    <n v="3.7799999999999999E-3"/>
  </r>
  <r>
    <x v="18"/>
    <n v="75"/>
    <n v="23.922000000000001"/>
    <x v="191"/>
    <s v="10   69217"/>
    <n v="1953113"/>
    <n v="1.2200000000000001E-2"/>
    <n v="2.65E-3"/>
  </r>
  <r>
    <x v="18"/>
    <n v="76"/>
    <n v="25.367999999999999"/>
    <x v="513"/>
    <s v="10   27487"/>
    <n v="1132872"/>
    <n v="7.1000000000000004E-3"/>
    <n v="1.5299999999999999E-3"/>
  </r>
  <r>
    <x v="18"/>
    <n v="77"/>
    <n v="25.666"/>
    <x v="514"/>
    <s v="10   77376"/>
    <n v="2249901"/>
    <n v="1.41E-2"/>
    <n v="3.0500000000000002E-3"/>
  </r>
  <r>
    <x v="18"/>
    <n v="78"/>
    <n v="25.849"/>
    <x v="163"/>
    <s v="10   62462"/>
    <n v="1717951"/>
    <n v="1.0800000000000001E-2"/>
    <n v="2.33E-3"/>
  </r>
  <r>
    <x v="18"/>
    <n v="79"/>
    <n v="26.013999999999999"/>
    <x v="447"/>
    <s v="10   43259"/>
    <n v="1780049"/>
    <n v="1.11E-2"/>
    <n v="2.4099999999999998E-3"/>
  </r>
  <r>
    <x v="18"/>
    <n v="80"/>
    <n v="26.285"/>
    <x v="515"/>
    <s v="10   28258"/>
    <n v="1021621"/>
    <n v="6.4000000000000003E-3"/>
    <n v="1.3799999999999999E-3"/>
  </r>
  <r>
    <x v="18"/>
    <n v="81"/>
    <n v="26.523"/>
    <x v="516"/>
    <s v="7   28656"/>
    <n v="1251975"/>
    <n v="7.7999999999999996E-3"/>
    <n v="1.6999999999999999E-3"/>
  </r>
  <r>
    <x v="18"/>
    <n v="82"/>
    <n v="27.428999999999998"/>
    <x v="99"/>
    <s v="10   66346"/>
    <n v="1230931"/>
    <n v="7.7000000000000002E-3"/>
    <n v="1.67E-3"/>
  </r>
  <r>
    <x v="18"/>
    <n v="83"/>
    <n v="27.506"/>
    <x v="100"/>
    <s v="3  205335"/>
    <n v="3466255"/>
    <n v="2.1700000000000001E-2"/>
    <n v="4.6899999999999997E-3"/>
  </r>
  <r>
    <x v="18"/>
    <n v="84"/>
    <n v="27.664999999999999"/>
    <x v="195"/>
    <s v="9   41236"/>
    <n v="1343593"/>
    <n v="8.3999999999999995E-3"/>
    <n v="1.82E-3"/>
  </r>
  <r>
    <x v="18"/>
    <n v="85"/>
    <n v="28.483000000000001"/>
    <x v="101"/>
    <n v="478515"/>
    <n v="8696432"/>
    <n v="5.4399999999999997E-2"/>
    <n v="1.1780000000000001E-2"/>
  </r>
  <r>
    <x v="18"/>
    <n v="86"/>
    <n v="28.591999999999999"/>
    <x v="102"/>
    <s v="7   37287"/>
    <n v="1054056"/>
    <n v="6.6E-3"/>
    <n v="1.4300000000000001E-3"/>
  </r>
  <r>
    <x v="18"/>
    <n v="87"/>
    <n v="28.731999999999999"/>
    <x v="104"/>
    <s v="3  239221"/>
    <n v="4608257"/>
    <n v="2.8899999999999999E-2"/>
    <n v="6.2399999999999999E-3"/>
  </r>
  <r>
    <x v="18"/>
    <n v="88"/>
    <n v="28.891999999999999"/>
    <x v="105"/>
    <n v="270697"/>
    <n v="4051650"/>
    <n v="2.5399999999999999E-2"/>
    <n v="5.4900000000000001E-3"/>
  </r>
  <r>
    <x v="18"/>
    <n v="89"/>
    <n v="29.047000000000001"/>
    <x v="106"/>
    <n v="2106021"/>
    <n v="25501966"/>
    <n v="0.15970000000000001"/>
    <n v="3.4540000000000001E-2"/>
  </r>
  <r>
    <x v="18"/>
    <n v="90"/>
    <n v="29.231999999999999"/>
    <x v="108"/>
    <s v="9   83811"/>
    <n v="2542636"/>
    <n v="1.5900000000000001E-2"/>
    <n v="3.4399999999999999E-3"/>
  </r>
  <r>
    <x v="18"/>
    <n v="91"/>
    <n v="29.431000000000001"/>
    <x v="110"/>
    <s v="9   67041"/>
    <n v="2174772"/>
    <n v="1.3599999999999999E-2"/>
    <n v="2.9499999999999999E-3"/>
  </r>
  <r>
    <x v="18"/>
    <n v="92"/>
    <n v="29.465"/>
    <x v="167"/>
    <s v="2   59998"/>
    <n v="1634033"/>
    <n v="1.0200000000000001E-2"/>
    <n v="2.2100000000000002E-3"/>
  </r>
  <r>
    <x v="18"/>
    <n v="93"/>
    <n v="29.532"/>
    <x v="199"/>
    <s v="7  106734"/>
    <n v="1615911"/>
    <n v="1.01E-2"/>
    <n v="2.1900000000000001E-3"/>
  </r>
  <r>
    <x v="18"/>
    <n v="94"/>
    <n v="29.675000000000001"/>
    <x v="517"/>
    <s v="7   42648"/>
    <n v="1024825"/>
    <n v="6.4000000000000003E-3"/>
    <n v="1.39E-3"/>
  </r>
  <r>
    <x v="18"/>
    <n v="95"/>
    <n v="29.742999999999999"/>
    <x v="115"/>
    <n v="122242"/>
    <n v="2179314"/>
    <n v="1.3599999999999999E-2"/>
    <n v="2.9499999999999999E-3"/>
  </r>
  <r>
    <x v="18"/>
    <n v="96"/>
    <n v="29.82"/>
    <x v="200"/>
    <s v="7   68300"/>
    <n v="1359457"/>
    <n v="8.5000000000000006E-3"/>
    <n v="1.8400000000000001E-3"/>
  </r>
  <r>
    <x v="18"/>
    <n v="97"/>
    <n v="29.898"/>
    <x v="168"/>
    <s v="2   79748"/>
    <n v="2132211"/>
    <n v="1.3299999999999999E-2"/>
    <n v="2.8900000000000002E-3"/>
  </r>
  <r>
    <x v="18"/>
    <n v="98"/>
    <n v="29.934999999999999"/>
    <x v="201"/>
    <s v="7   82331"/>
    <n v="1411105"/>
    <n v="8.8000000000000005E-3"/>
    <n v="1.91E-3"/>
  </r>
  <r>
    <x v="18"/>
    <n v="99"/>
    <n v="29.977"/>
    <x v="518"/>
    <s v="2   43491"/>
    <n v="2022507"/>
    <n v="1.2699999999999999E-2"/>
    <n v="2.7399999999999998E-3"/>
  </r>
  <r>
    <x v="18"/>
    <n v="100"/>
    <n v="31.361999999999998"/>
    <x v="172"/>
    <s v="2   36358"/>
    <n v="1634204"/>
    <n v="1.0200000000000001E-2"/>
    <n v="2.2100000000000002E-3"/>
  </r>
  <r>
    <x v="18"/>
    <n v="101"/>
    <n v="31.552"/>
    <x v="519"/>
    <s v="2   31715"/>
    <n v="1592399"/>
    <n v="0.01"/>
    <n v="2.16E-3"/>
  </r>
  <r>
    <x v="18"/>
    <n v="102"/>
    <n v="31.7"/>
    <x v="270"/>
    <s v="2   34325"/>
    <n v="2358297"/>
    <n v="1.4800000000000001E-2"/>
    <n v="3.1900000000000001E-3"/>
  </r>
  <r>
    <x v="18"/>
    <n v="103"/>
    <n v="31.988"/>
    <x v="128"/>
    <n v="323858"/>
    <n v="8414687"/>
    <n v="5.2699999999999997E-2"/>
    <n v="1.14E-2"/>
  </r>
  <r>
    <x v="18"/>
    <n v="104"/>
    <n v="32.735999999999997"/>
    <x v="173"/>
    <s v="3   97490"/>
    <n v="3280567"/>
    <n v="2.0500000000000001E-2"/>
    <n v="4.4400000000000004E-3"/>
  </r>
  <r>
    <x v="18"/>
    <n v="105"/>
    <n v="33.098999999999997"/>
    <x v="132"/>
    <n v="589386"/>
    <n v="18108481"/>
    <n v="0.1134"/>
    <n v="2.453E-2"/>
  </r>
  <r>
    <x v="18"/>
    <n v="106"/>
    <n v="33.232999999999997"/>
    <x v="496"/>
    <n v="39276"/>
    <n v="1946807"/>
    <n v="1.2200000000000001E-2"/>
    <n v="2.64E-3"/>
  </r>
  <r>
    <x v="18"/>
    <n v="107"/>
    <n v="33.363999999999997"/>
    <x v="520"/>
    <n v="29227"/>
    <n v="1026500"/>
    <n v="6.4000000000000003E-3"/>
    <n v="1.39E-3"/>
  </r>
  <r>
    <x v="18"/>
    <n v="108"/>
    <n v="33.69"/>
    <x v="176"/>
    <n v="35219"/>
    <n v="1059862"/>
    <n v="6.6E-3"/>
    <n v="1.4400000000000001E-3"/>
  </r>
  <r>
    <x v="19"/>
    <n v="1"/>
    <n v="4.4870000000000001"/>
    <x v="0"/>
    <s v="8  114172"/>
    <n v="4529130"/>
    <n v="4.4999999999999998E-2"/>
    <n v="8.1700000000000002E-3"/>
  </r>
  <r>
    <x v="19"/>
    <n v="2"/>
    <n v="4.7080000000000002"/>
    <x v="2"/>
    <s v="9   86099"/>
    <n v="2448890"/>
    <n v="2.4299999999999999E-2"/>
    <n v="4.4200000000000003E-3"/>
  </r>
  <r>
    <x v="19"/>
    <n v="3"/>
    <n v="4.8010000000000002"/>
    <x v="521"/>
    <s v="4  122955"/>
    <n v="3168743"/>
    <n v="3.15E-2"/>
    <n v="5.7200000000000003E-3"/>
  </r>
  <r>
    <x v="19"/>
    <n v="4"/>
    <n v="4.8899999999999997"/>
    <x v="133"/>
    <s v="9  234895"/>
    <n v="10697832"/>
    <n v="0.10630000000000001"/>
    <n v="1.9300000000000001E-2"/>
  </r>
  <r>
    <x v="19"/>
    <n v="5"/>
    <n v="4.9770000000000003"/>
    <x v="5"/>
    <s v="8  134581"/>
    <n v="5704218"/>
    <n v="5.67E-2"/>
    <n v="1.0290000000000001E-2"/>
  </r>
  <r>
    <x v="19"/>
    <n v="6"/>
    <n v="5.1210000000000004"/>
    <x v="6"/>
    <s v="7   75340"/>
    <n v="2087192"/>
    <n v="2.07E-2"/>
    <n v="3.7699999999999999E-3"/>
  </r>
  <r>
    <x v="19"/>
    <n v="7"/>
    <n v="5.218"/>
    <x v="522"/>
    <s v="7   66875"/>
    <n v="2629211"/>
    <n v="2.6100000000000002E-2"/>
    <n v="4.7400000000000003E-3"/>
  </r>
  <r>
    <x v="19"/>
    <n v="8"/>
    <n v="5.3840000000000003"/>
    <x v="523"/>
    <s v="7   36148"/>
    <n v="1700745"/>
    <n v="1.6899999999999998E-2"/>
    <n v="3.0699999999999998E-3"/>
  </r>
  <r>
    <x v="19"/>
    <n v="9"/>
    <n v="6.1"/>
    <x v="11"/>
    <s v="7   63871"/>
    <n v="2012400"/>
    <n v="0.02"/>
    <n v="3.63E-3"/>
  </r>
  <r>
    <x v="19"/>
    <n v="10"/>
    <n v="6.2530000000000001"/>
    <x v="12"/>
    <s v="3  131404"/>
    <n v="4538189"/>
    <n v="4.5100000000000001E-2"/>
    <n v="8.1899999999999994E-3"/>
  </r>
  <r>
    <x v="19"/>
    <n v="11"/>
    <n v="6.327"/>
    <x v="524"/>
    <s v="8   40038"/>
    <n v="1219971"/>
    <n v="1.21E-2"/>
    <n v="2.2000000000000001E-3"/>
  </r>
  <r>
    <x v="19"/>
    <n v="12"/>
    <n v="6.4880000000000004"/>
    <x v="13"/>
    <s v="4  199767"/>
    <n v="6600294"/>
    <n v="6.5600000000000006E-2"/>
    <n v="1.191E-2"/>
  </r>
  <r>
    <x v="19"/>
    <n v="13"/>
    <n v="7.1189999999999998"/>
    <x v="14"/>
    <s v="2   71443"/>
    <n v="2322174"/>
    <n v="2.3099999999999999E-2"/>
    <n v="4.1900000000000001E-3"/>
  </r>
  <r>
    <x v="19"/>
    <n v="14"/>
    <n v="8.2110000000000003"/>
    <x v="502"/>
    <s v="9   67521"/>
    <n v="2372306"/>
    <n v="2.3599999999999999E-2"/>
    <n v="4.28E-3"/>
  </r>
  <r>
    <x v="19"/>
    <n v="15"/>
    <n v="8.2720000000000002"/>
    <x v="140"/>
    <s v="7   74301"/>
    <n v="3622655"/>
    <n v="3.5999999999999997E-2"/>
    <n v="6.5399999999999998E-3"/>
  </r>
  <r>
    <x v="19"/>
    <n v="16"/>
    <n v="8.952"/>
    <x v="471"/>
    <s v="9   51052"/>
    <n v="2727011"/>
    <n v="2.7099999999999999E-2"/>
    <n v="4.9199999999999999E-3"/>
  </r>
  <r>
    <x v="19"/>
    <n v="17"/>
    <n v="9.1839999999999993"/>
    <x v="23"/>
    <s v="5   75636"/>
    <n v="2382150"/>
    <n v="2.3699999999999999E-2"/>
    <n v="4.3E-3"/>
  </r>
  <r>
    <x v="19"/>
    <n v="18"/>
    <n v="9.2509999999999994"/>
    <x v="143"/>
    <s v="5   51733"/>
    <n v="3465995"/>
    <n v="3.44E-2"/>
    <n v="6.2500000000000003E-3"/>
  </r>
  <r>
    <x v="19"/>
    <n v="19"/>
    <n v="9.5069999999999997"/>
    <x v="26"/>
    <s v="5   25256"/>
    <n v="1023310"/>
    <n v="1.0200000000000001E-2"/>
    <n v="1.8500000000000001E-3"/>
  </r>
  <r>
    <x v="19"/>
    <n v="20"/>
    <n v="9.6530000000000005"/>
    <x v="27"/>
    <s v="4  707363"/>
    <n v="22985296"/>
    <n v="0.2283"/>
    <n v="4.147E-2"/>
  </r>
  <r>
    <x v="19"/>
    <n v="21"/>
    <n v="9.8309999999999995"/>
    <x v="180"/>
    <n v="36130"/>
    <n v="1451455"/>
    <n v="1.44E-2"/>
    <n v="2.6199999999999999E-3"/>
  </r>
  <r>
    <x v="19"/>
    <n v="22"/>
    <n v="10.292"/>
    <x v="30"/>
    <s v="6   31965"/>
    <n v="1366337"/>
    <n v="1.3599999999999999E-2"/>
    <n v="2.47E-3"/>
  </r>
  <r>
    <x v="19"/>
    <n v="23"/>
    <n v="10.586"/>
    <x v="33"/>
    <s v="5   28802"/>
    <n v="1098950"/>
    <n v="1.09E-2"/>
    <n v="1.98E-3"/>
  </r>
  <r>
    <x v="19"/>
    <n v="24"/>
    <n v="11.138"/>
    <x v="374"/>
    <s v="3   28362"/>
    <n v="1467250"/>
    <n v="1.46E-2"/>
    <n v="2.65E-3"/>
  </r>
  <r>
    <x v="19"/>
    <n v="25"/>
    <n v="11.233000000000001"/>
    <x v="181"/>
    <s v="7   32890"/>
    <n v="1491557"/>
    <n v="1.4800000000000001E-2"/>
    <n v="2.6900000000000001E-3"/>
  </r>
  <r>
    <x v="19"/>
    <n v="26"/>
    <n v="11.412000000000001"/>
    <x v="38"/>
    <s v="7   45261"/>
    <n v="2205729"/>
    <n v="2.1899999999999999E-2"/>
    <n v="3.98E-3"/>
  </r>
  <r>
    <x v="19"/>
    <n v="27"/>
    <n v="12.548999999999999"/>
    <x v="145"/>
    <s v="7   47977"/>
    <n v="2119782"/>
    <n v="2.1100000000000001E-2"/>
    <n v="3.82E-3"/>
  </r>
  <r>
    <x v="19"/>
    <n v="28"/>
    <n v="12.694000000000001"/>
    <x v="525"/>
    <s v="10   26392"/>
    <n v="1126622"/>
    <n v="1.12E-2"/>
    <n v="2.0300000000000001E-3"/>
  </r>
  <r>
    <x v="19"/>
    <n v="29"/>
    <n v="12.842000000000001"/>
    <x v="52"/>
    <s v="2 1628625"/>
    <n v="44859391"/>
    <n v="0.4456"/>
    <n v="8.0939999999999998E-2"/>
  </r>
  <r>
    <x v="19"/>
    <n v="30"/>
    <n v="14.518000000000001"/>
    <x v="61"/>
    <s v="9  127479"/>
    <n v="3838468"/>
    <n v="3.8100000000000002E-2"/>
    <n v="6.9300000000000004E-3"/>
  </r>
  <r>
    <x v="19"/>
    <n v="31"/>
    <n v="14.587"/>
    <x v="62"/>
    <s v="8   80064"/>
    <n v="2745931"/>
    <n v="2.7300000000000001E-2"/>
    <n v="4.9500000000000004E-3"/>
  </r>
  <r>
    <x v="19"/>
    <n v="32"/>
    <n v="15.044"/>
    <x v="526"/>
    <s v="8   27336"/>
    <n v="1046647"/>
    <n v="1.04E-2"/>
    <n v="1.89E-3"/>
  </r>
  <r>
    <x v="19"/>
    <n v="33"/>
    <n v="15.281000000000001"/>
    <x v="352"/>
    <s v="4   22721"/>
    <n v="1062033"/>
    <n v="1.06E-2"/>
    <n v="1.92E-3"/>
  </r>
  <r>
    <x v="19"/>
    <n v="34"/>
    <n v="15.574999999999999"/>
    <x v="183"/>
    <s v="3   33419"/>
    <n v="1701263"/>
    <n v="1.6899999999999998E-2"/>
    <n v="3.0699999999999998E-3"/>
  </r>
  <r>
    <x v="19"/>
    <n v="35"/>
    <n v="15.875"/>
    <x v="69"/>
    <s v="4  417193"/>
    <n v="12019002"/>
    <n v="0.11940000000000001"/>
    <n v="2.1680000000000001E-2"/>
  </r>
  <r>
    <x v="19"/>
    <n v="36"/>
    <n v="16.664000000000001"/>
    <x v="71"/>
    <s v="3   86628"/>
    <n v="2798324"/>
    <n v="2.7799999999999998E-2"/>
    <n v="5.0499999999999998E-3"/>
  </r>
  <r>
    <x v="19"/>
    <n v="37"/>
    <n v="17.006"/>
    <x v="527"/>
    <s v="4  784531"/>
    <n v="38604433"/>
    <n v="0.38350000000000001"/>
    <n v="6.9650000000000004E-2"/>
  </r>
  <r>
    <x v="19"/>
    <n v="38"/>
    <n v="17.082000000000001"/>
    <x v="475"/>
    <s v="2  103598"/>
    <n v="4143983"/>
    <n v="4.1200000000000001E-2"/>
    <n v="7.4799999999999997E-3"/>
  </r>
  <r>
    <x v="19"/>
    <n v="39"/>
    <n v="17.452999999999999"/>
    <x v="153"/>
    <s v="6  761141"/>
    <n v="22131780"/>
    <n v="0.21990000000000001"/>
    <n v="3.993E-2"/>
  </r>
  <r>
    <x v="19"/>
    <n v="40"/>
    <n v="17.552"/>
    <x v="233"/>
    <s v="6   63965"/>
    <n v="2693752"/>
    <n v="2.6800000000000001E-2"/>
    <n v="4.8599999999999997E-3"/>
  </r>
  <r>
    <x v="19"/>
    <n v="41"/>
    <n v="17.704999999999998"/>
    <x v="154"/>
    <s v="7   31244"/>
    <n v="1354579"/>
    <n v="1.35E-2"/>
    <n v="2.4399999999999999E-3"/>
  </r>
  <r>
    <x v="19"/>
    <n v="42"/>
    <n v="17.805"/>
    <x v="79"/>
    <s v="7   74924"/>
    <n v="2489057"/>
    <n v="2.47E-2"/>
    <n v="4.4900000000000001E-3"/>
  </r>
  <r>
    <x v="19"/>
    <n v="43"/>
    <n v="17.917999999999999"/>
    <x v="80"/>
    <s v="7   36659"/>
    <n v="1214906"/>
    <n v="1.21E-2"/>
    <n v="2.1900000000000001E-3"/>
  </r>
  <r>
    <x v="19"/>
    <n v="44"/>
    <n v="18.056999999999999"/>
    <x v="235"/>
    <s v="4   55780"/>
    <n v="3500396"/>
    <n v="3.4799999999999998E-2"/>
    <n v="6.3200000000000001E-3"/>
  </r>
  <r>
    <x v="19"/>
    <n v="45"/>
    <n v="18.306000000000001"/>
    <x v="82"/>
    <s v="9   61995"/>
    <n v="1741094"/>
    <n v="1.7299999999999999E-2"/>
    <n v="3.14E-3"/>
  </r>
  <r>
    <x v="19"/>
    <n v="46"/>
    <n v="18.73"/>
    <x v="160"/>
    <s v="7   80470"/>
    <n v="2491976"/>
    <n v="2.4799999999999999E-2"/>
    <n v="4.4999999999999997E-3"/>
  </r>
  <r>
    <x v="19"/>
    <n v="47"/>
    <n v="18.843"/>
    <x v="85"/>
    <s v="6  195757"/>
    <n v="5441907"/>
    <n v="5.4100000000000002E-2"/>
    <n v="9.8200000000000006E-3"/>
  </r>
  <r>
    <x v="19"/>
    <n v="48"/>
    <n v="20.222000000000001"/>
    <x v="87"/>
    <s v="6  172519"/>
    <n v="5290247"/>
    <n v="5.2600000000000001E-2"/>
    <n v="9.5399999999999999E-3"/>
  </r>
  <r>
    <x v="19"/>
    <n v="49"/>
    <n v="20.969000000000001"/>
    <x v="162"/>
    <s v="6   42324"/>
    <n v="1173773"/>
    <n v="1.17E-2"/>
    <n v="2.1199999999999999E-3"/>
  </r>
  <r>
    <x v="19"/>
    <n v="50"/>
    <n v="21.4"/>
    <x v="89"/>
    <s v="6   49102"/>
    <n v="1409449"/>
    <n v="1.4E-2"/>
    <n v="2.5400000000000002E-3"/>
  </r>
  <r>
    <x v="19"/>
    <n v="51"/>
    <n v="23.475000000000001"/>
    <x v="93"/>
    <s v="8   77444"/>
    <n v="1903399"/>
    <n v="1.89E-2"/>
    <n v="3.4299999999999999E-3"/>
  </r>
  <r>
    <x v="19"/>
    <n v="52"/>
    <n v="24.353999999999999"/>
    <x v="528"/>
    <s v="8   29328"/>
    <n v="1085073"/>
    <n v="1.0800000000000001E-2"/>
    <n v="1.9599999999999999E-3"/>
  </r>
  <r>
    <x v="19"/>
    <n v="53"/>
    <n v="27.507000000000001"/>
    <x v="100"/>
    <s v="2   78036"/>
    <n v="1242295"/>
    <n v="1.23E-2"/>
    <n v="2.2399999999999998E-3"/>
  </r>
  <r>
    <x v="19"/>
    <n v="54"/>
    <n v="28.481999999999999"/>
    <x v="101"/>
    <n v="2477977"/>
    <n v="35450024"/>
    <n v="0.35220000000000001"/>
    <n v="6.3960000000000003E-2"/>
  </r>
  <r>
    <x v="19"/>
    <n v="55"/>
    <n v="28.594000000000001"/>
    <x v="102"/>
    <s v="8   82388"/>
    <n v="2116246"/>
    <n v="2.1000000000000001E-2"/>
    <n v="3.82E-3"/>
  </r>
  <r>
    <x v="19"/>
    <n v="56"/>
    <n v="28.645"/>
    <x v="529"/>
    <s v="8   53094"/>
    <n v="1435593"/>
    <n v="1.43E-2"/>
    <n v="2.5899999999999999E-3"/>
  </r>
  <r>
    <x v="19"/>
    <n v="57"/>
    <n v="28.733000000000001"/>
    <x v="104"/>
    <s v="2  296300"/>
    <n v="5885225"/>
    <n v="5.8500000000000003E-2"/>
    <n v="1.0619999999999999E-2"/>
  </r>
  <r>
    <x v="19"/>
    <n v="58"/>
    <n v="28.891999999999999"/>
    <x v="105"/>
    <n v="974724"/>
    <n v="13440083"/>
    <n v="0.13350000000000001"/>
    <n v="2.4250000000000001E-2"/>
  </r>
  <r>
    <x v="19"/>
    <n v="59"/>
    <n v="29.048999999999999"/>
    <x v="106"/>
    <n v="8907097"/>
    <n v="100662253"/>
    <n v="0"/>
    <n v="0.18162"/>
  </r>
  <r>
    <x v="19"/>
    <n v="60"/>
    <n v="29.155999999999999"/>
    <x v="197"/>
    <s v="7   63722"/>
    <n v="1452417"/>
    <n v="1.44E-2"/>
    <n v="2.6199999999999999E-3"/>
  </r>
  <r>
    <x v="19"/>
    <n v="61"/>
    <n v="29.233000000000001"/>
    <x v="108"/>
    <s v="9   86069"/>
    <n v="3433406"/>
    <n v="3.4099999999999998E-2"/>
    <n v="6.1900000000000002E-3"/>
  </r>
  <r>
    <x v="19"/>
    <n v="62"/>
    <n v="29.411999999999999"/>
    <x v="244"/>
    <s v="9   60816"/>
    <n v="1947017"/>
    <n v="1.9300000000000001E-2"/>
    <n v="3.5100000000000001E-3"/>
  </r>
  <r>
    <x v="19"/>
    <n v="63"/>
    <n v="29.463000000000001"/>
    <x v="111"/>
    <s v="4   83141"/>
    <n v="2372656"/>
    <n v="2.3599999999999999E-2"/>
    <n v="4.28E-3"/>
  </r>
  <r>
    <x v="19"/>
    <n v="64"/>
    <n v="29.533000000000001"/>
    <x v="199"/>
    <s v="6   50284"/>
    <n v="1016613"/>
    <n v="1.01E-2"/>
    <n v="1.83E-3"/>
  </r>
  <r>
    <x v="19"/>
    <n v="65"/>
    <n v="29.614999999999998"/>
    <x v="113"/>
    <s v="6   46137"/>
    <n v="1042158"/>
    <n v="1.04E-2"/>
    <n v="1.8799999999999999E-3"/>
  </r>
  <r>
    <x v="19"/>
    <n v="66"/>
    <n v="29.667999999999999"/>
    <x v="114"/>
    <s v="6   44519"/>
    <n v="1099343"/>
    <n v="1.09E-2"/>
    <n v="1.98E-3"/>
  </r>
  <r>
    <x v="19"/>
    <n v="67"/>
    <n v="29.741"/>
    <x v="115"/>
    <n v="543047"/>
    <n v="7100192"/>
    <n v="7.0499999999999993E-2"/>
    <n v="1.281E-2"/>
  </r>
  <r>
    <x v="19"/>
    <n v="68"/>
    <n v="29.818000000000001"/>
    <x v="200"/>
    <s v="4   54965"/>
    <n v="1160823"/>
    <n v="1.15E-2"/>
    <n v="2.0899999999999998E-3"/>
  </r>
  <r>
    <x v="19"/>
    <n v="69"/>
    <n v="29.882999999999999"/>
    <x v="307"/>
    <s v="3  200261"/>
    <n v="7634415"/>
    <n v="7.5800000000000006E-2"/>
    <n v="1.3769999999999999E-2"/>
  </r>
  <r>
    <x v="19"/>
    <n v="70"/>
    <n v="30.012"/>
    <x v="118"/>
    <s v="2   66729"/>
    <n v="1548642"/>
    <n v="1.54E-2"/>
    <n v="2.7899999999999999E-3"/>
  </r>
  <r>
    <x v="19"/>
    <n v="71"/>
    <n v="31.256"/>
    <x v="530"/>
    <s v="2   16131"/>
    <n v="1252329"/>
    <n v="1.24E-2"/>
    <n v="2.2599999999999999E-3"/>
  </r>
  <r>
    <x v="19"/>
    <n v="72"/>
    <n v="31.687999999999999"/>
    <x v="126"/>
    <s v="2  107612"/>
    <n v="7835323"/>
    <n v="7.7799999999999994E-2"/>
    <n v="1.414E-2"/>
  </r>
  <r>
    <x v="19"/>
    <n v="73"/>
    <n v="31.798999999999999"/>
    <x v="531"/>
    <s v="2   57411"/>
    <n v="3018358"/>
    <n v="0.03"/>
    <n v="5.45E-3"/>
  </r>
  <r>
    <x v="19"/>
    <n v="74"/>
    <n v="31.986999999999998"/>
    <x v="128"/>
    <n v="431544"/>
    <n v="9384532"/>
    <n v="9.3200000000000005E-2"/>
    <n v="1.6930000000000001E-2"/>
  </r>
  <r>
    <x v="19"/>
    <n v="75"/>
    <n v="32.542000000000002"/>
    <x v="532"/>
    <n v="39976"/>
    <n v="1080662"/>
    <n v="1.0699999999999999E-2"/>
    <n v="1.9499999999999999E-3"/>
  </r>
  <r>
    <x v="19"/>
    <n v="76"/>
    <n v="32.726999999999997"/>
    <x v="131"/>
    <s v="4 1900477"/>
    <n v="34745818"/>
    <n v="0.34520000000000001"/>
    <n v="6.2689999999999996E-2"/>
  </r>
  <r>
    <x v="19"/>
    <n v="77"/>
    <n v="33.097000000000001"/>
    <x v="132"/>
    <n v="1247667"/>
    <n v="35377665"/>
    <n v="0.35139999999999999"/>
    <n v="6.3829999999999998E-2"/>
  </r>
  <r>
    <x v="19"/>
    <n v="78"/>
    <n v="33.356000000000002"/>
    <x v="520"/>
    <n v="48633"/>
    <n v="2127766"/>
    <n v="2.1100000000000001E-2"/>
    <n v="3.8400000000000001E-3"/>
  </r>
  <r>
    <x v="19"/>
    <n v="79"/>
    <n v="33.685000000000002"/>
    <x v="176"/>
    <n v="49597"/>
    <n v="2091977"/>
    <n v="2.0799999999999999E-2"/>
    <n v="3.7699999999999999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TO25" firstHeaderRow="1" firstDataRow="2" firstDataCol="1"/>
  <pivotFields count="8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axis="axisCol" showAll="0">
      <items count="534">
        <item x="450"/>
        <item x="0"/>
        <item x="204"/>
        <item x="396"/>
        <item x="1"/>
        <item x="2"/>
        <item x="440"/>
        <item x="397"/>
        <item x="521"/>
        <item x="3"/>
        <item x="205"/>
        <item x="398"/>
        <item x="488"/>
        <item x="279"/>
        <item x="133"/>
        <item x="4"/>
        <item x="371"/>
        <item x="5"/>
        <item x="441"/>
        <item x="399"/>
        <item x="498"/>
        <item x="6"/>
        <item x="442"/>
        <item x="134"/>
        <item x="7"/>
        <item x="295"/>
        <item x="522"/>
        <item x="451"/>
        <item x="247"/>
        <item x="8"/>
        <item x="296"/>
        <item x="385"/>
        <item x="135"/>
        <item x="297"/>
        <item x="523"/>
        <item x="386"/>
        <item x="499"/>
        <item x="500"/>
        <item x="9"/>
        <item x="136"/>
        <item x="400"/>
        <item x="489"/>
        <item x="501"/>
        <item x="10"/>
        <item x="137"/>
        <item x="312"/>
        <item x="11"/>
        <item x="138"/>
        <item x="401"/>
        <item x="12"/>
        <item x="402"/>
        <item x="177"/>
        <item x="524"/>
        <item x="248"/>
        <item x="206"/>
        <item x="403"/>
        <item x="13"/>
        <item x="313"/>
        <item x="433"/>
        <item x="404"/>
        <item x="14"/>
        <item x="405"/>
        <item x="15"/>
        <item x="207"/>
        <item x="406"/>
        <item x="16"/>
        <item x="208"/>
        <item x="17"/>
        <item x="178"/>
        <item x="502"/>
        <item x="139"/>
        <item x="314"/>
        <item x="372"/>
        <item x="18"/>
        <item x="140"/>
        <item x="249"/>
        <item x="387"/>
        <item x="407"/>
        <item x="503"/>
        <item x="19"/>
        <item x="20"/>
        <item x="209"/>
        <item x="315"/>
        <item x="141"/>
        <item x="179"/>
        <item x="21"/>
        <item x="408"/>
        <item x="471"/>
        <item x="250"/>
        <item x="22"/>
        <item x="409"/>
        <item x="452"/>
        <item x="504"/>
        <item x="23"/>
        <item x="142"/>
        <item x="316"/>
        <item x="143"/>
        <item x="24"/>
        <item x="481"/>
        <item x="317"/>
        <item x="505"/>
        <item x="25"/>
        <item x="26"/>
        <item x="210"/>
        <item x="318"/>
        <item x="27"/>
        <item x="211"/>
        <item x="373"/>
        <item x="28"/>
        <item x="180"/>
        <item x="319"/>
        <item x="320"/>
        <item x="29"/>
        <item x="321"/>
        <item x="322"/>
        <item x="472"/>
        <item x="30"/>
        <item x="298"/>
        <item x="31"/>
        <item x="323"/>
        <item x="212"/>
        <item x="32"/>
        <item x="410"/>
        <item x="299"/>
        <item x="33"/>
        <item x="434"/>
        <item x="411"/>
        <item x="34"/>
        <item x="324"/>
        <item x="213"/>
        <item x="35"/>
        <item x="473"/>
        <item x="412"/>
        <item x="325"/>
        <item x="413"/>
        <item x="326"/>
        <item x="36"/>
        <item x="251"/>
        <item x="144"/>
        <item x="214"/>
        <item x="327"/>
        <item x="374"/>
        <item x="215"/>
        <item x="37"/>
        <item x="181"/>
        <item x="252"/>
        <item x="300"/>
        <item x="388"/>
        <item x="328"/>
        <item x="38"/>
        <item x="443"/>
        <item x="329"/>
        <item x="506"/>
        <item x="216"/>
        <item x="39"/>
        <item x="330"/>
        <item x="414"/>
        <item x="40"/>
        <item x="217"/>
        <item x="375"/>
        <item x="41"/>
        <item x="218"/>
        <item x="376"/>
        <item x="42"/>
        <item x="377"/>
        <item x="331"/>
        <item x="43"/>
        <item x="453"/>
        <item x="332"/>
        <item x="333"/>
        <item x="44"/>
        <item x="219"/>
        <item x="45"/>
        <item x="220"/>
        <item x="221"/>
        <item x="46"/>
        <item x="415"/>
        <item x="507"/>
        <item x="47"/>
        <item x="334"/>
        <item x="48"/>
        <item x="222"/>
        <item x="49"/>
        <item x="145"/>
        <item x="389"/>
        <item x="335"/>
        <item x="50"/>
        <item x="416"/>
        <item x="223"/>
        <item x="336"/>
        <item x="525"/>
        <item x="51"/>
        <item x="146"/>
        <item x="52"/>
        <item x="337"/>
        <item x="508"/>
        <item x="490"/>
        <item x="280"/>
        <item x="417"/>
        <item x="224"/>
        <item x="53"/>
        <item x="147"/>
        <item x="338"/>
        <item x="339"/>
        <item x="454"/>
        <item x="418"/>
        <item x="340"/>
        <item x="341"/>
        <item x="225"/>
        <item x="342"/>
        <item x="54"/>
        <item x="226"/>
        <item x="419"/>
        <item x="55"/>
        <item x="343"/>
        <item x="227"/>
        <item x="344"/>
        <item x="56"/>
        <item x="57"/>
        <item x="420"/>
        <item x="345"/>
        <item x="58"/>
        <item x="346"/>
        <item x="421"/>
        <item x="59"/>
        <item x="347"/>
        <item x="444"/>
        <item x="228"/>
        <item x="422"/>
        <item x="60"/>
        <item x="61"/>
        <item x="301"/>
        <item x="423"/>
        <item x="302"/>
        <item x="62"/>
        <item x="482"/>
        <item x="378"/>
        <item x="348"/>
        <item x="509"/>
        <item x="253"/>
        <item x="63"/>
        <item x="455"/>
        <item x="64"/>
        <item x="526"/>
        <item x="303"/>
        <item x="349"/>
        <item x="350"/>
        <item x="351"/>
        <item x="65"/>
        <item x="352"/>
        <item x="66"/>
        <item x="229"/>
        <item x="353"/>
        <item x="254"/>
        <item x="148"/>
        <item x="182"/>
        <item x="67"/>
        <item x="149"/>
        <item x="474"/>
        <item x="354"/>
        <item x="150"/>
        <item x="183"/>
        <item x="390"/>
        <item x="68"/>
        <item x="151"/>
        <item x="445"/>
        <item x="281"/>
        <item x="69"/>
        <item x="424"/>
        <item x="230"/>
        <item x="355"/>
        <item x="356"/>
        <item x="70"/>
        <item x="71"/>
        <item x="357"/>
        <item x="72"/>
        <item x="184"/>
        <item x="358"/>
        <item x="435"/>
        <item x="255"/>
        <item x="483"/>
        <item x="456"/>
        <item x="527"/>
        <item x="359"/>
        <item x="491"/>
        <item x="282"/>
        <item x="446"/>
        <item x="475"/>
        <item x="152"/>
        <item x="185"/>
        <item x="73"/>
        <item x="304"/>
        <item x="231"/>
        <item x="391"/>
        <item x="74"/>
        <item x="360"/>
        <item x="75"/>
        <item x="425"/>
        <item x="232"/>
        <item x="153"/>
        <item x="76"/>
        <item x="484"/>
        <item x="436"/>
        <item x="382"/>
        <item x="379"/>
        <item x="77"/>
        <item x="233"/>
        <item x="186"/>
        <item x="361"/>
        <item x="256"/>
        <item x="187"/>
        <item x="154"/>
        <item x="426"/>
        <item x="78"/>
        <item x="457"/>
        <item x="155"/>
        <item x="79"/>
        <item x="485"/>
        <item x="80"/>
        <item x="234"/>
        <item x="458"/>
        <item x="156"/>
        <item x="283"/>
        <item x="157"/>
        <item x="81"/>
        <item x="235"/>
        <item x="257"/>
        <item x="459"/>
        <item x="510"/>
        <item x="82"/>
        <item x="511"/>
        <item x="476"/>
        <item x="284"/>
        <item x="158"/>
        <item x="83"/>
        <item x="236"/>
        <item x="362"/>
        <item x="159"/>
        <item x="258"/>
        <item x="160"/>
        <item x="84"/>
        <item x="85"/>
        <item x="188"/>
        <item x="512"/>
        <item x="161"/>
        <item x="285"/>
        <item x="363"/>
        <item x="286"/>
        <item x="86"/>
        <item x="87"/>
        <item x="237"/>
        <item x="477"/>
        <item x="460"/>
        <item x="461"/>
        <item x="238"/>
        <item x="364"/>
        <item x="239"/>
        <item x="462"/>
        <item x="88"/>
        <item x="162"/>
        <item x="259"/>
        <item x="189"/>
        <item x="463"/>
        <item x="89"/>
        <item x="365"/>
        <item x="427"/>
        <item x="260"/>
        <item x="90"/>
        <item x="91"/>
        <item x="92"/>
        <item x="261"/>
        <item x="93"/>
        <item x="190"/>
        <item x="94"/>
        <item x="464"/>
        <item x="240"/>
        <item x="191"/>
        <item x="95"/>
        <item x="96"/>
        <item x="97"/>
        <item x="528"/>
        <item x="437"/>
        <item x="513"/>
        <item x="192"/>
        <item x="465"/>
        <item x="514"/>
        <item x="262"/>
        <item x="163"/>
        <item x="466"/>
        <item x="98"/>
        <item x="447"/>
        <item x="193"/>
        <item x="467"/>
        <item x="305"/>
        <item x="515"/>
        <item x="516"/>
        <item x="468"/>
        <item x="241"/>
        <item x="194"/>
        <item x="99"/>
        <item x="100"/>
        <item x="306"/>
        <item x="195"/>
        <item x="164"/>
        <item x="469"/>
        <item x="101"/>
        <item x="383"/>
        <item x="263"/>
        <item x="264"/>
        <item x="102"/>
        <item x="242"/>
        <item x="196"/>
        <item x="103"/>
        <item x="529"/>
        <item x="104"/>
        <item x="105"/>
        <item x="470"/>
        <item x="106"/>
        <item x="197"/>
        <item x="107"/>
        <item x="243"/>
        <item x="108"/>
        <item x="109"/>
        <item x="165"/>
        <item x="198"/>
        <item x="244"/>
        <item x="166"/>
        <item x="110"/>
        <item x="111"/>
        <item x="167"/>
        <item x="199"/>
        <item x="112"/>
        <item x="113"/>
        <item x="114"/>
        <item x="517"/>
        <item x="115"/>
        <item x="380"/>
        <item x="200"/>
        <item x="245"/>
        <item x="116"/>
        <item x="428"/>
        <item x="307"/>
        <item x="117"/>
        <item x="168"/>
        <item x="392"/>
        <item x="381"/>
        <item x="308"/>
        <item x="201"/>
        <item x="518"/>
        <item x="118"/>
        <item x="309"/>
        <item x="119"/>
        <item x="486"/>
        <item x="120"/>
        <item x="487"/>
        <item x="169"/>
        <item x="121"/>
        <item x="310"/>
        <item x="287"/>
        <item x="492"/>
        <item x="265"/>
        <item x="170"/>
        <item x="122"/>
        <item x="123"/>
        <item x="429"/>
        <item x="124"/>
        <item x="266"/>
        <item x="366"/>
        <item x="171"/>
        <item x="393"/>
        <item x="530"/>
        <item x="288"/>
        <item x="125"/>
        <item x="267"/>
        <item x="478"/>
        <item x="394"/>
        <item x="172"/>
        <item x="268"/>
        <item x="367"/>
        <item x="289"/>
        <item x="430"/>
        <item x="368"/>
        <item x="290"/>
        <item x="479"/>
        <item x="369"/>
        <item x="519"/>
        <item x="269"/>
        <item x="431"/>
        <item x="395"/>
        <item x="126"/>
        <item x="270"/>
        <item x="432"/>
        <item x="448"/>
        <item x="384"/>
        <item x="291"/>
        <item x="271"/>
        <item x="127"/>
        <item x="531"/>
        <item x="449"/>
        <item x="292"/>
        <item x="438"/>
        <item x="370"/>
        <item x="272"/>
        <item x="128"/>
        <item x="273"/>
        <item x="274"/>
        <item x="293"/>
        <item x="129"/>
        <item x="493"/>
        <item x="275"/>
        <item x="494"/>
        <item x="130"/>
        <item x="532"/>
        <item x="276"/>
        <item x="495"/>
        <item x="131"/>
        <item x="173"/>
        <item x="439"/>
        <item x="202"/>
        <item x="132"/>
        <item x="246"/>
        <item x="496"/>
        <item x="203"/>
        <item x="497"/>
        <item x="277"/>
        <item x="174"/>
        <item x="311"/>
        <item x="520"/>
        <item x="480"/>
        <item x="175"/>
        <item x="278"/>
        <item x="176"/>
        <item x="294"/>
        <item t="default"/>
      </items>
    </pivotField>
    <pivotField showAll="0"/>
    <pivotField dataField="1" showAll="0"/>
    <pivotField numFmtId="10" showAll="0"/>
    <pivotField numFmtId="10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3"/>
  </colFields>
  <colItems count="5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 t="grand">
      <x/>
    </i>
  </colItems>
  <dataFields count="1">
    <dataField name="Sum of Area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fieldListSortAscending="1">
  <location ref="A3:C6" firstHeaderRow="0" firstDataRow="1" firstDataCol="1"/>
  <pivotFields count="560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isopropyl palmitate - 29.74" fld="463" subtotal="average" baseField="0" baseItem="0"/>
    <dataField name="StdDev of isopropyl palmitate - 29.74" fld="463" subtotal="stdDev" baseField="0" baseItem="0"/>
  </dataFields>
  <chartFormats count="2">
    <chartFormat chart="1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O25"/>
  <sheetViews>
    <sheetView topLeftCell="SP1" workbookViewId="0">
      <selection activeCell="A4" sqref="A4:TN24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14" width="8" bestFit="1" customWidth="1"/>
    <col min="15" max="15" width="9" bestFit="1" customWidth="1"/>
    <col min="16" max="16" width="10" bestFit="1" customWidth="1"/>
    <col min="17" max="17" width="9" bestFit="1" customWidth="1"/>
    <col min="18" max="18" width="8" bestFit="1" customWidth="1"/>
    <col min="19" max="19" width="9" bestFit="1" customWidth="1"/>
    <col min="20" max="24" width="8" bestFit="1" customWidth="1"/>
    <col min="25" max="25" width="10" bestFit="1" customWidth="1"/>
    <col min="26" max="26" width="9" bestFit="1" customWidth="1"/>
    <col min="27" max="41" width="8" bestFit="1" customWidth="1"/>
    <col min="42" max="42" width="9" bestFit="1" customWidth="1"/>
    <col min="43" max="48" width="8" bestFit="1" customWidth="1"/>
    <col min="49" max="49" width="9" bestFit="1" customWidth="1"/>
    <col min="50" max="50" width="8" bestFit="1" customWidth="1"/>
    <col min="51" max="51" width="9" bestFit="1" customWidth="1"/>
    <col min="52" max="52" width="8" bestFit="1" customWidth="1"/>
    <col min="53" max="53" width="9" bestFit="1" customWidth="1"/>
    <col min="54" max="57" width="8" bestFit="1" customWidth="1"/>
    <col min="58" max="59" width="9" bestFit="1" customWidth="1"/>
    <col min="60" max="68" width="8" bestFit="1" customWidth="1"/>
    <col min="69" max="69" width="9" bestFit="1" customWidth="1"/>
    <col min="70" max="72" width="8" bestFit="1" customWidth="1"/>
    <col min="73" max="73" width="9" bestFit="1" customWidth="1"/>
    <col min="74" max="74" width="8" bestFit="1" customWidth="1"/>
    <col min="75" max="76" width="9" bestFit="1" customWidth="1"/>
    <col min="77" max="81" width="8" bestFit="1" customWidth="1"/>
    <col min="82" max="82" width="9" bestFit="1" customWidth="1"/>
    <col min="83" max="94" width="8" bestFit="1" customWidth="1"/>
    <col min="95" max="99" width="9" bestFit="1" customWidth="1"/>
    <col min="100" max="103" width="8" bestFit="1" customWidth="1"/>
    <col min="104" max="104" width="9" bestFit="1" customWidth="1"/>
    <col min="105" max="106" width="8" bestFit="1" customWidth="1"/>
    <col min="107" max="108" width="10" bestFit="1" customWidth="1"/>
    <col min="109" max="109" width="8" bestFit="1" customWidth="1"/>
    <col min="110" max="110" width="10" bestFit="1" customWidth="1"/>
    <col min="111" max="111" width="9" bestFit="1" customWidth="1"/>
    <col min="112" max="117" width="8" bestFit="1" customWidth="1"/>
    <col min="118" max="118" width="9" bestFit="1" customWidth="1"/>
    <col min="119" max="119" width="8" bestFit="1" customWidth="1"/>
    <col min="120" max="121" width="9" bestFit="1" customWidth="1"/>
    <col min="122" max="123" width="8" bestFit="1" customWidth="1"/>
    <col min="124" max="124" width="9" bestFit="1" customWidth="1"/>
    <col min="125" max="125" width="8" bestFit="1" customWidth="1"/>
    <col min="126" max="126" width="10" bestFit="1" customWidth="1"/>
    <col min="127" max="127" width="8" bestFit="1" customWidth="1"/>
    <col min="128" max="128" width="10" bestFit="1" customWidth="1"/>
    <col min="129" max="129" width="8" bestFit="1" customWidth="1"/>
    <col min="130" max="130" width="9" bestFit="1" customWidth="1"/>
    <col min="131" max="131" width="8" bestFit="1" customWidth="1"/>
    <col min="132" max="132" width="9" bestFit="1" customWidth="1"/>
    <col min="133" max="133" width="8" bestFit="1" customWidth="1"/>
    <col min="134" max="135" width="9" bestFit="1" customWidth="1"/>
    <col min="136" max="137" width="8" bestFit="1" customWidth="1"/>
    <col min="138" max="138" width="9" bestFit="1" customWidth="1"/>
    <col min="139" max="141" width="8" bestFit="1" customWidth="1"/>
    <col min="142" max="142" width="9" bestFit="1" customWidth="1"/>
    <col min="143" max="143" width="8" bestFit="1" customWidth="1"/>
    <col min="144" max="145" width="9" bestFit="1" customWidth="1"/>
    <col min="146" max="149" width="8" bestFit="1" customWidth="1"/>
    <col min="150" max="151" width="9" bestFit="1" customWidth="1"/>
    <col min="152" max="152" width="8" bestFit="1" customWidth="1"/>
    <col min="153" max="153" width="9" bestFit="1" customWidth="1"/>
    <col min="154" max="154" width="8" bestFit="1" customWidth="1"/>
    <col min="155" max="155" width="9" bestFit="1" customWidth="1"/>
    <col min="156" max="156" width="8" bestFit="1" customWidth="1"/>
    <col min="157" max="158" width="9" bestFit="1" customWidth="1"/>
    <col min="159" max="162" width="8" bestFit="1" customWidth="1"/>
    <col min="163" max="163" width="9" bestFit="1" customWidth="1"/>
    <col min="164" max="164" width="8" bestFit="1" customWidth="1"/>
    <col min="165" max="165" width="9" bestFit="1" customWidth="1"/>
    <col min="166" max="170" width="8" bestFit="1" customWidth="1"/>
    <col min="171" max="171" width="9" bestFit="1" customWidth="1"/>
    <col min="172" max="173" width="8" bestFit="1" customWidth="1"/>
    <col min="174" max="175" width="9" bestFit="1" customWidth="1"/>
    <col min="176" max="183" width="8" bestFit="1" customWidth="1"/>
    <col min="184" max="184" width="9" bestFit="1" customWidth="1"/>
    <col min="185" max="192" width="8" bestFit="1" customWidth="1"/>
    <col min="193" max="194" width="9" bestFit="1" customWidth="1"/>
    <col min="195" max="196" width="10" bestFit="1" customWidth="1"/>
    <col min="197" max="201" width="8" bestFit="1" customWidth="1"/>
    <col min="202" max="203" width="9" bestFit="1" customWidth="1"/>
    <col min="204" max="207" width="8" bestFit="1" customWidth="1"/>
    <col min="208" max="208" width="9" bestFit="1" customWidth="1"/>
    <col min="209" max="214" width="8" bestFit="1" customWidth="1"/>
    <col min="215" max="215" width="9" bestFit="1" customWidth="1"/>
    <col min="216" max="228" width="8" bestFit="1" customWidth="1"/>
    <col min="229" max="229" width="9" bestFit="1" customWidth="1"/>
    <col min="230" max="231" width="8" bestFit="1" customWidth="1"/>
    <col min="232" max="234" width="9" bestFit="1" customWidth="1"/>
    <col min="235" max="235" width="8" bestFit="1" customWidth="1"/>
    <col min="236" max="236" width="9" bestFit="1" customWidth="1"/>
    <col min="237" max="238" width="8" bestFit="1" customWidth="1"/>
    <col min="239" max="239" width="9" bestFit="1" customWidth="1"/>
    <col min="240" max="241" width="8" bestFit="1" customWidth="1"/>
    <col min="242" max="242" width="9" bestFit="1" customWidth="1"/>
    <col min="243" max="251" width="8" bestFit="1" customWidth="1"/>
    <col min="252" max="252" width="9" bestFit="1" customWidth="1"/>
    <col min="253" max="257" width="8" bestFit="1" customWidth="1"/>
    <col min="258" max="259" width="9" bestFit="1" customWidth="1"/>
    <col min="260" max="265" width="8" bestFit="1" customWidth="1"/>
    <col min="266" max="266" width="9" bestFit="1" customWidth="1"/>
    <col min="267" max="267" width="8" bestFit="1" customWidth="1"/>
    <col min="268" max="268" width="9" bestFit="1" customWidth="1"/>
    <col min="269" max="269" width="10" bestFit="1" customWidth="1"/>
    <col min="270" max="274" width="8" bestFit="1" customWidth="1"/>
    <col min="275" max="286" width="9" bestFit="1" customWidth="1"/>
    <col min="287" max="287" width="10" bestFit="1" customWidth="1"/>
    <col min="288" max="288" width="9" bestFit="1" customWidth="1"/>
    <col min="289" max="289" width="8" bestFit="1" customWidth="1"/>
    <col min="290" max="294" width="10" bestFit="1" customWidth="1"/>
    <col min="295" max="300" width="8" bestFit="1" customWidth="1"/>
    <col min="301" max="301" width="9" bestFit="1" customWidth="1"/>
    <col min="302" max="302" width="10" bestFit="1" customWidth="1"/>
    <col min="303" max="303" width="9" bestFit="1" customWidth="1"/>
    <col min="304" max="315" width="8" bestFit="1" customWidth="1"/>
    <col min="316" max="317" width="9" bestFit="1" customWidth="1"/>
    <col min="318" max="319" width="8" bestFit="1" customWidth="1"/>
    <col min="320" max="320" width="9" bestFit="1" customWidth="1"/>
    <col min="321" max="325" width="8" bestFit="1" customWidth="1"/>
    <col min="326" max="327" width="9" bestFit="1" customWidth="1"/>
    <col min="328" max="330" width="8" bestFit="1" customWidth="1"/>
    <col min="331" max="331" width="9" bestFit="1" customWidth="1"/>
    <col min="332" max="340" width="8" bestFit="1" customWidth="1"/>
    <col min="341" max="341" width="9" bestFit="1" customWidth="1"/>
    <col min="342" max="342" width="8" bestFit="1" customWidth="1"/>
    <col min="343" max="343" width="9" bestFit="1" customWidth="1"/>
    <col min="344" max="350" width="8" bestFit="1" customWidth="1"/>
    <col min="351" max="352" width="9" bestFit="1" customWidth="1"/>
    <col min="353" max="360" width="8" bestFit="1" customWidth="1"/>
    <col min="361" max="361" width="9" bestFit="1" customWidth="1"/>
    <col min="362" max="364" width="8" bestFit="1" customWidth="1"/>
    <col min="365" max="365" width="9" bestFit="1" customWidth="1"/>
    <col min="366" max="366" width="8" bestFit="1" customWidth="1"/>
    <col min="367" max="367" width="9" bestFit="1" customWidth="1"/>
    <col min="368" max="368" width="8" bestFit="1" customWidth="1"/>
    <col min="369" max="369" width="9" bestFit="1" customWidth="1"/>
    <col min="370" max="372" width="8" bestFit="1" customWidth="1"/>
    <col min="373" max="374" width="9" bestFit="1" customWidth="1"/>
    <col min="375" max="377" width="8" bestFit="1" customWidth="1"/>
    <col min="378" max="378" width="9" bestFit="1" customWidth="1"/>
    <col min="379" max="379" width="8" bestFit="1" customWidth="1"/>
    <col min="380" max="380" width="9" bestFit="1" customWidth="1"/>
    <col min="381" max="388" width="8" bestFit="1" customWidth="1"/>
    <col min="389" max="390" width="9" bestFit="1" customWidth="1"/>
    <col min="391" max="400" width="8" bestFit="1" customWidth="1"/>
    <col min="401" max="402" width="9" bestFit="1" customWidth="1"/>
    <col min="403" max="404" width="8" bestFit="1" customWidth="1"/>
    <col min="405" max="405" width="9" bestFit="1" customWidth="1"/>
    <col min="406" max="406" width="8" bestFit="1" customWidth="1"/>
    <col min="407" max="407" width="10" bestFit="1" customWidth="1"/>
    <col min="408" max="408" width="9" bestFit="1" customWidth="1"/>
    <col min="409" max="410" width="8" bestFit="1" customWidth="1"/>
    <col min="411" max="411" width="9" bestFit="1" customWidth="1"/>
    <col min="412" max="413" width="8" bestFit="1" customWidth="1"/>
    <col min="414" max="414" width="9" bestFit="1" customWidth="1"/>
    <col min="415" max="415" width="8" bestFit="1" customWidth="1"/>
    <col min="416" max="416" width="9" bestFit="1" customWidth="1"/>
    <col min="417" max="417" width="10" bestFit="1" customWidth="1"/>
    <col min="418" max="418" width="8" bestFit="1" customWidth="1"/>
    <col min="419" max="419" width="11" bestFit="1" customWidth="1"/>
    <col min="420" max="420" width="9" bestFit="1" customWidth="1"/>
    <col min="421" max="422" width="8" bestFit="1" customWidth="1"/>
    <col min="423" max="423" width="9" bestFit="1" customWidth="1"/>
    <col min="424" max="428" width="8" bestFit="1" customWidth="1"/>
    <col min="429" max="432" width="9" bestFit="1" customWidth="1"/>
    <col min="433" max="436" width="8" bestFit="1" customWidth="1"/>
    <col min="437" max="437" width="10" bestFit="1" customWidth="1"/>
    <col min="438" max="438" width="8" bestFit="1" customWidth="1"/>
    <col min="439" max="441" width="9" bestFit="1" customWidth="1"/>
    <col min="442" max="442" width="8" bestFit="1" customWidth="1"/>
    <col min="443" max="445" width="9" bestFit="1" customWidth="1"/>
    <col min="446" max="448" width="8" bestFit="1" customWidth="1"/>
    <col min="449" max="449" width="9" bestFit="1" customWidth="1"/>
    <col min="450" max="450" width="8" bestFit="1" customWidth="1"/>
    <col min="451" max="451" width="9" bestFit="1" customWidth="1"/>
    <col min="452" max="454" width="8" bestFit="1" customWidth="1"/>
    <col min="455" max="455" width="9" bestFit="1" customWidth="1"/>
    <col min="456" max="461" width="8" bestFit="1" customWidth="1"/>
    <col min="462" max="462" width="9" bestFit="1" customWidth="1"/>
    <col min="463" max="467" width="8" bestFit="1" customWidth="1"/>
    <col min="468" max="468" width="9" bestFit="1" customWidth="1"/>
    <col min="469" max="472" width="8" bestFit="1" customWidth="1"/>
    <col min="473" max="473" width="9" bestFit="1" customWidth="1"/>
    <col min="474" max="478" width="8" bestFit="1" customWidth="1"/>
    <col min="479" max="479" width="9" bestFit="1" customWidth="1"/>
    <col min="480" max="487" width="8" bestFit="1" customWidth="1"/>
    <col min="488" max="488" width="9" bestFit="1" customWidth="1"/>
    <col min="489" max="490" width="8" bestFit="1" customWidth="1"/>
    <col min="491" max="491" width="9" bestFit="1" customWidth="1"/>
    <col min="492" max="502" width="8" bestFit="1" customWidth="1"/>
    <col min="503" max="503" width="9" bestFit="1" customWidth="1"/>
    <col min="504" max="504" width="8" bestFit="1" customWidth="1"/>
    <col min="505" max="505" width="10" bestFit="1" customWidth="1"/>
    <col min="506" max="514" width="8" bestFit="1" customWidth="1"/>
    <col min="515" max="515" width="9" bestFit="1" customWidth="1"/>
    <col min="516" max="516" width="8" bestFit="1" customWidth="1"/>
    <col min="517" max="517" width="10" bestFit="1" customWidth="1"/>
    <col min="518" max="518" width="9" bestFit="1" customWidth="1"/>
    <col min="519" max="520" width="8" bestFit="1" customWidth="1"/>
    <col min="521" max="521" width="10" bestFit="1" customWidth="1"/>
    <col min="522" max="525" width="8" bestFit="1" customWidth="1"/>
    <col min="526" max="527" width="10" bestFit="1" customWidth="1"/>
    <col min="528" max="531" width="8" bestFit="1" customWidth="1"/>
    <col min="532" max="532" width="9" bestFit="1" customWidth="1"/>
    <col min="533" max="533" width="10" bestFit="1" customWidth="1"/>
    <col min="534" max="534" width="8" bestFit="1" customWidth="1"/>
    <col min="535" max="535" width="12" bestFit="1" customWidth="1"/>
  </cols>
  <sheetData>
    <row r="3" spans="1:535" x14ac:dyDescent="0.25">
      <c r="A3" s="4" t="s">
        <v>1434</v>
      </c>
      <c r="B3" s="4" t="s">
        <v>1433</v>
      </c>
    </row>
    <row r="4" spans="1:535" x14ac:dyDescent="0.25">
      <c r="A4" s="4" t="s">
        <v>1431</v>
      </c>
      <c r="B4">
        <v>4.32</v>
      </c>
      <c r="C4">
        <v>4.49</v>
      </c>
      <c r="D4">
        <v>4.5</v>
      </c>
      <c r="E4">
        <v>4.53</v>
      </c>
      <c r="F4">
        <v>4.55</v>
      </c>
      <c r="G4">
        <v>4.71</v>
      </c>
      <c r="H4">
        <v>4.7300000000000004</v>
      </c>
      <c r="I4">
        <v>4.75</v>
      </c>
      <c r="J4">
        <v>4.8</v>
      </c>
      <c r="K4">
        <v>4.8099999999999996</v>
      </c>
      <c r="L4">
        <v>4.82</v>
      </c>
      <c r="M4">
        <v>4.84</v>
      </c>
      <c r="N4">
        <v>4.8499999999999996</v>
      </c>
      <c r="O4">
        <v>4.88</v>
      </c>
      <c r="P4">
        <v>4.8899999999999997</v>
      </c>
      <c r="Q4">
        <v>4.9000000000000004</v>
      </c>
      <c r="R4">
        <v>4.91</v>
      </c>
      <c r="S4">
        <v>4.9800000000000004</v>
      </c>
      <c r="T4">
        <v>4.99</v>
      </c>
      <c r="U4">
        <v>5.01</v>
      </c>
      <c r="V4">
        <v>5.1100000000000003</v>
      </c>
      <c r="W4">
        <v>5.12</v>
      </c>
      <c r="X4">
        <v>5.14</v>
      </c>
      <c r="Y4">
        <v>5.19</v>
      </c>
      <c r="Z4">
        <v>5.2</v>
      </c>
      <c r="AA4">
        <v>5.21</v>
      </c>
      <c r="AB4">
        <v>5.22</v>
      </c>
      <c r="AC4">
        <v>5.23</v>
      </c>
      <c r="AD4">
        <v>5.28</v>
      </c>
      <c r="AE4">
        <v>5.29</v>
      </c>
      <c r="AF4">
        <v>5.3</v>
      </c>
      <c r="AG4">
        <v>5.31</v>
      </c>
      <c r="AH4">
        <v>5.35</v>
      </c>
      <c r="AI4">
        <v>5.36</v>
      </c>
      <c r="AJ4">
        <v>5.38</v>
      </c>
      <c r="AK4">
        <v>5.39</v>
      </c>
      <c r="AL4">
        <v>5.4</v>
      </c>
      <c r="AM4">
        <v>5.48</v>
      </c>
      <c r="AN4">
        <v>5.51</v>
      </c>
      <c r="AO4">
        <v>5.52</v>
      </c>
      <c r="AP4">
        <v>5.54</v>
      </c>
      <c r="AQ4">
        <v>5.62</v>
      </c>
      <c r="AR4">
        <v>5.65</v>
      </c>
      <c r="AS4">
        <v>5.66</v>
      </c>
      <c r="AT4">
        <v>5.67</v>
      </c>
      <c r="AU4">
        <v>5.94</v>
      </c>
      <c r="AV4">
        <v>6.1</v>
      </c>
      <c r="AW4">
        <v>6.11</v>
      </c>
      <c r="AX4">
        <v>6.12</v>
      </c>
      <c r="AY4">
        <v>6.25</v>
      </c>
      <c r="AZ4">
        <v>6.26</v>
      </c>
      <c r="BA4">
        <v>6.27</v>
      </c>
      <c r="BB4">
        <v>6.33</v>
      </c>
      <c r="BC4">
        <v>6.34</v>
      </c>
      <c r="BD4">
        <v>6.35</v>
      </c>
      <c r="BE4">
        <v>6.36</v>
      </c>
      <c r="BF4">
        <v>6.49</v>
      </c>
      <c r="BG4">
        <v>6.5</v>
      </c>
      <c r="BH4">
        <v>6.51</v>
      </c>
      <c r="BI4">
        <v>7.02</v>
      </c>
      <c r="BJ4">
        <v>7.12</v>
      </c>
      <c r="BK4">
        <v>7.13</v>
      </c>
      <c r="BL4">
        <v>7.35</v>
      </c>
      <c r="BM4">
        <v>7.36</v>
      </c>
      <c r="BN4">
        <v>7.37</v>
      </c>
      <c r="BO4">
        <v>7.58</v>
      </c>
      <c r="BP4">
        <v>7.81</v>
      </c>
      <c r="BQ4">
        <v>8.1199999999999992</v>
      </c>
      <c r="BR4">
        <v>8.1999999999999993</v>
      </c>
      <c r="BS4">
        <v>8.2100000000000009</v>
      </c>
      <c r="BT4">
        <v>8.2200000000000006</v>
      </c>
      <c r="BU4">
        <v>8.23</v>
      </c>
      <c r="BV4">
        <v>8.24</v>
      </c>
      <c r="BW4">
        <v>8.26</v>
      </c>
      <c r="BX4">
        <v>8.27</v>
      </c>
      <c r="BY4">
        <v>8.2799999999999994</v>
      </c>
      <c r="BZ4">
        <v>8.2899999999999991</v>
      </c>
      <c r="CA4">
        <v>8.34</v>
      </c>
      <c r="CB4">
        <v>8.35</v>
      </c>
      <c r="CC4">
        <v>8.57</v>
      </c>
      <c r="CD4">
        <v>8.64</v>
      </c>
      <c r="CE4">
        <v>8.65</v>
      </c>
      <c r="CF4">
        <v>8.77</v>
      </c>
      <c r="CG4">
        <v>8.91</v>
      </c>
      <c r="CH4">
        <v>8.92</v>
      </c>
      <c r="CI4">
        <v>8.93</v>
      </c>
      <c r="CJ4">
        <v>8.94</v>
      </c>
      <c r="CK4">
        <v>8.9499999999999993</v>
      </c>
      <c r="CL4">
        <v>8.9600000000000009</v>
      </c>
      <c r="CM4">
        <v>8.9700000000000006</v>
      </c>
      <c r="CN4">
        <v>9</v>
      </c>
      <c r="CO4">
        <v>9.06</v>
      </c>
      <c r="CP4">
        <v>9.11</v>
      </c>
      <c r="CQ4">
        <v>9.18</v>
      </c>
      <c r="CR4">
        <v>9.19</v>
      </c>
      <c r="CS4">
        <v>9.1999999999999993</v>
      </c>
      <c r="CT4">
        <v>9.25</v>
      </c>
      <c r="CU4">
        <v>9.26</v>
      </c>
      <c r="CV4">
        <v>9.2799999999999994</v>
      </c>
      <c r="CW4">
        <v>9.31</v>
      </c>
      <c r="CX4">
        <v>9.35</v>
      </c>
      <c r="CY4">
        <v>9.36</v>
      </c>
      <c r="CZ4">
        <v>9.51</v>
      </c>
      <c r="DA4">
        <v>9.52</v>
      </c>
      <c r="DB4">
        <v>9.58</v>
      </c>
      <c r="DC4">
        <v>9.65</v>
      </c>
      <c r="DD4">
        <v>9.66</v>
      </c>
      <c r="DE4">
        <v>9.67</v>
      </c>
      <c r="DF4">
        <v>9.82</v>
      </c>
      <c r="DG4">
        <v>9.83</v>
      </c>
      <c r="DH4">
        <v>9.84</v>
      </c>
      <c r="DI4">
        <v>9.94</v>
      </c>
      <c r="DJ4">
        <v>10.039999999999999</v>
      </c>
      <c r="DK4">
        <v>10.050000000000001</v>
      </c>
      <c r="DL4">
        <v>10.199999999999999</v>
      </c>
      <c r="DM4">
        <v>10.28</v>
      </c>
      <c r="DN4">
        <v>10.29</v>
      </c>
      <c r="DO4">
        <v>10.3</v>
      </c>
      <c r="DP4">
        <v>10.4</v>
      </c>
      <c r="DQ4">
        <v>10.41</v>
      </c>
      <c r="DR4">
        <v>10.48</v>
      </c>
      <c r="DS4">
        <v>10.49</v>
      </c>
      <c r="DT4">
        <v>10.5</v>
      </c>
      <c r="DU4">
        <v>10.58</v>
      </c>
      <c r="DV4">
        <v>10.59</v>
      </c>
      <c r="DW4">
        <v>10.6</v>
      </c>
      <c r="DX4">
        <v>10.61</v>
      </c>
      <c r="DY4">
        <v>10.65</v>
      </c>
      <c r="DZ4">
        <v>10.75</v>
      </c>
      <c r="EA4">
        <v>10.76</v>
      </c>
      <c r="EB4">
        <v>10.77</v>
      </c>
      <c r="EC4">
        <v>10.84</v>
      </c>
      <c r="ED4">
        <v>10.91</v>
      </c>
      <c r="EE4">
        <v>10.95</v>
      </c>
      <c r="EF4">
        <v>11.02</v>
      </c>
      <c r="EG4">
        <v>11.06</v>
      </c>
      <c r="EH4">
        <v>11.09</v>
      </c>
      <c r="EI4">
        <v>11.1</v>
      </c>
      <c r="EJ4">
        <v>11.11</v>
      </c>
      <c r="EK4">
        <v>11.12</v>
      </c>
      <c r="EL4">
        <v>11.13</v>
      </c>
      <c r="EM4">
        <v>11.14</v>
      </c>
      <c r="EN4">
        <v>11.21</v>
      </c>
      <c r="EO4">
        <v>11.22</v>
      </c>
      <c r="EP4">
        <v>11.23</v>
      </c>
      <c r="EQ4">
        <v>11.26</v>
      </c>
      <c r="ER4">
        <v>11.27</v>
      </c>
      <c r="ES4">
        <v>11.29</v>
      </c>
      <c r="ET4">
        <v>11.38</v>
      </c>
      <c r="EU4">
        <v>11.41</v>
      </c>
      <c r="EV4">
        <v>11.42</v>
      </c>
      <c r="EW4">
        <v>11.46</v>
      </c>
      <c r="EX4">
        <v>11.54</v>
      </c>
      <c r="EY4">
        <v>11.55</v>
      </c>
      <c r="EZ4">
        <v>11.56</v>
      </c>
      <c r="FA4">
        <v>11.6</v>
      </c>
      <c r="FB4">
        <v>11.61</v>
      </c>
      <c r="FC4">
        <v>11.62</v>
      </c>
      <c r="FD4">
        <v>11.63</v>
      </c>
      <c r="FE4">
        <v>11.64</v>
      </c>
      <c r="FF4">
        <v>11.75</v>
      </c>
      <c r="FG4">
        <v>11.77</v>
      </c>
      <c r="FH4">
        <v>11.78</v>
      </c>
      <c r="FI4">
        <v>11.91</v>
      </c>
      <c r="FJ4">
        <v>11.92</v>
      </c>
      <c r="FK4">
        <v>11.96</v>
      </c>
      <c r="FL4">
        <v>11.97</v>
      </c>
      <c r="FM4">
        <v>12.01</v>
      </c>
      <c r="FN4">
        <v>12.02</v>
      </c>
      <c r="FO4">
        <v>12.12</v>
      </c>
      <c r="FP4">
        <v>12.13</v>
      </c>
      <c r="FQ4">
        <v>12.15</v>
      </c>
      <c r="FR4">
        <v>12.22</v>
      </c>
      <c r="FS4">
        <v>12.23</v>
      </c>
      <c r="FT4">
        <v>12.31</v>
      </c>
      <c r="FU4">
        <v>12.32</v>
      </c>
      <c r="FV4">
        <v>12.34</v>
      </c>
      <c r="FW4">
        <v>12.35</v>
      </c>
      <c r="FX4">
        <v>12.44</v>
      </c>
      <c r="FY4">
        <v>12.49</v>
      </c>
      <c r="FZ4">
        <v>12.5</v>
      </c>
      <c r="GA4">
        <v>12.52</v>
      </c>
      <c r="GB4">
        <v>12.54</v>
      </c>
      <c r="GC4">
        <v>12.55</v>
      </c>
      <c r="GD4">
        <v>12.56</v>
      </c>
      <c r="GE4">
        <v>12.58</v>
      </c>
      <c r="GF4">
        <v>12.59</v>
      </c>
      <c r="GG4">
        <v>12.62</v>
      </c>
      <c r="GH4">
        <v>12.63</v>
      </c>
      <c r="GI4">
        <v>12.64</v>
      </c>
      <c r="GJ4">
        <v>12.69</v>
      </c>
      <c r="GK4">
        <v>12.7</v>
      </c>
      <c r="GL4">
        <v>12.71</v>
      </c>
      <c r="GM4">
        <v>12.84</v>
      </c>
      <c r="GN4">
        <v>12.85</v>
      </c>
      <c r="GO4">
        <v>12.99</v>
      </c>
      <c r="GP4">
        <v>13</v>
      </c>
      <c r="GQ4">
        <v>13.03</v>
      </c>
      <c r="GR4">
        <v>13.14</v>
      </c>
      <c r="GS4">
        <v>13.16</v>
      </c>
      <c r="GT4">
        <v>13.22</v>
      </c>
      <c r="GU4">
        <v>13.23</v>
      </c>
      <c r="GV4">
        <v>13.25</v>
      </c>
      <c r="GW4">
        <v>13.32</v>
      </c>
      <c r="GX4">
        <v>13.33</v>
      </c>
      <c r="GY4">
        <v>13.4</v>
      </c>
      <c r="GZ4">
        <v>13.41</v>
      </c>
      <c r="HA4">
        <v>13.45</v>
      </c>
      <c r="HB4">
        <v>13.46</v>
      </c>
      <c r="HC4">
        <v>13.54</v>
      </c>
      <c r="HD4">
        <v>13.56</v>
      </c>
      <c r="HE4">
        <v>13.57</v>
      </c>
      <c r="HF4">
        <v>13.61</v>
      </c>
      <c r="HG4">
        <v>13.62</v>
      </c>
      <c r="HH4">
        <v>13.63</v>
      </c>
      <c r="HI4">
        <v>13.64</v>
      </c>
      <c r="HJ4">
        <v>13.69</v>
      </c>
      <c r="HK4">
        <v>13.7</v>
      </c>
      <c r="HL4">
        <v>13.84</v>
      </c>
      <c r="HM4">
        <v>13.85</v>
      </c>
      <c r="HN4">
        <v>13.93</v>
      </c>
      <c r="HO4">
        <v>14.01</v>
      </c>
      <c r="HP4">
        <v>14.08</v>
      </c>
      <c r="HQ4">
        <v>14.09</v>
      </c>
      <c r="HR4">
        <v>14.15</v>
      </c>
      <c r="HS4">
        <v>14.22</v>
      </c>
      <c r="HT4">
        <v>14.23</v>
      </c>
      <c r="HU4">
        <v>14.41</v>
      </c>
      <c r="HV4">
        <v>14.42</v>
      </c>
      <c r="HW4">
        <v>14.43</v>
      </c>
      <c r="HX4">
        <v>14.52</v>
      </c>
      <c r="HY4">
        <v>14.53</v>
      </c>
      <c r="HZ4">
        <v>14.54</v>
      </c>
      <c r="IA4">
        <v>14.58</v>
      </c>
      <c r="IB4">
        <v>14.59</v>
      </c>
      <c r="IC4">
        <v>14.6</v>
      </c>
      <c r="ID4">
        <v>14.62</v>
      </c>
      <c r="IE4">
        <v>14.69</v>
      </c>
      <c r="IF4">
        <v>14.72</v>
      </c>
      <c r="IG4">
        <v>14.82</v>
      </c>
      <c r="IH4">
        <v>14.83</v>
      </c>
      <c r="II4">
        <v>14.93</v>
      </c>
      <c r="IJ4">
        <v>15.03</v>
      </c>
      <c r="IK4">
        <v>15.04</v>
      </c>
      <c r="IL4">
        <v>15.05</v>
      </c>
      <c r="IM4">
        <v>15.12</v>
      </c>
      <c r="IN4">
        <v>15.14</v>
      </c>
      <c r="IO4">
        <v>15.2</v>
      </c>
      <c r="IP4">
        <v>15.27</v>
      </c>
      <c r="IQ4">
        <v>15.28</v>
      </c>
      <c r="IR4">
        <v>15.34</v>
      </c>
      <c r="IS4">
        <v>15.35</v>
      </c>
      <c r="IT4">
        <v>15.4</v>
      </c>
      <c r="IU4">
        <v>15.41</v>
      </c>
      <c r="IV4">
        <v>15.42</v>
      </c>
      <c r="IW4">
        <v>15.47</v>
      </c>
      <c r="IX4">
        <v>15.52</v>
      </c>
      <c r="IY4">
        <v>15.53</v>
      </c>
      <c r="IZ4">
        <v>15.54</v>
      </c>
      <c r="JA4">
        <v>15.55</v>
      </c>
      <c r="JB4">
        <v>15.57</v>
      </c>
      <c r="JC4">
        <v>15.58</v>
      </c>
      <c r="JD4">
        <v>15.6</v>
      </c>
      <c r="JE4">
        <v>15.64</v>
      </c>
      <c r="JF4">
        <v>15.71</v>
      </c>
      <c r="JG4">
        <v>15.72</v>
      </c>
      <c r="JH4">
        <v>15.87</v>
      </c>
      <c r="JI4">
        <v>15.88</v>
      </c>
      <c r="JJ4">
        <v>16.11</v>
      </c>
      <c r="JK4">
        <v>16.12</v>
      </c>
      <c r="JL4">
        <v>16.29</v>
      </c>
      <c r="JM4">
        <v>16.34</v>
      </c>
      <c r="JN4">
        <v>16.350000000000001</v>
      </c>
      <c r="JO4">
        <v>16.66</v>
      </c>
      <c r="JP4">
        <v>16.670000000000002</v>
      </c>
      <c r="JQ4">
        <v>16.760000000000002</v>
      </c>
      <c r="JR4">
        <v>16.77</v>
      </c>
      <c r="JS4">
        <v>16.940000000000001</v>
      </c>
      <c r="JT4">
        <v>16.97</v>
      </c>
      <c r="JU4">
        <v>16.98</v>
      </c>
      <c r="JV4">
        <v>16.989999999999998</v>
      </c>
      <c r="JW4">
        <v>17</v>
      </c>
      <c r="JX4">
        <v>17.010000000000002</v>
      </c>
      <c r="JY4">
        <v>17.02</v>
      </c>
      <c r="JZ4">
        <v>17.03</v>
      </c>
      <c r="KA4">
        <v>17.059999999999999</v>
      </c>
      <c r="KB4">
        <v>17.07</v>
      </c>
      <c r="KC4">
        <v>17.079999999999998</v>
      </c>
      <c r="KD4">
        <v>17.09</v>
      </c>
      <c r="KE4">
        <v>17.12</v>
      </c>
      <c r="KF4">
        <v>17.14</v>
      </c>
      <c r="KG4">
        <v>17.149999999999999</v>
      </c>
      <c r="KH4">
        <v>17.2</v>
      </c>
      <c r="KI4">
        <v>17.21</v>
      </c>
      <c r="KJ4">
        <v>17.28</v>
      </c>
      <c r="KK4">
        <v>17.29</v>
      </c>
      <c r="KL4">
        <v>17.36</v>
      </c>
      <c r="KM4">
        <v>17.37</v>
      </c>
      <c r="KN4">
        <v>17.38</v>
      </c>
      <c r="KO4">
        <v>17.45</v>
      </c>
      <c r="KP4">
        <v>17.46</v>
      </c>
      <c r="KQ4">
        <v>17.47</v>
      </c>
      <c r="KR4">
        <v>17.48</v>
      </c>
      <c r="KS4">
        <v>17.489999999999998</v>
      </c>
      <c r="KT4">
        <v>17.5</v>
      </c>
      <c r="KU4">
        <v>17.54</v>
      </c>
      <c r="KV4">
        <v>17.55</v>
      </c>
      <c r="KW4">
        <v>17.559999999999999</v>
      </c>
      <c r="KX4">
        <v>17.57</v>
      </c>
      <c r="KY4">
        <v>17.690000000000001</v>
      </c>
      <c r="KZ4">
        <v>17.7</v>
      </c>
      <c r="LA4">
        <v>17.71</v>
      </c>
      <c r="LB4">
        <v>17.72</v>
      </c>
      <c r="LC4">
        <v>17.73</v>
      </c>
      <c r="LD4">
        <v>17.77</v>
      </c>
      <c r="LE4">
        <v>17.8</v>
      </c>
      <c r="LF4">
        <v>17.809999999999999</v>
      </c>
      <c r="LG4">
        <v>17.91</v>
      </c>
      <c r="LH4">
        <v>17.920000000000002</v>
      </c>
      <c r="LI4">
        <v>17.93</v>
      </c>
      <c r="LJ4">
        <v>18</v>
      </c>
      <c r="LK4">
        <v>18.010000000000002</v>
      </c>
      <c r="LL4">
        <v>18.02</v>
      </c>
      <c r="LM4">
        <v>18.04</v>
      </c>
      <c r="LN4">
        <v>18.05</v>
      </c>
      <c r="LO4">
        <v>18.059999999999999</v>
      </c>
      <c r="LP4">
        <v>18.07</v>
      </c>
      <c r="LQ4">
        <v>18.14</v>
      </c>
      <c r="LR4">
        <v>18.3</v>
      </c>
      <c r="LS4">
        <v>18.309999999999999</v>
      </c>
      <c r="LT4">
        <v>18.38</v>
      </c>
      <c r="LU4">
        <v>18.41</v>
      </c>
      <c r="LV4">
        <v>18.43</v>
      </c>
      <c r="LW4">
        <v>18.440000000000001</v>
      </c>
      <c r="LX4">
        <v>18.45</v>
      </c>
      <c r="LY4">
        <v>18.46</v>
      </c>
      <c r="LZ4">
        <v>18.47</v>
      </c>
      <c r="MA4">
        <v>18.53</v>
      </c>
      <c r="MB4">
        <v>18.72</v>
      </c>
      <c r="MC4">
        <v>18.73</v>
      </c>
      <c r="MD4">
        <v>18.739999999999998</v>
      </c>
      <c r="ME4">
        <v>18.84</v>
      </c>
      <c r="MF4">
        <v>18.850000000000001</v>
      </c>
      <c r="MG4">
        <v>18.91</v>
      </c>
      <c r="MH4">
        <v>19.21</v>
      </c>
      <c r="MI4">
        <v>19.41</v>
      </c>
      <c r="MJ4">
        <v>19.559999999999999</v>
      </c>
      <c r="MK4">
        <v>19.57</v>
      </c>
      <c r="ML4">
        <v>19.63</v>
      </c>
      <c r="MM4">
        <v>20.22</v>
      </c>
      <c r="MN4">
        <v>20.23</v>
      </c>
      <c r="MO4">
        <v>20.239999999999998</v>
      </c>
      <c r="MP4">
        <v>20.57</v>
      </c>
      <c r="MQ4">
        <v>20.62</v>
      </c>
      <c r="MR4">
        <v>20.65</v>
      </c>
      <c r="MS4">
        <v>20.66</v>
      </c>
      <c r="MT4">
        <v>20.88</v>
      </c>
      <c r="MU4">
        <v>20.89</v>
      </c>
      <c r="MV4">
        <v>20.96</v>
      </c>
      <c r="MW4">
        <v>20.97</v>
      </c>
      <c r="MX4">
        <v>21.17</v>
      </c>
      <c r="MY4">
        <v>21.18</v>
      </c>
      <c r="MZ4">
        <v>21.32</v>
      </c>
      <c r="NA4">
        <v>21.4</v>
      </c>
      <c r="NB4">
        <v>21.41</v>
      </c>
      <c r="NC4">
        <v>21.69</v>
      </c>
      <c r="ND4">
        <v>21.7</v>
      </c>
      <c r="NE4">
        <v>22.51</v>
      </c>
      <c r="NF4">
        <v>22.73</v>
      </c>
      <c r="NG4">
        <v>23.01</v>
      </c>
      <c r="NH4">
        <v>23.47</v>
      </c>
      <c r="NI4">
        <v>23.48</v>
      </c>
      <c r="NJ4">
        <v>23.66</v>
      </c>
      <c r="NK4">
        <v>23.67</v>
      </c>
      <c r="NL4">
        <v>23.77</v>
      </c>
      <c r="NM4">
        <v>23.85</v>
      </c>
      <c r="NN4">
        <v>23.92</v>
      </c>
      <c r="NO4">
        <v>23.93</v>
      </c>
      <c r="NP4">
        <v>24.04</v>
      </c>
      <c r="NQ4">
        <v>24.26</v>
      </c>
      <c r="NR4">
        <v>24.35</v>
      </c>
      <c r="NS4">
        <v>24.36</v>
      </c>
      <c r="NT4">
        <v>25.37</v>
      </c>
      <c r="NU4">
        <v>25.38</v>
      </c>
      <c r="NV4">
        <v>25.45</v>
      </c>
      <c r="NW4">
        <v>25.67</v>
      </c>
      <c r="NX4">
        <v>25.76</v>
      </c>
      <c r="NY4">
        <v>25.85</v>
      </c>
      <c r="NZ4">
        <v>25.91</v>
      </c>
      <c r="OA4">
        <v>25.92</v>
      </c>
      <c r="OB4">
        <v>26.01</v>
      </c>
      <c r="OC4">
        <v>26.02</v>
      </c>
      <c r="OD4">
        <v>26.12</v>
      </c>
      <c r="OE4">
        <v>26.28</v>
      </c>
      <c r="OF4">
        <v>26.29</v>
      </c>
      <c r="OG4">
        <v>26.52</v>
      </c>
      <c r="OH4">
        <v>26.56</v>
      </c>
      <c r="OI4">
        <v>27.12</v>
      </c>
      <c r="OJ4">
        <v>27.25</v>
      </c>
      <c r="OK4">
        <v>27.43</v>
      </c>
      <c r="OL4">
        <v>27.51</v>
      </c>
      <c r="OM4">
        <v>27.66</v>
      </c>
      <c r="ON4">
        <v>27.67</v>
      </c>
      <c r="OO4">
        <v>27.97</v>
      </c>
      <c r="OP4">
        <v>28.18</v>
      </c>
      <c r="OQ4">
        <v>28.48</v>
      </c>
      <c r="OR4">
        <v>28.49</v>
      </c>
      <c r="OS4">
        <v>28.53</v>
      </c>
      <c r="OT4">
        <v>28.55</v>
      </c>
      <c r="OU4">
        <v>28.59</v>
      </c>
      <c r="OV4">
        <v>28.6</v>
      </c>
      <c r="OW4">
        <v>28.62</v>
      </c>
      <c r="OX4">
        <v>28.64</v>
      </c>
      <c r="OY4">
        <v>28.65</v>
      </c>
      <c r="OZ4">
        <v>28.73</v>
      </c>
      <c r="PA4">
        <v>28.89</v>
      </c>
      <c r="PB4">
        <v>28.95</v>
      </c>
      <c r="PC4">
        <v>29.05</v>
      </c>
      <c r="PD4">
        <v>29.16</v>
      </c>
      <c r="PE4">
        <v>29.19</v>
      </c>
      <c r="PF4">
        <v>29.21</v>
      </c>
      <c r="PG4">
        <v>29.23</v>
      </c>
      <c r="PH4">
        <v>29.28</v>
      </c>
      <c r="PI4">
        <v>29.29</v>
      </c>
      <c r="PJ4">
        <v>29.31</v>
      </c>
      <c r="PK4">
        <v>29.41</v>
      </c>
      <c r="PL4">
        <v>29.42</v>
      </c>
      <c r="PM4">
        <v>29.43</v>
      </c>
      <c r="PN4">
        <v>29.46</v>
      </c>
      <c r="PO4">
        <v>29.47</v>
      </c>
      <c r="PP4">
        <v>29.53</v>
      </c>
      <c r="PQ4">
        <v>29.54</v>
      </c>
      <c r="PR4">
        <v>29.62</v>
      </c>
      <c r="PS4">
        <v>29.67</v>
      </c>
      <c r="PT4">
        <v>29.68</v>
      </c>
      <c r="PU4">
        <v>29.74</v>
      </c>
      <c r="PV4">
        <v>29.75</v>
      </c>
      <c r="PW4">
        <v>29.82</v>
      </c>
      <c r="PX4">
        <v>29.83</v>
      </c>
      <c r="PY4">
        <v>29.84</v>
      </c>
      <c r="PZ4">
        <v>29.87</v>
      </c>
      <c r="QA4">
        <v>29.88</v>
      </c>
      <c r="QB4">
        <v>29.89</v>
      </c>
      <c r="QC4">
        <v>29.9</v>
      </c>
      <c r="QD4">
        <v>29.91</v>
      </c>
      <c r="QE4">
        <v>29.92</v>
      </c>
      <c r="QF4">
        <v>29.93</v>
      </c>
      <c r="QG4">
        <v>29.94</v>
      </c>
      <c r="QH4">
        <v>29.98</v>
      </c>
      <c r="QI4">
        <v>30.01</v>
      </c>
      <c r="QJ4">
        <v>30.02</v>
      </c>
      <c r="QK4">
        <v>30.11</v>
      </c>
      <c r="QL4">
        <v>30.17</v>
      </c>
      <c r="QM4">
        <v>30.18</v>
      </c>
      <c r="QN4">
        <v>30.23</v>
      </c>
      <c r="QO4">
        <v>30.24</v>
      </c>
      <c r="QP4">
        <v>30.25</v>
      </c>
      <c r="QQ4">
        <v>30.26</v>
      </c>
      <c r="QR4">
        <v>30.45</v>
      </c>
      <c r="QS4">
        <v>30.46</v>
      </c>
      <c r="QT4">
        <v>30.47</v>
      </c>
      <c r="QU4">
        <v>30.81</v>
      </c>
      <c r="QV4">
        <v>30.82</v>
      </c>
      <c r="QW4">
        <v>30.96</v>
      </c>
      <c r="QX4">
        <v>30.97</v>
      </c>
      <c r="QY4">
        <v>31.01</v>
      </c>
      <c r="QZ4">
        <v>31.02</v>
      </c>
      <c r="RA4">
        <v>31.12</v>
      </c>
      <c r="RB4">
        <v>31.13</v>
      </c>
      <c r="RC4">
        <v>31.15</v>
      </c>
      <c r="RD4">
        <v>31.26</v>
      </c>
      <c r="RE4">
        <v>31.27</v>
      </c>
      <c r="RF4">
        <v>31.29</v>
      </c>
      <c r="RG4">
        <v>31.3</v>
      </c>
      <c r="RH4">
        <v>31.31</v>
      </c>
      <c r="RI4">
        <v>31.33</v>
      </c>
      <c r="RJ4">
        <v>31.36</v>
      </c>
      <c r="RK4">
        <v>31.37</v>
      </c>
      <c r="RL4">
        <v>31.4</v>
      </c>
      <c r="RM4">
        <v>31.43</v>
      </c>
      <c r="RN4">
        <v>31.48</v>
      </c>
      <c r="RO4">
        <v>31.5</v>
      </c>
      <c r="RP4">
        <v>31.51</v>
      </c>
      <c r="RQ4">
        <v>31.52</v>
      </c>
      <c r="RR4">
        <v>31.54</v>
      </c>
      <c r="RS4">
        <v>31.55</v>
      </c>
      <c r="RT4">
        <v>31.59</v>
      </c>
      <c r="RU4">
        <v>31.6</v>
      </c>
      <c r="RV4">
        <v>31.67</v>
      </c>
      <c r="RW4">
        <v>31.69</v>
      </c>
      <c r="RX4">
        <v>31.7</v>
      </c>
      <c r="RY4">
        <v>31.72</v>
      </c>
      <c r="RZ4">
        <v>31.73</v>
      </c>
      <c r="SA4">
        <v>31.74</v>
      </c>
      <c r="SB4">
        <v>31.76</v>
      </c>
      <c r="SC4">
        <v>31.77</v>
      </c>
      <c r="SD4">
        <v>31.78</v>
      </c>
      <c r="SE4">
        <v>31.8</v>
      </c>
      <c r="SF4">
        <v>31.81</v>
      </c>
      <c r="SG4">
        <v>31.82</v>
      </c>
      <c r="SH4">
        <v>31.83</v>
      </c>
      <c r="SI4">
        <v>31.84</v>
      </c>
      <c r="SJ4">
        <v>31.85</v>
      </c>
      <c r="SK4">
        <v>31.99</v>
      </c>
      <c r="SL4">
        <v>32.08</v>
      </c>
      <c r="SM4">
        <v>32.17</v>
      </c>
      <c r="SN4">
        <v>32.21</v>
      </c>
      <c r="SO4">
        <v>32.24</v>
      </c>
      <c r="SP4">
        <v>32.25</v>
      </c>
      <c r="SQ4">
        <v>32.28</v>
      </c>
      <c r="SR4">
        <v>32.35</v>
      </c>
      <c r="SS4">
        <v>32.36</v>
      </c>
      <c r="ST4">
        <v>32.54</v>
      </c>
      <c r="SU4">
        <v>32.549999999999997</v>
      </c>
      <c r="SV4">
        <v>32.6</v>
      </c>
      <c r="SW4">
        <v>32.729999999999997</v>
      </c>
      <c r="SX4">
        <v>32.74</v>
      </c>
      <c r="SY4">
        <v>32.83</v>
      </c>
      <c r="SZ4">
        <v>32.89</v>
      </c>
      <c r="TA4">
        <v>33.1</v>
      </c>
      <c r="TB4">
        <v>33.11</v>
      </c>
      <c r="TC4">
        <v>33.229999999999997</v>
      </c>
      <c r="TD4">
        <v>33.28</v>
      </c>
      <c r="TE4">
        <v>33.32</v>
      </c>
      <c r="TF4">
        <v>33.33</v>
      </c>
      <c r="TG4">
        <v>33.340000000000003</v>
      </c>
      <c r="TH4">
        <v>33.35</v>
      </c>
      <c r="TI4">
        <v>33.36</v>
      </c>
      <c r="TJ4">
        <v>33.47</v>
      </c>
      <c r="TK4">
        <v>33.479999999999997</v>
      </c>
      <c r="TL4">
        <v>33.53</v>
      </c>
      <c r="TM4">
        <v>33.69</v>
      </c>
      <c r="TN4">
        <v>33.71</v>
      </c>
      <c r="TO4" t="s">
        <v>1432</v>
      </c>
    </row>
    <row r="5" spans="1:535" x14ac:dyDescent="0.25">
      <c r="A5" s="5" t="s">
        <v>1410</v>
      </c>
      <c r="B5" s="7"/>
      <c r="C5" s="7">
        <v>3226285</v>
      </c>
      <c r="D5" s="7"/>
      <c r="E5" s="7"/>
      <c r="F5" s="7">
        <v>1171272</v>
      </c>
      <c r="G5" s="7">
        <v>2537097</v>
      </c>
      <c r="H5" s="7"/>
      <c r="I5" s="7"/>
      <c r="J5" s="7"/>
      <c r="K5" s="7">
        <v>2907032</v>
      </c>
      <c r="L5" s="7"/>
      <c r="M5" s="7"/>
      <c r="N5" s="7"/>
      <c r="O5" s="7"/>
      <c r="P5" s="7"/>
      <c r="Q5" s="7">
        <v>11405315</v>
      </c>
      <c r="R5" s="7"/>
      <c r="S5" s="7">
        <v>4879468</v>
      </c>
      <c r="T5" s="7"/>
      <c r="U5" s="7"/>
      <c r="V5" s="7"/>
      <c r="W5" s="7">
        <v>1449851</v>
      </c>
      <c r="X5" s="7"/>
      <c r="Y5" s="7"/>
      <c r="Z5" s="7">
        <v>5460496</v>
      </c>
      <c r="AA5" s="7"/>
      <c r="AB5" s="7"/>
      <c r="AC5" s="7"/>
      <c r="AD5" s="7"/>
      <c r="AE5" s="7">
        <v>2623491</v>
      </c>
      <c r="AF5" s="7"/>
      <c r="AG5" s="7"/>
      <c r="AH5" s="7"/>
      <c r="AI5" s="7"/>
      <c r="AJ5" s="7"/>
      <c r="AK5" s="7"/>
      <c r="AL5" s="7"/>
      <c r="AM5" s="7"/>
      <c r="AN5" s="7">
        <v>2103191</v>
      </c>
      <c r="AO5" s="7"/>
      <c r="AP5" s="7"/>
      <c r="AQ5" s="7"/>
      <c r="AR5" s="7"/>
      <c r="AS5" s="7">
        <v>1761570</v>
      </c>
      <c r="AT5" s="7"/>
      <c r="AU5" s="7"/>
      <c r="AV5" s="7">
        <v>3287093</v>
      </c>
      <c r="AW5" s="7"/>
      <c r="AX5" s="7"/>
      <c r="AY5" s="7">
        <v>11695827</v>
      </c>
      <c r="AZ5" s="7"/>
      <c r="BA5" s="7"/>
      <c r="BB5" s="7"/>
      <c r="BC5" s="7"/>
      <c r="BD5" s="7"/>
      <c r="BE5" s="7"/>
      <c r="BF5" s="7">
        <v>10316133</v>
      </c>
      <c r="BG5" s="7"/>
      <c r="BH5" s="7"/>
      <c r="BI5" s="7"/>
      <c r="BJ5" s="7">
        <v>3523387</v>
      </c>
      <c r="BK5" s="7"/>
      <c r="BL5" s="7">
        <v>2810850</v>
      </c>
      <c r="BM5" s="7"/>
      <c r="BN5" s="7"/>
      <c r="BO5" s="7">
        <v>2120734</v>
      </c>
      <c r="BP5" s="7"/>
      <c r="BQ5" s="7">
        <v>3242681</v>
      </c>
      <c r="BR5" s="7"/>
      <c r="BS5" s="7"/>
      <c r="BT5" s="7"/>
      <c r="BU5" s="7"/>
      <c r="BV5" s="7"/>
      <c r="BW5" s="7">
        <v>6009967</v>
      </c>
      <c r="BX5" s="7"/>
      <c r="BY5" s="7"/>
      <c r="BZ5" s="7"/>
      <c r="CA5" s="7"/>
      <c r="CB5" s="7"/>
      <c r="CC5" s="7">
        <v>1090601</v>
      </c>
      <c r="CD5" s="7">
        <v>2003183</v>
      </c>
      <c r="CE5" s="7"/>
      <c r="CF5" s="7"/>
      <c r="CG5" s="7"/>
      <c r="CH5" s="7"/>
      <c r="CI5" s="7">
        <v>1861560</v>
      </c>
      <c r="CJ5" s="7"/>
      <c r="CK5" s="7"/>
      <c r="CL5" s="7"/>
      <c r="CM5" s="7">
        <v>2259096</v>
      </c>
      <c r="CN5" s="7"/>
      <c r="CO5" s="7"/>
      <c r="CP5" s="7"/>
      <c r="CQ5" s="7">
        <v>4360869</v>
      </c>
      <c r="CR5" s="7"/>
      <c r="CS5" s="7"/>
      <c r="CT5" s="7"/>
      <c r="CU5" s="7">
        <v>6276223</v>
      </c>
      <c r="CV5" s="7"/>
      <c r="CW5" s="7"/>
      <c r="CX5" s="7"/>
      <c r="CY5" s="7">
        <v>1746148</v>
      </c>
      <c r="CZ5" s="7">
        <v>1354485</v>
      </c>
      <c r="DA5" s="7"/>
      <c r="DB5" s="7"/>
      <c r="DC5" s="7">
        <v>23155984</v>
      </c>
      <c r="DD5" s="7"/>
      <c r="DE5" s="7"/>
      <c r="DF5" s="7">
        <v>42145956</v>
      </c>
      <c r="DG5" s="7"/>
      <c r="DH5" s="7"/>
      <c r="DI5" s="7"/>
      <c r="DJ5" s="7">
        <v>1383276</v>
      </c>
      <c r="DK5" s="7"/>
      <c r="DL5" s="7"/>
      <c r="DM5" s="7"/>
      <c r="DN5" s="7">
        <v>2639163</v>
      </c>
      <c r="DO5" s="7"/>
      <c r="DP5" s="7">
        <v>12555955</v>
      </c>
      <c r="DQ5" s="7"/>
      <c r="DR5" s="7"/>
      <c r="DS5" s="7">
        <v>1634419</v>
      </c>
      <c r="DT5" s="7"/>
      <c r="DU5" s="7"/>
      <c r="DV5" s="7">
        <v>6877428</v>
      </c>
      <c r="DW5" s="7"/>
      <c r="DX5" s="7"/>
      <c r="DY5" s="7">
        <v>2991190</v>
      </c>
      <c r="DZ5" s="7"/>
      <c r="EA5" s="7"/>
      <c r="EB5" s="7">
        <v>13112741</v>
      </c>
      <c r="EC5" s="7"/>
      <c r="ED5" s="7"/>
      <c r="EE5" s="7"/>
      <c r="EF5" s="7"/>
      <c r="EG5" s="7"/>
      <c r="EH5" s="7">
        <v>8774335</v>
      </c>
      <c r="EI5" s="7"/>
      <c r="EJ5" s="7"/>
      <c r="EK5" s="7"/>
      <c r="EL5" s="7"/>
      <c r="EM5" s="7"/>
      <c r="EN5" s="7"/>
      <c r="EO5" s="7">
        <v>8766555</v>
      </c>
      <c r="EP5" s="7"/>
      <c r="EQ5" s="7"/>
      <c r="ER5" s="7"/>
      <c r="ES5" s="7"/>
      <c r="ET5" s="7"/>
      <c r="EU5" s="7">
        <v>2375143</v>
      </c>
      <c r="EV5" s="7"/>
      <c r="EW5" s="7"/>
      <c r="EX5" s="7"/>
      <c r="EY5" s="7"/>
      <c r="EZ5" s="7">
        <v>3485110</v>
      </c>
      <c r="FA5" s="7"/>
      <c r="FB5" s="7"/>
      <c r="FC5" s="7">
        <v>4502259</v>
      </c>
      <c r="FD5" s="7"/>
      <c r="FE5" s="7"/>
      <c r="FF5" s="7">
        <v>1169418</v>
      </c>
      <c r="FG5" s="7"/>
      <c r="FH5" s="7"/>
      <c r="FI5" s="7">
        <v>3182359</v>
      </c>
      <c r="FJ5" s="7"/>
      <c r="FK5" s="7"/>
      <c r="FL5" s="7">
        <v>1747735</v>
      </c>
      <c r="FM5" s="7"/>
      <c r="FN5" s="7"/>
      <c r="FO5" s="7"/>
      <c r="FP5" s="7">
        <v>2919522</v>
      </c>
      <c r="FQ5" s="7"/>
      <c r="FR5" s="7">
        <v>5610023</v>
      </c>
      <c r="FS5" s="7"/>
      <c r="FT5" s="7"/>
      <c r="FU5" s="7">
        <v>3386778</v>
      </c>
      <c r="FV5" s="7"/>
      <c r="FW5" s="7"/>
      <c r="FX5" s="7">
        <v>1104518</v>
      </c>
      <c r="FY5" s="7"/>
      <c r="FZ5" s="7">
        <v>1755703</v>
      </c>
      <c r="GA5" s="7"/>
      <c r="GB5" s="7">
        <v>2352896</v>
      </c>
      <c r="GC5" s="7"/>
      <c r="GD5" s="7"/>
      <c r="GE5" s="7"/>
      <c r="GF5" s="7">
        <v>2810322</v>
      </c>
      <c r="GG5" s="7"/>
      <c r="GH5" s="7"/>
      <c r="GI5" s="7"/>
      <c r="GJ5" s="7"/>
      <c r="GK5" s="7">
        <v>4019828</v>
      </c>
      <c r="GL5" s="7"/>
      <c r="GM5" s="7">
        <v>90006609</v>
      </c>
      <c r="GN5" s="7"/>
      <c r="GO5" s="7"/>
      <c r="GP5" s="7"/>
      <c r="GQ5" s="7"/>
      <c r="GR5" s="7"/>
      <c r="GS5" s="7"/>
      <c r="GT5" s="7">
        <v>29288258</v>
      </c>
      <c r="GU5" s="7"/>
      <c r="GV5" s="7"/>
      <c r="GW5" s="7"/>
      <c r="GX5" s="7"/>
      <c r="GY5" s="7"/>
      <c r="GZ5" s="7"/>
      <c r="HA5" s="7"/>
      <c r="HB5" s="7"/>
      <c r="HC5" s="7"/>
      <c r="HD5" s="7">
        <v>1334477</v>
      </c>
      <c r="HE5" s="7"/>
      <c r="HF5" s="7"/>
      <c r="HG5" s="7">
        <v>3013766</v>
      </c>
      <c r="HH5" s="7"/>
      <c r="HI5" s="7"/>
      <c r="HJ5" s="7"/>
      <c r="HK5" s="7">
        <v>1129272</v>
      </c>
      <c r="HL5" s="7">
        <v>1215061</v>
      </c>
      <c r="HM5" s="7"/>
      <c r="HN5" s="7"/>
      <c r="HO5" s="7">
        <v>1357867</v>
      </c>
      <c r="HP5" s="7"/>
      <c r="HQ5" s="7"/>
      <c r="HR5" s="7">
        <v>1098310</v>
      </c>
      <c r="HS5" s="7"/>
      <c r="HT5" s="7"/>
      <c r="HU5" s="7"/>
      <c r="HV5" s="7"/>
      <c r="HW5" s="7">
        <v>1509409</v>
      </c>
      <c r="HX5" s="7">
        <v>3343216</v>
      </c>
      <c r="HY5" s="7"/>
      <c r="HZ5" s="7"/>
      <c r="IA5" s="7"/>
      <c r="IB5" s="7">
        <v>4563416</v>
      </c>
      <c r="IC5" s="7"/>
      <c r="ID5" s="7"/>
      <c r="IE5" s="7"/>
      <c r="IF5" s="7"/>
      <c r="IG5" s="7"/>
      <c r="IH5" s="7">
        <v>1357864</v>
      </c>
      <c r="II5" s="7"/>
      <c r="IJ5" s="7">
        <v>1969155</v>
      </c>
      <c r="IK5" s="7"/>
      <c r="IL5" s="7"/>
      <c r="IM5" s="7"/>
      <c r="IN5" s="7"/>
      <c r="IO5" s="7"/>
      <c r="IP5" s="7">
        <v>1673229</v>
      </c>
      <c r="IQ5" s="7"/>
      <c r="IR5" s="7">
        <v>3663122</v>
      </c>
      <c r="IS5" s="7"/>
      <c r="IT5" s="7"/>
      <c r="IU5" s="7"/>
      <c r="IV5" s="7"/>
      <c r="IW5" s="7"/>
      <c r="IX5" s="7">
        <v>6696801</v>
      </c>
      <c r="IY5" s="7"/>
      <c r="IZ5" s="7"/>
      <c r="JA5" s="7"/>
      <c r="JB5" s="7"/>
      <c r="JC5" s="7"/>
      <c r="JD5" s="7"/>
      <c r="JE5" s="7">
        <v>1163453</v>
      </c>
      <c r="JF5" s="7"/>
      <c r="JG5" s="7"/>
      <c r="JH5" s="7"/>
      <c r="JI5" s="7">
        <v>11743405</v>
      </c>
      <c r="JJ5" s="7"/>
      <c r="JK5" s="7"/>
      <c r="JL5" s="7"/>
      <c r="JM5" s="7"/>
      <c r="JN5" s="7">
        <v>1565749</v>
      </c>
      <c r="JO5" s="7">
        <v>3682547</v>
      </c>
      <c r="JP5" s="7"/>
      <c r="JQ5" s="7">
        <v>1280595</v>
      </c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>
        <v>154599816</v>
      </c>
      <c r="KG5" s="7"/>
      <c r="KH5" s="7"/>
      <c r="KI5" s="7"/>
      <c r="KJ5" s="7">
        <v>1055313</v>
      </c>
      <c r="KK5" s="7"/>
      <c r="KL5" s="7">
        <v>1744793</v>
      </c>
      <c r="KM5" s="7"/>
      <c r="KN5" s="7"/>
      <c r="KO5" s="7"/>
      <c r="KP5" s="7">
        <v>14378002</v>
      </c>
      <c r="KQ5" s="7"/>
      <c r="KR5" s="7"/>
      <c r="KS5" s="7"/>
      <c r="KT5" s="7"/>
      <c r="KU5" s="7">
        <v>2292853</v>
      </c>
      <c r="KV5" s="7"/>
      <c r="KW5" s="7"/>
      <c r="KX5" s="7"/>
      <c r="KY5" s="7"/>
      <c r="KZ5" s="7"/>
      <c r="LA5" s="7"/>
      <c r="LB5" s="7"/>
      <c r="LC5" s="7">
        <v>3740265</v>
      </c>
      <c r="LD5" s="7"/>
      <c r="LE5" s="7"/>
      <c r="LF5" s="7">
        <v>2748416</v>
      </c>
      <c r="LG5" s="7"/>
      <c r="LH5" s="7">
        <v>1290126</v>
      </c>
      <c r="LI5" s="7"/>
      <c r="LJ5" s="7"/>
      <c r="LK5" s="7"/>
      <c r="LL5" s="7"/>
      <c r="LM5" s="7"/>
      <c r="LN5" s="7">
        <v>5638893</v>
      </c>
      <c r="LO5" s="7"/>
      <c r="LP5" s="7"/>
      <c r="LQ5" s="7"/>
      <c r="LR5" s="7"/>
      <c r="LS5" s="7">
        <v>2476864</v>
      </c>
      <c r="LT5" s="7"/>
      <c r="LU5" s="7"/>
      <c r="LV5" s="7"/>
      <c r="LW5" s="7"/>
      <c r="LX5" s="7">
        <v>1506214</v>
      </c>
      <c r="LY5" s="7"/>
      <c r="LZ5" s="7"/>
      <c r="MA5" s="7"/>
      <c r="MB5" s="7"/>
      <c r="MC5" s="7"/>
      <c r="MD5" s="7">
        <v>3211310</v>
      </c>
      <c r="ME5" s="7">
        <v>5317156</v>
      </c>
      <c r="MF5" s="7"/>
      <c r="MG5" s="7"/>
      <c r="MH5" s="7"/>
      <c r="MI5" s="7"/>
      <c r="MJ5" s="7"/>
      <c r="MK5" s="7"/>
      <c r="ML5" s="7">
        <v>1369291</v>
      </c>
      <c r="MM5" s="7">
        <v>3534593</v>
      </c>
      <c r="MN5" s="7"/>
      <c r="MO5" s="7"/>
      <c r="MP5" s="7"/>
      <c r="MQ5" s="7"/>
      <c r="MR5" s="7"/>
      <c r="MS5" s="7"/>
      <c r="MT5" s="7"/>
      <c r="MU5" s="7"/>
      <c r="MV5" s="7">
        <v>1588893</v>
      </c>
      <c r="MW5" s="7"/>
      <c r="MX5" s="7"/>
      <c r="MY5" s="7"/>
      <c r="MZ5" s="7"/>
      <c r="NA5" s="7">
        <v>1548206</v>
      </c>
      <c r="NB5" s="7"/>
      <c r="NC5" s="7"/>
      <c r="ND5" s="7"/>
      <c r="NE5" s="7">
        <v>1200170</v>
      </c>
      <c r="NF5" s="7">
        <v>1276657</v>
      </c>
      <c r="NG5" s="7">
        <v>1103169</v>
      </c>
      <c r="NH5" s="7"/>
      <c r="NI5" s="7">
        <v>2686515</v>
      </c>
      <c r="NJ5" s="7"/>
      <c r="NK5" s="7">
        <v>1541910</v>
      </c>
      <c r="NL5" s="7"/>
      <c r="NM5" s="7"/>
      <c r="NN5" s="7"/>
      <c r="NO5" s="7">
        <v>1088138</v>
      </c>
      <c r="NP5" s="7">
        <v>3199936</v>
      </c>
      <c r="NQ5" s="7">
        <v>2070361</v>
      </c>
      <c r="NR5" s="7"/>
      <c r="NS5" s="7"/>
      <c r="NT5" s="7"/>
      <c r="NU5" s="7"/>
      <c r="NV5" s="7"/>
      <c r="NW5" s="7"/>
      <c r="NX5" s="7"/>
      <c r="NY5" s="7"/>
      <c r="NZ5" s="7"/>
      <c r="OA5" s="7">
        <v>1489713</v>
      </c>
      <c r="OB5" s="7"/>
      <c r="OC5" s="7"/>
      <c r="OD5" s="7"/>
      <c r="OE5" s="7"/>
      <c r="OF5" s="7"/>
      <c r="OG5" s="7"/>
      <c r="OH5" s="7"/>
      <c r="OI5" s="7"/>
      <c r="OJ5" s="7"/>
      <c r="OK5" s="7">
        <v>1012709</v>
      </c>
      <c r="OL5" s="7">
        <v>2134971</v>
      </c>
      <c r="OM5" s="7"/>
      <c r="ON5" s="7"/>
      <c r="OO5" s="7"/>
      <c r="OP5" s="7"/>
      <c r="OQ5" s="7">
        <v>80147608</v>
      </c>
      <c r="OR5" s="7"/>
      <c r="OS5" s="7"/>
      <c r="OT5" s="7"/>
      <c r="OU5" s="7">
        <v>3036868</v>
      </c>
      <c r="OV5" s="7"/>
      <c r="OW5" s="7"/>
      <c r="OX5" s="7">
        <v>2686343</v>
      </c>
      <c r="OY5" s="7"/>
      <c r="OZ5" s="7">
        <v>6769438</v>
      </c>
      <c r="PA5" s="7">
        <v>24638196</v>
      </c>
      <c r="PB5" s="7"/>
      <c r="PC5" s="7">
        <v>199698610</v>
      </c>
      <c r="PD5" s="7"/>
      <c r="PE5" s="7">
        <v>1442002</v>
      </c>
      <c r="PF5" s="7"/>
      <c r="PG5" s="7">
        <v>2909876</v>
      </c>
      <c r="PH5" s="7">
        <v>1715073</v>
      </c>
      <c r="PI5" s="7"/>
      <c r="PJ5" s="7"/>
      <c r="PK5" s="7"/>
      <c r="PL5" s="7"/>
      <c r="PM5" s="7">
        <v>1926219</v>
      </c>
      <c r="PN5" s="7">
        <v>2625380</v>
      </c>
      <c r="PO5" s="7"/>
      <c r="PP5" s="7"/>
      <c r="PQ5" s="7">
        <v>2144661</v>
      </c>
      <c r="PR5" s="7">
        <v>1177895</v>
      </c>
      <c r="PS5" s="7">
        <v>1302473</v>
      </c>
      <c r="PT5" s="7"/>
      <c r="PU5" s="7">
        <v>37313207</v>
      </c>
      <c r="PV5" s="7"/>
      <c r="PW5" s="7"/>
      <c r="PX5" s="7"/>
      <c r="PY5" s="7">
        <v>2166912</v>
      </c>
      <c r="PZ5" s="7"/>
      <c r="QA5" s="7"/>
      <c r="QB5" s="7">
        <v>3946685</v>
      </c>
      <c r="QC5" s="7"/>
      <c r="QD5" s="7"/>
      <c r="QE5" s="7"/>
      <c r="QF5" s="7"/>
      <c r="QG5" s="7"/>
      <c r="QH5" s="7"/>
      <c r="QI5" s="7">
        <v>3062458</v>
      </c>
      <c r="QJ5" s="7"/>
      <c r="QK5" s="7">
        <v>1074060</v>
      </c>
      <c r="QL5" s="7"/>
      <c r="QM5" s="7">
        <v>1745419</v>
      </c>
      <c r="QN5" s="7"/>
      <c r="QO5" s="7"/>
      <c r="QP5" s="7">
        <v>2391237</v>
      </c>
      <c r="QQ5" s="7"/>
      <c r="QR5" s="7"/>
      <c r="QS5" s="7"/>
      <c r="QT5" s="7"/>
      <c r="QU5" s="7"/>
      <c r="QV5" s="7">
        <v>1302388</v>
      </c>
      <c r="QW5" s="7">
        <v>1555408</v>
      </c>
      <c r="QX5" s="7"/>
      <c r="QY5" s="7">
        <v>1204711</v>
      </c>
      <c r="QZ5" s="7"/>
      <c r="RA5" s="7"/>
      <c r="RB5" s="7"/>
      <c r="RC5" s="7"/>
      <c r="RD5" s="7"/>
      <c r="RE5" s="7"/>
      <c r="RF5" s="7">
        <v>1156102</v>
      </c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>
        <v>10002620</v>
      </c>
      <c r="RX5" s="7"/>
      <c r="RY5" s="7"/>
      <c r="RZ5" s="7"/>
      <c r="SA5" s="7"/>
      <c r="SB5" s="7"/>
      <c r="SC5" s="7"/>
      <c r="SD5" s="7">
        <v>5644201</v>
      </c>
      <c r="SE5" s="7"/>
      <c r="SF5" s="7"/>
      <c r="SG5" s="7"/>
      <c r="SH5" s="7"/>
      <c r="SI5" s="7"/>
      <c r="SJ5" s="7"/>
      <c r="SK5" s="7">
        <v>14560703</v>
      </c>
      <c r="SL5" s="7"/>
      <c r="SM5" s="7"/>
      <c r="SN5" s="7"/>
      <c r="SO5" s="7">
        <v>4587587</v>
      </c>
      <c r="SP5" s="7"/>
      <c r="SQ5" s="7"/>
      <c r="SR5" s="7"/>
      <c r="SS5" s="7">
        <v>1116317</v>
      </c>
      <c r="ST5" s="7"/>
      <c r="SU5" s="7"/>
      <c r="SV5" s="7"/>
      <c r="SW5" s="7">
        <v>7887047</v>
      </c>
      <c r="SX5" s="7"/>
      <c r="SY5" s="7"/>
      <c r="SZ5" s="7"/>
      <c r="TA5" s="7">
        <v>65045589</v>
      </c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>
        <v>1165426648</v>
      </c>
    </row>
    <row r="6" spans="1:535" x14ac:dyDescent="0.25">
      <c r="A6" s="5" t="s">
        <v>1411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>
        <v>11689784</v>
      </c>
      <c r="Q6" s="7"/>
      <c r="R6" s="7"/>
      <c r="S6" s="7"/>
      <c r="T6" s="7"/>
      <c r="U6" s="7"/>
      <c r="V6" s="7"/>
      <c r="W6" s="7"/>
      <c r="X6" s="7"/>
      <c r="Y6" s="7">
        <v>19574533</v>
      </c>
      <c r="Z6" s="7"/>
      <c r="AA6" s="7"/>
      <c r="AB6" s="7"/>
      <c r="AC6" s="7"/>
      <c r="AD6" s="7"/>
      <c r="AE6" s="7">
        <v>2566726</v>
      </c>
      <c r="AF6" s="7"/>
      <c r="AG6" s="7"/>
      <c r="AH6" s="7">
        <v>3684548</v>
      </c>
      <c r="AI6" s="7"/>
      <c r="AJ6" s="7"/>
      <c r="AK6" s="7"/>
      <c r="AL6" s="7"/>
      <c r="AM6" s="7"/>
      <c r="AN6" s="7"/>
      <c r="AO6" s="7">
        <v>1515949</v>
      </c>
      <c r="AP6" s="7"/>
      <c r="AQ6" s="7"/>
      <c r="AR6" s="7"/>
      <c r="AS6" s="7"/>
      <c r="AT6" s="7">
        <v>1258202</v>
      </c>
      <c r="AU6" s="7"/>
      <c r="AV6" s="7"/>
      <c r="AW6" s="7">
        <v>1481391</v>
      </c>
      <c r="AX6" s="7"/>
      <c r="AY6" s="7"/>
      <c r="AZ6" s="7"/>
      <c r="BA6" s="7"/>
      <c r="BB6" s="7"/>
      <c r="BC6" s="7"/>
      <c r="BD6" s="7"/>
      <c r="BE6" s="7"/>
      <c r="BF6" s="7">
        <v>8332358</v>
      </c>
      <c r="BG6" s="7"/>
      <c r="BH6" s="7"/>
      <c r="BI6" s="7"/>
      <c r="BJ6" s="7"/>
      <c r="BK6" s="7"/>
      <c r="BL6" s="7">
        <v>1209977</v>
      </c>
      <c r="BM6" s="7"/>
      <c r="BN6" s="7"/>
      <c r="BO6" s="7"/>
      <c r="BP6" s="7"/>
      <c r="BQ6" s="7"/>
      <c r="BR6" s="7"/>
      <c r="BS6" s="7"/>
      <c r="BT6" s="7">
        <v>1064185</v>
      </c>
      <c r="BU6" s="7"/>
      <c r="BV6" s="7"/>
      <c r="BW6" s="7"/>
      <c r="BX6" s="7">
        <v>4021382</v>
      </c>
      <c r="BY6" s="7"/>
      <c r="BZ6" s="7"/>
      <c r="CA6" s="7"/>
      <c r="CB6" s="7"/>
      <c r="CC6" s="7"/>
      <c r="CD6" s="7">
        <v>2099313</v>
      </c>
      <c r="CE6" s="7"/>
      <c r="CF6" s="7"/>
      <c r="CG6" s="7">
        <v>1098814</v>
      </c>
      <c r="CH6" s="7"/>
      <c r="CI6" s="7"/>
      <c r="CJ6" s="7"/>
      <c r="CK6" s="7"/>
      <c r="CL6" s="7"/>
      <c r="CM6" s="7"/>
      <c r="CN6" s="7"/>
      <c r="CO6" s="7"/>
      <c r="CP6" s="7"/>
      <c r="CQ6" s="7"/>
      <c r="CR6" s="7">
        <v>1115348</v>
      </c>
      <c r="CS6" s="7"/>
      <c r="CT6" s="7">
        <v>7299107</v>
      </c>
      <c r="CU6" s="7"/>
      <c r="CV6" s="7"/>
      <c r="CW6" s="7"/>
      <c r="CX6" s="7"/>
      <c r="CY6" s="7"/>
      <c r="CZ6" s="7"/>
      <c r="DA6" s="7"/>
      <c r="DB6" s="7"/>
      <c r="DC6" s="7">
        <v>27606870</v>
      </c>
      <c r="DD6" s="7"/>
      <c r="DE6" s="7"/>
      <c r="DF6" s="7">
        <v>50850409</v>
      </c>
      <c r="DG6" s="7"/>
      <c r="DH6" s="7"/>
      <c r="DI6" s="7"/>
      <c r="DJ6" s="7"/>
      <c r="DK6" s="7"/>
      <c r="DL6" s="7"/>
      <c r="DM6" s="7"/>
      <c r="DN6" s="7"/>
      <c r="DO6" s="7"/>
      <c r="DP6" s="7">
        <v>2114866</v>
      </c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>
        <v>1047275</v>
      </c>
      <c r="EK6" s="7"/>
      <c r="EL6" s="7"/>
      <c r="EM6" s="7"/>
      <c r="EN6" s="7"/>
      <c r="EO6" s="7">
        <v>2114795</v>
      </c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>
        <v>2798116</v>
      </c>
      <c r="GD6" s="7"/>
      <c r="GE6" s="7"/>
      <c r="GF6" s="7"/>
      <c r="GG6" s="7"/>
      <c r="GH6" s="7"/>
      <c r="GI6" s="7"/>
      <c r="GJ6" s="7"/>
      <c r="GK6" s="7"/>
      <c r="GL6" s="7">
        <v>1581438</v>
      </c>
      <c r="GM6" s="7">
        <v>50196305</v>
      </c>
      <c r="GN6" s="7"/>
      <c r="GO6" s="7"/>
      <c r="GP6" s="7"/>
      <c r="GQ6" s="7"/>
      <c r="GR6" s="7"/>
      <c r="GS6" s="7"/>
      <c r="GT6" s="7"/>
      <c r="GU6" s="7">
        <v>10039301</v>
      </c>
      <c r="GV6" s="7"/>
      <c r="GW6" s="7"/>
      <c r="GX6" s="7"/>
      <c r="GY6" s="7"/>
      <c r="GZ6" s="7"/>
      <c r="HA6" s="7"/>
      <c r="HB6" s="7"/>
      <c r="HC6" s="7"/>
      <c r="HD6" s="7">
        <v>1291803</v>
      </c>
      <c r="HE6" s="7"/>
      <c r="HF6" s="7"/>
      <c r="HG6" s="7">
        <v>1450253</v>
      </c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>
        <v>3701125</v>
      </c>
      <c r="HY6" s="7"/>
      <c r="HZ6" s="7"/>
      <c r="IA6" s="7"/>
      <c r="IB6" s="7">
        <v>1749381</v>
      </c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>
        <v>4472816</v>
      </c>
      <c r="IS6" s="7"/>
      <c r="IT6" s="7"/>
      <c r="IU6" s="7"/>
      <c r="IV6" s="7">
        <v>1365799</v>
      </c>
      <c r="IW6" s="7"/>
      <c r="IX6" s="7"/>
      <c r="IY6" s="7">
        <v>3474030</v>
      </c>
      <c r="IZ6" s="7"/>
      <c r="JA6" s="7"/>
      <c r="JB6" s="7">
        <v>2209025</v>
      </c>
      <c r="JC6" s="7"/>
      <c r="JD6" s="7"/>
      <c r="JE6" s="7"/>
      <c r="JF6" s="7">
        <v>1013511</v>
      </c>
      <c r="JG6" s="7"/>
      <c r="JH6" s="7"/>
      <c r="JI6" s="7">
        <v>8708004</v>
      </c>
      <c r="JJ6" s="7"/>
      <c r="JK6" s="7"/>
      <c r="JL6" s="7"/>
      <c r="JM6" s="7"/>
      <c r="JN6" s="7"/>
      <c r="JO6" s="7">
        <v>5624773</v>
      </c>
      <c r="JP6" s="7"/>
      <c r="JQ6" s="7">
        <v>5396693</v>
      </c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>
        <v>105022285</v>
      </c>
      <c r="KE6" s="7"/>
      <c r="KF6" s="7"/>
      <c r="KG6" s="7"/>
      <c r="KH6" s="7"/>
      <c r="KI6" s="7"/>
      <c r="KJ6" s="7"/>
      <c r="KK6" s="7"/>
      <c r="KL6" s="7"/>
      <c r="KM6" s="7"/>
      <c r="KN6" s="7"/>
      <c r="KO6" s="7">
        <v>21033370</v>
      </c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>
        <v>1737139</v>
      </c>
      <c r="LB6" s="7"/>
      <c r="LC6" s="7"/>
      <c r="LD6" s="7"/>
      <c r="LE6" s="7">
        <v>1923604</v>
      </c>
      <c r="LF6" s="7"/>
      <c r="LG6" s="7"/>
      <c r="LH6" s="7">
        <v>1094583</v>
      </c>
      <c r="LI6" s="7"/>
      <c r="LJ6" s="7"/>
      <c r="LK6" s="7">
        <v>1131700</v>
      </c>
      <c r="LL6" s="7"/>
      <c r="LM6" s="7">
        <v>1661490</v>
      </c>
      <c r="LN6" s="7"/>
      <c r="LO6" s="7"/>
      <c r="LP6" s="7"/>
      <c r="LQ6" s="7"/>
      <c r="LR6" s="7"/>
      <c r="LS6" s="7">
        <v>2702807</v>
      </c>
      <c r="LT6" s="7"/>
      <c r="LU6" s="7"/>
      <c r="LV6" s="7"/>
      <c r="LW6" s="7">
        <v>1091391</v>
      </c>
      <c r="LX6" s="7"/>
      <c r="LY6" s="7"/>
      <c r="LZ6" s="7"/>
      <c r="MA6" s="7">
        <v>1022831</v>
      </c>
      <c r="MB6" s="7"/>
      <c r="MC6" s="7">
        <v>3356154</v>
      </c>
      <c r="MD6" s="7"/>
      <c r="ME6" s="7">
        <v>5142710</v>
      </c>
      <c r="MF6" s="7"/>
      <c r="MG6" s="7"/>
      <c r="MH6" s="7">
        <v>1525879</v>
      </c>
      <c r="MI6" s="7"/>
      <c r="MJ6" s="7"/>
      <c r="MK6" s="7"/>
      <c r="ML6" s="7"/>
      <c r="MM6" s="7">
        <v>4719482</v>
      </c>
      <c r="MN6" s="7"/>
      <c r="MO6" s="7"/>
      <c r="MP6" s="7"/>
      <c r="MQ6" s="7"/>
      <c r="MR6" s="7"/>
      <c r="MS6" s="7"/>
      <c r="MT6" s="7"/>
      <c r="MU6" s="7"/>
      <c r="MV6" s="7"/>
      <c r="MW6" s="7">
        <v>2235392</v>
      </c>
      <c r="MX6" s="7"/>
      <c r="MY6" s="7"/>
      <c r="MZ6" s="7"/>
      <c r="NA6" s="7">
        <v>1664378</v>
      </c>
      <c r="NB6" s="7"/>
      <c r="NC6" s="7"/>
      <c r="ND6" s="7"/>
      <c r="NE6" s="7"/>
      <c r="NF6" s="7"/>
      <c r="NG6" s="7"/>
      <c r="NH6" s="7"/>
      <c r="NI6" s="7">
        <v>3925572</v>
      </c>
      <c r="NJ6" s="7"/>
      <c r="NK6" s="7">
        <v>1660695</v>
      </c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>
        <v>1281918</v>
      </c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>
        <v>1294721</v>
      </c>
      <c r="OL6" s="7">
        <v>2649072</v>
      </c>
      <c r="OM6" s="7"/>
      <c r="ON6" s="7"/>
      <c r="OO6" s="7">
        <v>1017971</v>
      </c>
      <c r="OP6" s="7"/>
      <c r="OQ6" s="7">
        <v>52221337</v>
      </c>
      <c r="OR6" s="7"/>
      <c r="OS6" s="7"/>
      <c r="OT6" s="7"/>
      <c r="OU6" s="7">
        <v>2654118</v>
      </c>
      <c r="OV6" s="7"/>
      <c r="OW6" s="7"/>
      <c r="OX6" s="7">
        <v>1744020</v>
      </c>
      <c r="OY6" s="7"/>
      <c r="OZ6" s="7">
        <v>6371028</v>
      </c>
      <c r="PA6" s="7">
        <v>17342162</v>
      </c>
      <c r="PB6" s="7"/>
      <c r="PC6" s="7">
        <v>145233841</v>
      </c>
      <c r="PD6" s="7"/>
      <c r="PE6" s="7"/>
      <c r="PF6" s="7"/>
      <c r="PG6" s="7">
        <v>3196754</v>
      </c>
      <c r="PH6" s="7"/>
      <c r="PI6" s="7">
        <v>2530587</v>
      </c>
      <c r="PJ6" s="7"/>
      <c r="PK6" s="7"/>
      <c r="PL6" s="7">
        <v>1858092</v>
      </c>
      <c r="PM6" s="7"/>
      <c r="PN6" s="7"/>
      <c r="PO6" s="7">
        <v>2035845</v>
      </c>
      <c r="PP6" s="7"/>
      <c r="PQ6" s="7">
        <v>1583498</v>
      </c>
      <c r="PR6" s="7"/>
      <c r="PS6" s="7"/>
      <c r="PT6" s="7"/>
      <c r="PU6" s="7">
        <v>11278032</v>
      </c>
      <c r="PV6" s="7"/>
      <c r="PW6" s="7"/>
      <c r="PX6" s="7"/>
      <c r="PY6" s="7">
        <v>2004903</v>
      </c>
      <c r="PZ6" s="7"/>
      <c r="QA6" s="7"/>
      <c r="QB6" s="7"/>
      <c r="QC6" s="7">
        <v>2877171</v>
      </c>
      <c r="QD6" s="7"/>
      <c r="QE6" s="7"/>
      <c r="QF6" s="7"/>
      <c r="QG6" s="7"/>
      <c r="QH6" s="7"/>
      <c r="QI6" s="7">
        <v>1380331</v>
      </c>
      <c r="QJ6" s="7"/>
      <c r="QK6" s="7"/>
      <c r="QL6" s="7"/>
      <c r="QM6" s="7">
        <v>2028152</v>
      </c>
      <c r="QN6" s="7"/>
      <c r="QO6" s="7">
        <v>1030887</v>
      </c>
      <c r="QP6" s="7"/>
      <c r="QQ6" s="7"/>
      <c r="QR6" s="7"/>
      <c r="QS6" s="7"/>
      <c r="QT6" s="7"/>
      <c r="QU6" s="7">
        <v>1317280</v>
      </c>
      <c r="QV6" s="7"/>
      <c r="QW6" s="7"/>
      <c r="QX6" s="7"/>
      <c r="QY6" s="7"/>
      <c r="QZ6" s="7"/>
      <c r="RA6" s="7"/>
      <c r="RB6" s="7">
        <v>1117548</v>
      </c>
      <c r="RC6" s="7"/>
      <c r="RD6" s="7"/>
      <c r="RE6" s="7"/>
      <c r="RF6" s="7"/>
      <c r="RG6" s="7"/>
      <c r="RH6" s="7"/>
      <c r="RI6" s="7"/>
      <c r="RJ6" s="7">
        <v>1447665</v>
      </c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>
        <v>7854176</v>
      </c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>
        <v>2414713</v>
      </c>
      <c r="SY6" s="7"/>
      <c r="SZ6" s="7"/>
      <c r="TA6" s="7">
        <v>10461171</v>
      </c>
      <c r="TB6" s="7"/>
      <c r="TC6" s="7"/>
      <c r="TD6" s="7"/>
      <c r="TE6" s="7"/>
      <c r="TF6" s="7"/>
      <c r="TG6" s="7">
        <v>5452221</v>
      </c>
      <c r="TH6" s="7"/>
      <c r="TI6" s="7"/>
      <c r="TJ6" s="7"/>
      <c r="TK6" s="7">
        <v>1035289</v>
      </c>
      <c r="TL6" s="7"/>
      <c r="TM6" s="7">
        <v>2551254</v>
      </c>
      <c r="TN6" s="7"/>
      <c r="TO6" s="7">
        <v>716735424</v>
      </c>
    </row>
    <row r="7" spans="1:535" x14ac:dyDescent="0.25">
      <c r="A7" s="5" t="s">
        <v>1412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>
        <v>9890864</v>
      </c>
      <c r="Q7" s="7"/>
      <c r="R7" s="7"/>
      <c r="S7" s="7"/>
      <c r="T7" s="7"/>
      <c r="U7" s="7"/>
      <c r="V7" s="7"/>
      <c r="W7" s="7"/>
      <c r="X7" s="7"/>
      <c r="Y7" s="7">
        <v>32809442</v>
      </c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>
        <v>2736685</v>
      </c>
      <c r="AO7" s="7"/>
      <c r="AP7" s="7"/>
      <c r="AQ7" s="7"/>
      <c r="AR7" s="7"/>
      <c r="AS7" s="7">
        <v>1253389</v>
      </c>
      <c r="AT7" s="7"/>
      <c r="AU7" s="7"/>
      <c r="AV7" s="7"/>
      <c r="AW7" s="7">
        <v>1788781</v>
      </c>
      <c r="AX7" s="7"/>
      <c r="AY7" s="7"/>
      <c r="AZ7" s="7"/>
      <c r="BA7" s="7">
        <v>1325874</v>
      </c>
      <c r="BB7" s="7"/>
      <c r="BC7" s="7"/>
      <c r="BD7" s="7"/>
      <c r="BE7" s="7"/>
      <c r="BF7" s="7">
        <v>7610182</v>
      </c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>
        <v>2453426</v>
      </c>
      <c r="BS7" s="7"/>
      <c r="BT7" s="7"/>
      <c r="BU7" s="7"/>
      <c r="BV7" s="7"/>
      <c r="BW7" s="7"/>
      <c r="BX7" s="7">
        <v>4241410</v>
      </c>
      <c r="BY7" s="7"/>
      <c r="BZ7" s="7"/>
      <c r="CA7" s="7"/>
      <c r="CB7" s="7"/>
      <c r="CC7" s="7"/>
      <c r="CD7" s="7"/>
      <c r="CE7" s="7"/>
      <c r="CF7" s="7"/>
      <c r="CG7" s="7"/>
      <c r="CH7" s="7">
        <v>1834488</v>
      </c>
      <c r="CI7" s="7"/>
      <c r="CJ7" s="7"/>
      <c r="CK7" s="7"/>
      <c r="CL7" s="7"/>
      <c r="CM7" s="7"/>
      <c r="CN7" s="7"/>
      <c r="CO7" s="7"/>
      <c r="CP7" s="7"/>
      <c r="CQ7" s="7"/>
      <c r="CR7" s="7">
        <v>3925931</v>
      </c>
      <c r="CS7" s="7"/>
      <c r="CT7" s="7"/>
      <c r="CU7" s="7">
        <v>3592990</v>
      </c>
      <c r="CV7" s="7"/>
      <c r="CW7" s="7"/>
      <c r="CX7" s="7"/>
      <c r="CY7" s="7"/>
      <c r="CZ7" s="7">
        <v>1017883</v>
      </c>
      <c r="DA7" s="7"/>
      <c r="DB7" s="7"/>
      <c r="DC7" s="7">
        <v>27058358</v>
      </c>
      <c r="DD7" s="7"/>
      <c r="DE7" s="7"/>
      <c r="DF7" s="7"/>
      <c r="DG7" s="7">
        <v>6318712</v>
      </c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>
        <v>3383621</v>
      </c>
      <c r="EI7" s="7"/>
      <c r="EJ7" s="7"/>
      <c r="EK7" s="7"/>
      <c r="EL7" s="7"/>
      <c r="EM7" s="7"/>
      <c r="EN7" s="7"/>
      <c r="EO7" s="7"/>
      <c r="EP7" s="7">
        <v>2578771</v>
      </c>
      <c r="EQ7" s="7"/>
      <c r="ER7" s="7"/>
      <c r="ES7" s="7"/>
      <c r="ET7" s="7"/>
      <c r="EU7" s="7">
        <v>2174272</v>
      </c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>
        <v>9077035</v>
      </c>
      <c r="GL7" s="7"/>
      <c r="GM7" s="7">
        <v>49236458</v>
      </c>
      <c r="GN7" s="7"/>
      <c r="GO7" s="7"/>
      <c r="GP7" s="7"/>
      <c r="GQ7" s="7"/>
      <c r="GR7" s="7"/>
      <c r="GS7" s="7"/>
      <c r="GT7" s="7"/>
      <c r="GU7" s="7">
        <v>11447029</v>
      </c>
      <c r="GV7" s="7"/>
      <c r="GW7" s="7"/>
      <c r="GX7" s="7"/>
      <c r="GY7" s="7"/>
      <c r="GZ7" s="7"/>
      <c r="HA7" s="7"/>
      <c r="HB7" s="7"/>
      <c r="HC7" s="7"/>
      <c r="HD7" s="7">
        <v>1134582</v>
      </c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>
        <v>6587276</v>
      </c>
      <c r="HY7" s="7"/>
      <c r="HZ7" s="7"/>
      <c r="IA7" s="7"/>
      <c r="IB7" s="7"/>
      <c r="IC7" s="7"/>
      <c r="ID7" s="7"/>
      <c r="IE7" s="7"/>
      <c r="IF7" s="7"/>
      <c r="IG7" s="7"/>
      <c r="IH7" s="7">
        <v>1049763</v>
      </c>
      <c r="II7" s="7"/>
      <c r="IJ7" s="7"/>
      <c r="IK7" s="7"/>
      <c r="IL7" s="7"/>
      <c r="IM7" s="7"/>
      <c r="IN7" s="7"/>
      <c r="IO7" s="7"/>
      <c r="IP7" s="7"/>
      <c r="IQ7" s="7"/>
      <c r="IR7" s="7">
        <v>2377848</v>
      </c>
      <c r="IS7" s="7"/>
      <c r="IT7" s="7"/>
      <c r="IU7" s="7"/>
      <c r="IV7" s="7"/>
      <c r="IW7" s="7">
        <v>1053088</v>
      </c>
      <c r="IX7" s="7"/>
      <c r="IY7" s="7"/>
      <c r="IZ7" s="7"/>
      <c r="JA7" s="7"/>
      <c r="JB7" s="7"/>
      <c r="JC7" s="7">
        <v>1601280</v>
      </c>
      <c r="JD7" s="7"/>
      <c r="JE7" s="7"/>
      <c r="JF7" s="7">
        <v>1764861</v>
      </c>
      <c r="JG7" s="7"/>
      <c r="JH7" s="7"/>
      <c r="JI7" s="7">
        <v>13241098</v>
      </c>
      <c r="JJ7" s="7"/>
      <c r="JK7" s="7"/>
      <c r="JL7" s="7"/>
      <c r="JM7" s="7"/>
      <c r="JN7" s="7"/>
      <c r="JO7" s="7">
        <v>4097699</v>
      </c>
      <c r="JP7" s="7"/>
      <c r="JQ7" s="7"/>
      <c r="JR7" s="7">
        <v>7621459</v>
      </c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>
        <v>134746235</v>
      </c>
      <c r="KF7" s="7"/>
      <c r="KG7" s="7"/>
      <c r="KH7" s="7"/>
      <c r="KI7" s="7"/>
      <c r="KJ7" s="7"/>
      <c r="KK7" s="7"/>
      <c r="KL7" s="7"/>
      <c r="KM7" s="7"/>
      <c r="KN7" s="7"/>
      <c r="KO7" s="7">
        <v>23228494</v>
      </c>
      <c r="KP7" s="7"/>
      <c r="KQ7" s="7"/>
      <c r="KR7" s="7"/>
      <c r="KS7" s="7"/>
      <c r="KT7" s="7"/>
      <c r="KU7" s="7"/>
      <c r="KV7" s="7"/>
      <c r="KW7" s="7">
        <v>2357625</v>
      </c>
      <c r="KX7" s="7"/>
      <c r="KY7" s="7"/>
      <c r="KZ7" s="7">
        <v>1527475</v>
      </c>
      <c r="LA7" s="7"/>
      <c r="LB7" s="7"/>
      <c r="LC7" s="7"/>
      <c r="LD7" s="7"/>
      <c r="LE7" s="7">
        <v>1630707</v>
      </c>
      <c r="LF7" s="7"/>
      <c r="LG7" s="7"/>
      <c r="LH7" s="7">
        <v>1500673</v>
      </c>
      <c r="LI7" s="7"/>
      <c r="LJ7" s="7"/>
      <c r="LK7" s="7"/>
      <c r="LL7" s="7"/>
      <c r="LM7" s="7"/>
      <c r="LN7" s="7">
        <v>2750672</v>
      </c>
      <c r="LO7" s="7"/>
      <c r="LP7" s="7"/>
      <c r="LQ7" s="7"/>
      <c r="LR7" s="7"/>
      <c r="LS7" s="7">
        <v>3140498</v>
      </c>
      <c r="LT7" s="7"/>
      <c r="LU7" s="7"/>
      <c r="LV7" s="7"/>
      <c r="LW7" s="7"/>
      <c r="LX7" s="7"/>
      <c r="LY7" s="7"/>
      <c r="LZ7" s="7"/>
      <c r="MA7" s="7">
        <v>3061842</v>
      </c>
      <c r="MB7" s="7"/>
      <c r="MC7" s="7">
        <v>2524943</v>
      </c>
      <c r="MD7" s="7"/>
      <c r="ME7" s="7"/>
      <c r="MF7" s="7">
        <v>4629208</v>
      </c>
      <c r="MG7" s="7"/>
      <c r="MH7" s="7"/>
      <c r="MI7" s="7"/>
      <c r="MJ7" s="7"/>
      <c r="MK7" s="7"/>
      <c r="ML7" s="7"/>
      <c r="MM7" s="7">
        <v>7170781</v>
      </c>
      <c r="MN7" s="7"/>
      <c r="MO7" s="7"/>
      <c r="MP7" s="7"/>
      <c r="MQ7" s="7"/>
      <c r="MR7" s="7"/>
      <c r="MS7" s="7"/>
      <c r="MT7" s="7"/>
      <c r="MU7" s="7"/>
      <c r="MV7" s="7"/>
      <c r="MW7" s="7">
        <v>2417664</v>
      </c>
      <c r="MX7" s="7"/>
      <c r="MY7" s="7">
        <v>1692853</v>
      </c>
      <c r="MZ7" s="7"/>
      <c r="NA7" s="7">
        <v>2089561</v>
      </c>
      <c r="NB7" s="7"/>
      <c r="NC7" s="7"/>
      <c r="ND7" s="7"/>
      <c r="NE7" s="7">
        <v>1856842</v>
      </c>
      <c r="NF7" s="7"/>
      <c r="NG7" s="7"/>
      <c r="NH7" s="7"/>
      <c r="NI7" s="7">
        <v>4685500</v>
      </c>
      <c r="NJ7" s="7">
        <v>3903683</v>
      </c>
      <c r="NK7" s="7"/>
      <c r="NL7" s="7"/>
      <c r="NM7" s="7"/>
      <c r="NN7" s="7">
        <v>1458422</v>
      </c>
      <c r="NO7" s="7"/>
      <c r="NP7" s="7"/>
      <c r="NQ7" s="7"/>
      <c r="NR7" s="7"/>
      <c r="NS7" s="7"/>
      <c r="NT7" s="7"/>
      <c r="NU7" s="7">
        <v>1552544</v>
      </c>
      <c r="NV7" s="7"/>
      <c r="NW7" s="7"/>
      <c r="NX7" s="7"/>
      <c r="NY7" s="7">
        <v>1548889</v>
      </c>
      <c r="NZ7" s="7"/>
      <c r="OA7" s="7"/>
      <c r="OB7" s="7"/>
      <c r="OC7" s="7">
        <v>1631401</v>
      </c>
      <c r="OD7" s="7"/>
      <c r="OE7" s="7"/>
      <c r="OF7" s="7"/>
      <c r="OG7" s="7"/>
      <c r="OH7" s="7"/>
      <c r="OI7" s="7"/>
      <c r="OJ7" s="7">
        <v>1292942</v>
      </c>
      <c r="OK7" s="7">
        <v>1341263</v>
      </c>
      <c r="OL7" s="7">
        <v>2673056</v>
      </c>
      <c r="OM7" s="7"/>
      <c r="ON7" s="7">
        <v>1237290</v>
      </c>
      <c r="OO7" s="7"/>
      <c r="OP7" s="7"/>
      <c r="OQ7" s="7">
        <v>13993050</v>
      </c>
      <c r="OR7" s="7"/>
      <c r="OS7" s="7"/>
      <c r="OT7" s="7"/>
      <c r="OU7" s="7"/>
      <c r="OV7" s="7"/>
      <c r="OW7" s="7">
        <v>1632560</v>
      </c>
      <c r="OX7" s="7"/>
      <c r="OY7" s="7"/>
      <c r="OZ7" s="7">
        <v>4309745</v>
      </c>
      <c r="PA7" s="7">
        <v>6100635</v>
      </c>
      <c r="PB7" s="7"/>
      <c r="PC7" s="7">
        <v>38158399</v>
      </c>
      <c r="PD7" s="7">
        <v>1300256</v>
      </c>
      <c r="PE7" s="7"/>
      <c r="PF7" s="7"/>
      <c r="PG7" s="7">
        <v>3581651</v>
      </c>
      <c r="PH7" s="7"/>
      <c r="PI7" s="7"/>
      <c r="PJ7" s="7">
        <v>1657537</v>
      </c>
      <c r="PK7" s="7"/>
      <c r="PL7" s="7"/>
      <c r="PM7" s="7">
        <v>2162854</v>
      </c>
      <c r="PN7" s="7"/>
      <c r="PO7" s="7">
        <v>2313906</v>
      </c>
      <c r="PP7" s="7">
        <v>1552898</v>
      </c>
      <c r="PQ7" s="7"/>
      <c r="PR7" s="7">
        <v>1220753</v>
      </c>
      <c r="PS7" s="7"/>
      <c r="PT7" s="7"/>
      <c r="PU7" s="7">
        <v>5350080</v>
      </c>
      <c r="PV7" s="7"/>
      <c r="PW7" s="7">
        <v>2313081</v>
      </c>
      <c r="PX7" s="7"/>
      <c r="PY7" s="7"/>
      <c r="PZ7" s="7"/>
      <c r="QA7" s="7"/>
      <c r="QB7" s="7"/>
      <c r="QC7" s="7"/>
      <c r="QD7" s="7"/>
      <c r="QE7" s="7"/>
      <c r="QF7" s="7"/>
      <c r="QG7" s="7">
        <v>2379034</v>
      </c>
      <c r="QH7" s="7"/>
      <c r="QI7" s="7"/>
      <c r="QJ7" s="7"/>
      <c r="QK7" s="7"/>
      <c r="QL7" s="7"/>
      <c r="QM7" s="7">
        <v>1093303</v>
      </c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>
        <v>4730593</v>
      </c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>
        <v>1555722</v>
      </c>
      <c r="SY7" s="7"/>
      <c r="SZ7" s="7">
        <v>1034438</v>
      </c>
      <c r="TA7" s="7">
        <v>22415987</v>
      </c>
      <c r="TB7" s="7"/>
      <c r="TC7" s="7"/>
      <c r="TD7" s="7">
        <v>1228987</v>
      </c>
      <c r="TE7" s="7"/>
      <c r="TF7" s="7"/>
      <c r="TG7" s="7"/>
      <c r="TH7" s="7"/>
      <c r="TI7" s="7"/>
      <c r="TJ7" s="7"/>
      <c r="TK7" s="7"/>
      <c r="TL7" s="7"/>
      <c r="TM7" s="7"/>
      <c r="TN7" s="7"/>
      <c r="TO7" s="7">
        <v>564021087</v>
      </c>
    </row>
    <row r="8" spans="1:535" x14ac:dyDescent="0.25">
      <c r="A8" s="5" t="s">
        <v>1413</v>
      </c>
      <c r="B8" s="7"/>
      <c r="C8" s="7"/>
      <c r="D8" s="7">
        <v>1344222</v>
      </c>
      <c r="E8" s="7"/>
      <c r="F8" s="7"/>
      <c r="G8" s="7"/>
      <c r="H8" s="7"/>
      <c r="I8" s="7"/>
      <c r="J8" s="7"/>
      <c r="K8" s="7"/>
      <c r="L8" s="7">
        <v>1176304</v>
      </c>
      <c r="M8" s="7"/>
      <c r="N8" s="7"/>
      <c r="O8" s="7"/>
      <c r="P8" s="7">
        <v>22599620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>
        <v>2916285</v>
      </c>
      <c r="AX8" s="7"/>
      <c r="AY8" s="7"/>
      <c r="AZ8" s="7"/>
      <c r="BA8" s="7">
        <v>1307013</v>
      </c>
      <c r="BB8" s="7"/>
      <c r="BC8" s="7"/>
      <c r="BD8" s="7">
        <v>1802467</v>
      </c>
      <c r="BE8" s="7"/>
      <c r="BF8" s="7">
        <v>6664131</v>
      </c>
      <c r="BG8" s="7"/>
      <c r="BH8" s="7"/>
      <c r="BI8" s="7"/>
      <c r="BJ8" s="7">
        <v>1077181</v>
      </c>
      <c r="BK8" s="7"/>
      <c r="BL8" s="7"/>
      <c r="BM8" s="7">
        <v>2154215</v>
      </c>
      <c r="BN8" s="7"/>
      <c r="BO8" s="7"/>
      <c r="BP8" s="7">
        <v>1156677</v>
      </c>
      <c r="BQ8" s="7"/>
      <c r="BR8" s="7"/>
      <c r="BS8" s="7"/>
      <c r="BT8" s="7">
        <v>2277503</v>
      </c>
      <c r="BU8" s="7"/>
      <c r="BV8" s="7"/>
      <c r="BW8" s="7"/>
      <c r="BX8" s="7">
        <v>4127842</v>
      </c>
      <c r="BY8" s="7"/>
      <c r="BZ8" s="7"/>
      <c r="CA8" s="7"/>
      <c r="CB8" s="7"/>
      <c r="CC8" s="7"/>
      <c r="CD8" s="7"/>
      <c r="CE8" s="7">
        <v>3923370</v>
      </c>
      <c r="CF8" s="7"/>
      <c r="CG8" s="7"/>
      <c r="CH8" s="7">
        <v>2380356</v>
      </c>
      <c r="CI8" s="7"/>
      <c r="CJ8" s="7"/>
      <c r="CK8" s="7"/>
      <c r="CL8" s="7"/>
      <c r="CM8" s="7"/>
      <c r="CN8" s="7"/>
      <c r="CO8" s="7"/>
      <c r="CP8" s="7"/>
      <c r="CQ8" s="7"/>
      <c r="CR8" s="7">
        <v>1923011</v>
      </c>
      <c r="CS8" s="7"/>
      <c r="CT8" s="7"/>
      <c r="CU8" s="7">
        <v>9307965</v>
      </c>
      <c r="CV8" s="7"/>
      <c r="CW8" s="7"/>
      <c r="CX8" s="7"/>
      <c r="CY8" s="7"/>
      <c r="CZ8" s="7"/>
      <c r="DA8" s="7">
        <v>2254882</v>
      </c>
      <c r="DB8" s="7"/>
      <c r="DC8" s="7"/>
      <c r="DD8" s="7">
        <v>23680082</v>
      </c>
      <c r="DE8" s="7"/>
      <c r="DF8" s="7"/>
      <c r="DG8" s="7">
        <v>1683552</v>
      </c>
      <c r="DH8" s="7"/>
      <c r="DI8" s="7"/>
      <c r="DJ8" s="7"/>
      <c r="DK8" s="7"/>
      <c r="DL8" s="7"/>
      <c r="DM8" s="7"/>
      <c r="DN8" s="7">
        <v>6923290</v>
      </c>
      <c r="DO8" s="7"/>
      <c r="DP8" s="7">
        <v>6351326</v>
      </c>
      <c r="DQ8" s="7"/>
      <c r="DR8" s="7">
        <v>1776590</v>
      </c>
      <c r="DS8" s="7"/>
      <c r="DT8" s="7"/>
      <c r="DU8" s="7"/>
      <c r="DV8" s="7">
        <v>3407874</v>
      </c>
      <c r="DW8" s="7"/>
      <c r="DX8" s="7"/>
      <c r="DY8" s="7"/>
      <c r="DZ8" s="7"/>
      <c r="EA8" s="7">
        <v>1070583</v>
      </c>
      <c r="EB8" s="7"/>
      <c r="EC8" s="7"/>
      <c r="ED8" s="7"/>
      <c r="EE8" s="7"/>
      <c r="EF8" s="7"/>
      <c r="EG8" s="7"/>
      <c r="EH8" s="7"/>
      <c r="EI8" s="7"/>
      <c r="EJ8" s="7"/>
      <c r="EK8" s="7">
        <v>1040827</v>
      </c>
      <c r="EL8" s="7"/>
      <c r="EM8" s="7"/>
      <c r="EN8" s="7">
        <v>4772498</v>
      </c>
      <c r="EO8" s="7"/>
      <c r="EP8" s="7"/>
      <c r="EQ8" s="7"/>
      <c r="ER8" s="7"/>
      <c r="ES8" s="7"/>
      <c r="ET8" s="7"/>
      <c r="EU8" s="7">
        <v>1077474</v>
      </c>
      <c r="EV8" s="7"/>
      <c r="EW8" s="7"/>
      <c r="EX8" s="7"/>
      <c r="EY8" s="7">
        <v>2621285</v>
      </c>
      <c r="EZ8" s="7"/>
      <c r="FA8" s="7"/>
      <c r="FB8" s="7"/>
      <c r="FC8" s="7"/>
      <c r="FD8" s="7">
        <v>2596578</v>
      </c>
      <c r="FE8" s="7"/>
      <c r="FF8" s="7"/>
      <c r="FG8" s="7">
        <v>1225822</v>
      </c>
      <c r="FH8" s="7"/>
      <c r="FI8" s="7">
        <v>2256467</v>
      </c>
      <c r="FJ8" s="7"/>
      <c r="FK8" s="7"/>
      <c r="FL8" s="7"/>
      <c r="FM8" s="7"/>
      <c r="FN8" s="7"/>
      <c r="FO8" s="7"/>
      <c r="FP8" s="7"/>
      <c r="FQ8" s="7">
        <v>1048601</v>
      </c>
      <c r="FR8" s="7"/>
      <c r="FS8" s="7">
        <v>2723802</v>
      </c>
      <c r="FT8" s="7">
        <v>2133784</v>
      </c>
      <c r="FU8" s="7"/>
      <c r="FV8" s="7"/>
      <c r="FW8" s="7"/>
      <c r="FX8" s="7"/>
      <c r="FY8" s="7"/>
      <c r="FZ8" s="7"/>
      <c r="GA8" s="7">
        <v>3023683</v>
      </c>
      <c r="GB8" s="7"/>
      <c r="GC8" s="7"/>
      <c r="GD8" s="7"/>
      <c r="GE8" s="7"/>
      <c r="GF8" s="7">
        <v>2138404</v>
      </c>
      <c r="GG8" s="7"/>
      <c r="GH8" s="7">
        <v>2528347</v>
      </c>
      <c r="GI8" s="7"/>
      <c r="GJ8" s="7"/>
      <c r="GK8" s="7">
        <v>3622133</v>
      </c>
      <c r="GL8" s="7"/>
      <c r="GM8" s="7">
        <v>45395300</v>
      </c>
      <c r="GN8" s="7"/>
      <c r="GO8" s="7"/>
      <c r="GP8" s="7"/>
      <c r="GQ8" s="7"/>
      <c r="GR8" s="7"/>
      <c r="GS8" s="7">
        <v>1341741</v>
      </c>
      <c r="GT8" s="7"/>
      <c r="GU8" s="7">
        <v>3235939</v>
      </c>
      <c r="GV8" s="7"/>
      <c r="GW8" s="7"/>
      <c r="GX8" s="7"/>
      <c r="GY8" s="7"/>
      <c r="GZ8" s="7"/>
      <c r="HA8" s="7"/>
      <c r="HB8" s="7">
        <v>1849123</v>
      </c>
      <c r="HC8" s="7"/>
      <c r="HD8" s="7"/>
      <c r="HE8" s="7">
        <v>1796526</v>
      </c>
      <c r="HF8" s="7"/>
      <c r="HG8" s="7"/>
      <c r="HH8" s="7"/>
      <c r="HI8" s="7">
        <v>1045817</v>
      </c>
      <c r="HJ8" s="7"/>
      <c r="HK8" s="7">
        <v>1101206</v>
      </c>
      <c r="HL8" s="7"/>
      <c r="HM8" s="7"/>
      <c r="HN8" s="7"/>
      <c r="HO8" s="7"/>
      <c r="HP8" s="7"/>
      <c r="HQ8" s="7"/>
      <c r="HR8" s="7"/>
      <c r="HS8" s="7"/>
      <c r="HT8" s="7"/>
      <c r="HU8" s="7">
        <v>1813352</v>
      </c>
      <c r="HV8" s="7"/>
      <c r="HW8" s="7"/>
      <c r="HX8" s="7">
        <v>3727729</v>
      </c>
      <c r="HY8" s="7"/>
      <c r="HZ8" s="7"/>
      <c r="IA8" s="7"/>
      <c r="IB8" s="7">
        <v>1209527</v>
      </c>
      <c r="IC8" s="7"/>
      <c r="ID8" s="7"/>
      <c r="IE8" s="7"/>
      <c r="IF8" s="7"/>
      <c r="IG8" s="7"/>
      <c r="IH8" s="7">
        <v>1390436</v>
      </c>
      <c r="II8" s="7"/>
      <c r="IJ8" s="7"/>
      <c r="IK8" s="7"/>
      <c r="IL8" s="7"/>
      <c r="IM8" s="7"/>
      <c r="IN8" s="7"/>
      <c r="IO8" s="7"/>
      <c r="IP8" s="7"/>
      <c r="IQ8" s="7"/>
      <c r="IR8" s="7"/>
      <c r="IS8" s="7">
        <v>1306438</v>
      </c>
      <c r="IT8" s="7"/>
      <c r="IU8" s="7"/>
      <c r="IV8" s="7">
        <v>2502917</v>
      </c>
      <c r="IW8" s="7">
        <v>2804530</v>
      </c>
      <c r="IX8" s="7"/>
      <c r="IY8" s="7"/>
      <c r="IZ8" s="7"/>
      <c r="JA8" s="7"/>
      <c r="JB8" s="7">
        <v>1612645</v>
      </c>
      <c r="JC8" s="7"/>
      <c r="JD8" s="7"/>
      <c r="JE8" s="7"/>
      <c r="JF8" s="7">
        <v>3333479</v>
      </c>
      <c r="JG8" s="7"/>
      <c r="JH8" s="7"/>
      <c r="JI8" s="7">
        <v>10762449</v>
      </c>
      <c r="JJ8" s="7"/>
      <c r="JK8" s="7">
        <v>1125008</v>
      </c>
      <c r="JL8" s="7"/>
      <c r="JM8" s="7"/>
      <c r="JN8" s="7"/>
      <c r="JO8" s="7">
        <v>5543986</v>
      </c>
      <c r="JP8" s="7"/>
      <c r="JQ8" s="7"/>
      <c r="JR8" s="7">
        <v>2590737</v>
      </c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>
        <v>237312184</v>
      </c>
      <c r="KI8" s="7"/>
      <c r="KJ8" s="7">
        <v>1756701</v>
      </c>
      <c r="KK8" s="7"/>
      <c r="KL8" s="7"/>
      <c r="KM8" s="7"/>
      <c r="KN8" s="7">
        <v>2016912</v>
      </c>
      <c r="KO8" s="7"/>
      <c r="KP8" s="7">
        <v>18632261</v>
      </c>
      <c r="KQ8" s="7"/>
      <c r="KR8" s="7"/>
      <c r="KS8" s="7"/>
      <c r="KT8" s="7"/>
      <c r="KU8" s="7"/>
      <c r="KV8" s="7">
        <v>2292558</v>
      </c>
      <c r="KW8" s="7"/>
      <c r="KX8" s="7"/>
      <c r="KY8" s="7"/>
      <c r="KZ8" s="7"/>
      <c r="LA8" s="7"/>
      <c r="LB8" s="7"/>
      <c r="LC8" s="7">
        <v>1429312</v>
      </c>
      <c r="LD8" s="7"/>
      <c r="LE8" s="7"/>
      <c r="LF8" s="7">
        <v>2561231</v>
      </c>
      <c r="LG8" s="7"/>
      <c r="LH8" s="7"/>
      <c r="LI8" s="7">
        <v>1925594</v>
      </c>
      <c r="LJ8" s="7"/>
      <c r="LK8" s="7"/>
      <c r="LL8" s="7"/>
      <c r="LM8" s="7"/>
      <c r="LN8" s="7"/>
      <c r="LO8" s="7">
        <v>2274533</v>
      </c>
      <c r="LP8" s="7"/>
      <c r="LQ8" s="7"/>
      <c r="LR8" s="7"/>
      <c r="LS8" s="7">
        <v>4030649</v>
      </c>
      <c r="LT8" s="7"/>
      <c r="LU8" s="7"/>
      <c r="LV8" s="7"/>
      <c r="LW8" s="7"/>
      <c r="LX8" s="7"/>
      <c r="LY8" s="7">
        <v>1646309</v>
      </c>
      <c r="LZ8" s="7"/>
      <c r="MA8" s="7">
        <v>1447764</v>
      </c>
      <c r="MB8" s="7"/>
      <c r="MC8" s="7">
        <v>2385219</v>
      </c>
      <c r="MD8" s="7"/>
      <c r="ME8" s="7"/>
      <c r="MF8" s="7">
        <v>4610424</v>
      </c>
      <c r="MG8" s="7"/>
      <c r="MH8" s="7"/>
      <c r="MI8" s="7"/>
      <c r="MJ8" s="7"/>
      <c r="MK8" s="7"/>
      <c r="ML8" s="7"/>
      <c r="MM8" s="7"/>
      <c r="MN8" s="7">
        <v>4740192</v>
      </c>
      <c r="MO8" s="7"/>
      <c r="MP8" s="7"/>
      <c r="MQ8" s="7"/>
      <c r="MR8" s="7">
        <v>2783990</v>
      </c>
      <c r="MS8" s="7"/>
      <c r="MT8" s="7">
        <v>1038370</v>
      </c>
      <c r="MU8" s="7"/>
      <c r="MV8" s="7"/>
      <c r="MW8" s="7">
        <v>3858208</v>
      </c>
      <c r="MX8" s="7"/>
      <c r="MY8" s="7">
        <v>2465074</v>
      </c>
      <c r="MZ8" s="7"/>
      <c r="NA8" s="7">
        <v>1759113</v>
      </c>
      <c r="NB8" s="7"/>
      <c r="NC8" s="7"/>
      <c r="ND8" s="7"/>
      <c r="NE8" s="7">
        <v>1111859</v>
      </c>
      <c r="NF8" s="7"/>
      <c r="NG8" s="7"/>
      <c r="NH8" s="7"/>
      <c r="NI8" s="7">
        <v>6630082</v>
      </c>
      <c r="NJ8" s="7"/>
      <c r="NK8" s="7">
        <v>2517975</v>
      </c>
      <c r="NL8" s="7"/>
      <c r="NM8" s="7">
        <v>1280001</v>
      </c>
      <c r="NN8" s="7"/>
      <c r="NO8" s="7">
        <v>1086846</v>
      </c>
      <c r="NP8" s="7">
        <v>1721989</v>
      </c>
      <c r="NQ8" s="7">
        <v>1463149</v>
      </c>
      <c r="NR8" s="7"/>
      <c r="NS8" s="7"/>
      <c r="NT8" s="7"/>
      <c r="NU8" s="7"/>
      <c r="NV8" s="7"/>
      <c r="NW8" s="7"/>
      <c r="NX8" s="7"/>
      <c r="NY8" s="7">
        <v>2021832</v>
      </c>
      <c r="NZ8" s="7"/>
      <c r="OA8" s="7"/>
      <c r="OB8" s="7"/>
      <c r="OC8" s="7">
        <v>1622146</v>
      </c>
      <c r="OD8" s="7"/>
      <c r="OE8" s="7"/>
      <c r="OF8" s="7"/>
      <c r="OG8" s="7"/>
      <c r="OH8" s="7"/>
      <c r="OI8" s="7">
        <v>1523592</v>
      </c>
      <c r="OJ8" s="7"/>
      <c r="OK8" s="7">
        <v>1779291</v>
      </c>
      <c r="OL8" s="7">
        <v>2639102</v>
      </c>
      <c r="OM8" s="7"/>
      <c r="ON8" s="7">
        <v>1393387</v>
      </c>
      <c r="OO8" s="7"/>
      <c r="OP8" s="7"/>
      <c r="OQ8" s="7">
        <v>25468097</v>
      </c>
      <c r="OR8" s="7"/>
      <c r="OS8" s="7"/>
      <c r="OT8" s="7"/>
      <c r="OU8" s="7"/>
      <c r="OV8" s="7">
        <v>1486855</v>
      </c>
      <c r="OW8" s="7"/>
      <c r="OX8" s="7">
        <v>1264447</v>
      </c>
      <c r="OY8" s="7"/>
      <c r="OZ8" s="7">
        <v>6999299</v>
      </c>
      <c r="PA8" s="7">
        <v>9414112</v>
      </c>
      <c r="PB8" s="7"/>
      <c r="PC8" s="7">
        <v>74545064</v>
      </c>
      <c r="PD8" s="7">
        <v>1329507</v>
      </c>
      <c r="PE8" s="7"/>
      <c r="PF8" s="7">
        <v>1111020</v>
      </c>
      <c r="PG8" s="7">
        <v>1637582</v>
      </c>
      <c r="PH8" s="7"/>
      <c r="PI8" s="7"/>
      <c r="PJ8" s="7">
        <v>1099144</v>
      </c>
      <c r="PK8" s="7">
        <v>1269362</v>
      </c>
      <c r="PL8" s="7"/>
      <c r="PM8" s="7"/>
      <c r="PN8" s="7"/>
      <c r="PO8" s="7"/>
      <c r="PP8" s="7"/>
      <c r="PQ8" s="7">
        <v>1517820</v>
      </c>
      <c r="PR8" s="7"/>
      <c r="PS8" s="7"/>
      <c r="PT8" s="7"/>
      <c r="PU8" s="7">
        <v>12339714</v>
      </c>
      <c r="PV8" s="7"/>
      <c r="PW8" s="7"/>
      <c r="PX8" s="7">
        <v>8030728</v>
      </c>
      <c r="PY8" s="7"/>
      <c r="PZ8" s="7"/>
      <c r="QA8" s="7"/>
      <c r="QB8" s="7"/>
      <c r="QC8" s="7"/>
      <c r="QD8" s="7"/>
      <c r="QE8" s="7"/>
      <c r="QF8" s="7"/>
      <c r="QG8" s="7">
        <v>1021629</v>
      </c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>
        <v>4612693</v>
      </c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>
        <v>1092805</v>
      </c>
      <c r="SY8" s="7"/>
      <c r="SZ8" s="7"/>
      <c r="TA8" s="7"/>
      <c r="TB8" s="7">
        <v>5968957</v>
      </c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>
        <v>729551615</v>
      </c>
    </row>
    <row r="9" spans="1:535" x14ac:dyDescent="0.25">
      <c r="A9" s="5" t="s">
        <v>1414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>
        <v>18493037</v>
      </c>
      <c r="Q9" s="7"/>
      <c r="R9" s="7"/>
      <c r="S9" s="7"/>
      <c r="T9" s="7"/>
      <c r="U9" s="7"/>
      <c r="V9" s="7"/>
      <c r="W9" s="7"/>
      <c r="X9" s="7"/>
      <c r="Y9" s="7">
        <v>8262102</v>
      </c>
      <c r="Z9" s="7"/>
      <c r="AA9" s="7"/>
      <c r="AB9" s="7"/>
      <c r="AC9" s="7"/>
      <c r="AD9" s="7">
        <v>2535878</v>
      </c>
      <c r="AE9" s="7"/>
      <c r="AF9" s="7"/>
      <c r="AG9" s="7"/>
      <c r="AH9" s="7">
        <v>3287827</v>
      </c>
      <c r="AI9" s="7"/>
      <c r="AJ9" s="7"/>
      <c r="AK9" s="7"/>
      <c r="AL9" s="7"/>
      <c r="AM9" s="7"/>
      <c r="AN9" s="7"/>
      <c r="AO9" s="7"/>
      <c r="AP9" s="7"/>
      <c r="AQ9" s="7"/>
      <c r="AR9" s="7"/>
      <c r="AS9" s="7">
        <v>1200393</v>
      </c>
      <c r="AT9" s="7"/>
      <c r="AU9" s="7"/>
      <c r="AV9" s="7"/>
      <c r="AW9" s="7">
        <v>1628644</v>
      </c>
      <c r="AX9" s="7"/>
      <c r="AY9" s="7"/>
      <c r="AZ9" s="7"/>
      <c r="BA9" s="7">
        <v>1621202</v>
      </c>
      <c r="BB9" s="7"/>
      <c r="BC9" s="7">
        <v>1635913</v>
      </c>
      <c r="BD9" s="7"/>
      <c r="BE9" s="7"/>
      <c r="BF9" s="7">
        <v>8843522</v>
      </c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>
        <v>1177254</v>
      </c>
      <c r="BS9" s="7"/>
      <c r="BT9" s="7"/>
      <c r="BU9" s="7"/>
      <c r="BV9" s="7"/>
      <c r="BW9" s="7"/>
      <c r="BX9" s="7"/>
      <c r="BY9" s="7">
        <v>2904427</v>
      </c>
      <c r="BZ9" s="7"/>
      <c r="CA9" s="7"/>
      <c r="CB9" s="7"/>
      <c r="CC9" s="7"/>
      <c r="CD9" s="7">
        <v>1079961</v>
      </c>
      <c r="CE9" s="7"/>
      <c r="CF9" s="7"/>
      <c r="CG9" s="7"/>
      <c r="CH9" s="7"/>
      <c r="CI9" s="7"/>
      <c r="CJ9" s="7"/>
      <c r="CK9" s="7"/>
      <c r="CL9" s="7">
        <v>3065129</v>
      </c>
      <c r="CM9" s="7"/>
      <c r="CN9" s="7"/>
      <c r="CO9" s="7"/>
      <c r="CP9" s="7"/>
      <c r="CQ9" s="7">
        <v>4729599</v>
      </c>
      <c r="CR9" s="7"/>
      <c r="CS9" s="7"/>
      <c r="CT9" s="7">
        <v>3912138</v>
      </c>
      <c r="CU9" s="7"/>
      <c r="CV9" s="7"/>
      <c r="CW9" s="7"/>
      <c r="CX9" s="7"/>
      <c r="CY9" s="7"/>
      <c r="CZ9" s="7"/>
      <c r="DA9" s="7"/>
      <c r="DB9" s="7"/>
      <c r="DC9" s="7">
        <v>31931978</v>
      </c>
      <c r="DD9" s="7"/>
      <c r="DE9" s="7"/>
      <c r="DF9" s="7">
        <v>22384131</v>
      </c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>
        <v>1128606</v>
      </c>
      <c r="EJ9" s="7"/>
      <c r="EK9" s="7"/>
      <c r="EL9" s="7"/>
      <c r="EM9" s="7"/>
      <c r="EN9" s="7"/>
      <c r="EO9" s="7"/>
      <c r="EP9" s="7"/>
      <c r="EQ9" s="7">
        <v>1574514</v>
      </c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>
        <v>1293153</v>
      </c>
      <c r="GM9" s="7">
        <v>68301997</v>
      </c>
      <c r="GN9" s="7"/>
      <c r="GO9" s="7"/>
      <c r="GP9" s="7"/>
      <c r="GQ9" s="7"/>
      <c r="GR9" s="7"/>
      <c r="GS9" s="7"/>
      <c r="GT9" s="7"/>
      <c r="GU9" s="7">
        <v>3134225</v>
      </c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>
        <v>3860551</v>
      </c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>
        <v>5293208</v>
      </c>
      <c r="HY9" s="7"/>
      <c r="HZ9" s="7"/>
      <c r="IA9" s="7"/>
      <c r="IB9" s="7"/>
      <c r="IC9" s="7"/>
      <c r="ID9" s="7"/>
      <c r="IE9" s="7"/>
      <c r="IF9" s="7"/>
      <c r="IG9" s="7">
        <v>1352275</v>
      </c>
      <c r="IH9" s="7"/>
      <c r="II9" s="7"/>
      <c r="IJ9" s="7"/>
      <c r="IK9" s="7"/>
      <c r="IL9" s="7"/>
      <c r="IM9" s="7"/>
      <c r="IN9" s="7"/>
      <c r="IO9" s="7"/>
      <c r="IP9" s="7"/>
      <c r="IQ9" s="7"/>
      <c r="IR9" s="7">
        <v>2600524</v>
      </c>
      <c r="IS9" s="7"/>
      <c r="IT9" s="7"/>
      <c r="IU9" s="7">
        <v>3388912</v>
      </c>
      <c r="IV9" s="7"/>
      <c r="IW9" s="7"/>
      <c r="IX9" s="7"/>
      <c r="IY9" s="7"/>
      <c r="IZ9" s="7"/>
      <c r="JA9" s="7"/>
      <c r="JB9" s="7"/>
      <c r="JC9" s="7">
        <v>1915687</v>
      </c>
      <c r="JD9" s="7"/>
      <c r="JE9" s="7"/>
      <c r="JF9" s="7">
        <v>1150532</v>
      </c>
      <c r="JG9" s="7"/>
      <c r="JH9" s="7"/>
      <c r="JI9" s="7">
        <v>17763123</v>
      </c>
      <c r="JJ9" s="7"/>
      <c r="JK9" s="7"/>
      <c r="JL9" s="7"/>
      <c r="JM9" s="7"/>
      <c r="JN9" s="7"/>
      <c r="JO9" s="7">
        <v>4278531</v>
      </c>
      <c r="JP9" s="7"/>
      <c r="JQ9" s="7"/>
      <c r="JR9" s="7">
        <v>2505366</v>
      </c>
      <c r="JS9" s="7"/>
      <c r="JT9" s="7"/>
      <c r="JU9" s="7">
        <v>25695075</v>
      </c>
      <c r="JV9" s="7"/>
      <c r="JW9" s="7"/>
      <c r="JX9" s="7"/>
      <c r="JY9" s="7"/>
      <c r="JZ9" s="7"/>
      <c r="KA9" s="7"/>
      <c r="KB9" s="7"/>
      <c r="KC9" s="7"/>
      <c r="KD9" s="7">
        <v>2691713</v>
      </c>
      <c r="KE9" s="7"/>
      <c r="KF9" s="7"/>
      <c r="KG9" s="7"/>
      <c r="KH9" s="7"/>
      <c r="KI9" s="7"/>
      <c r="KJ9" s="7"/>
      <c r="KK9" s="7"/>
      <c r="KL9" s="7"/>
      <c r="KM9" s="7"/>
      <c r="KN9" s="7"/>
      <c r="KO9" s="7">
        <v>18472534</v>
      </c>
      <c r="KP9" s="7"/>
      <c r="KQ9" s="7"/>
      <c r="KR9" s="7"/>
      <c r="KS9" s="7"/>
      <c r="KT9" s="7"/>
      <c r="KU9" s="7"/>
      <c r="KV9" s="7"/>
      <c r="KW9" s="7"/>
      <c r="KX9" s="7"/>
      <c r="KY9" s="7">
        <v>1445416</v>
      </c>
      <c r="KZ9" s="7"/>
      <c r="LA9" s="7"/>
      <c r="LB9" s="7"/>
      <c r="LC9" s="7"/>
      <c r="LD9" s="7"/>
      <c r="LE9" s="7">
        <v>2893826</v>
      </c>
      <c r="LF9" s="7"/>
      <c r="LG9" s="7"/>
      <c r="LH9" s="7">
        <v>1537729</v>
      </c>
      <c r="LI9" s="7"/>
      <c r="LJ9" s="7"/>
      <c r="LK9" s="7"/>
      <c r="LL9" s="7"/>
      <c r="LM9" s="7"/>
      <c r="LN9" s="7"/>
      <c r="LO9" s="7"/>
      <c r="LP9" s="7">
        <v>1104369</v>
      </c>
      <c r="LQ9" s="7"/>
      <c r="LR9" s="7"/>
      <c r="LS9" s="7">
        <v>1281935</v>
      </c>
      <c r="LT9" s="7"/>
      <c r="LU9" s="7"/>
      <c r="LV9" s="7"/>
      <c r="LW9" s="7"/>
      <c r="LX9" s="7"/>
      <c r="LY9" s="7"/>
      <c r="LZ9" s="7"/>
      <c r="MA9" s="7"/>
      <c r="MB9" s="7">
        <v>2270308</v>
      </c>
      <c r="MC9" s="7"/>
      <c r="MD9" s="7"/>
      <c r="ME9" s="7">
        <v>6880746</v>
      </c>
      <c r="MF9" s="7"/>
      <c r="MG9" s="7"/>
      <c r="MH9" s="7"/>
      <c r="MI9" s="7"/>
      <c r="MJ9" s="7"/>
      <c r="MK9" s="7"/>
      <c r="ML9" s="7"/>
      <c r="MM9" s="7"/>
      <c r="MN9" s="7">
        <v>4663705</v>
      </c>
      <c r="MO9" s="7"/>
      <c r="MP9" s="7"/>
      <c r="MQ9" s="7"/>
      <c r="MR9" s="7"/>
      <c r="MS9" s="7"/>
      <c r="MT9" s="7"/>
      <c r="MU9" s="7"/>
      <c r="MV9" s="7">
        <v>1075939</v>
      </c>
      <c r="MW9" s="7"/>
      <c r="MX9" s="7">
        <v>1145206</v>
      </c>
      <c r="MY9" s="7"/>
      <c r="MZ9" s="7"/>
      <c r="NA9" s="7">
        <v>1858231</v>
      </c>
      <c r="NB9" s="7"/>
      <c r="NC9" s="7"/>
      <c r="ND9" s="7">
        <v>1256711</v>
      </c>
      <c r="NE9" s="7">
        <v>2183830</v>
      </c>
      <c r="NF9" s="7"/>
      <c r="NG9" s="7"/>
      <c r="NH9" s="7">
        <v>2052935</v>
      </c>
      <c r="NI9" s="7"/>
      <c r="NJ9" s="7">
        <v>1777750</v>
      </c>
      <c r="NK9" s="7"/>
      <c r="NL9" s="7"/>
      <c r="NM9" s="7"/>
      <c r="NN9" s="7">
        <v>1468808</v>
      </c>
      <c r="NO9" s="7"/>
      <c r="NP9" s="7"/>
      <c r="NQ9" s="7"/>
      <c r="NR9" s="7"/>
      <c r="NS9" s="7"/>
      <c r="NT9" s="7"/>
      <c r="NU9" s="7"/>
      <c r="NV9" s="7"/>
      <c r="NW9" s="7"/>
      <c r="NX9" s="7">
        <v>2918651</v>
      </c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>
        <v>1192204</v>
      </c>
      <c r="OL9" s="7">
        <v>3377740</v>
      </c>
      <c r="OM9" s="7"/>
      <c r="ON9" s="7">
        <v>1215876</v>
      </c>
      <c r="OO9" s="7">
        <v>10524562</v>
      </c>
      <c r="OP9" s="7"/>
      <c r="OQ9" s="7">
        <v>45968559</v>
      </c>
      <c r="OR9" s="7"/>
      <c r="OS9" s="7">
        <v>2673085</v>
      </c>
      <c r="OT9" s="7">
        <v>3000589</v>
      </c>
      <c r="OU9" s="7">
        <v>5039270</v>
      </c>
      <c r="OV9" s="7"/>
      <c r="OW9" s="7"/>
      <c r="OX9" s="7"/>
      <c r="OY9" s="7"/>
      <c r="OZ9" s="7">
        <v>5069554</v>
      </c>
      <c r="PA9" s="7">
        <v>13701380</v>
      </c>
      <c r="PB9" s="7"/>
      <c r="PC9" s="7">
        <v>138532263</v>
      </c>
      <c r="PD9" s="7">
        <v>1947421</v>
      </c>
      <c r="PE9" s="7"/>
      <c r="PF9" s="7"/>
      <c r="PG9" s="7">
        <v>2291521</v>
      </c>
      <c r="PH9" s="7"/>
      <c r="PI9" s="7"/>
      <c r="PJ9" s="7">
        <v>1237598</v>
      </c>
      <c r="PK9" s="7"/>
      <c r="PL9" s="7"/>
      <c r="PM9" s="7">
        <v>5242757</v>
      </c>
      <c r="PN9" s="7">
        <v>3423778</v>
      </c>
      <c r="PO9" s="7"/>
      <c r="PP9" s="7">
        <v>3284386</v>
      </c>
      <c r="PQ9" s="7"/>
      <c r="PR9" s="7">
        <v>1178431</v>
      </c>
      <c r="PS9" s="7">
        <v>1330769</v>
      </c>
      <c r="PT9" s="7"/>
      <c r="PU9" s="7">
        <v>28870610</v>
      </c>
      <c r="PV9" s="7"/>
      <c r="PW9" s="7"/>
      <c r="PX9" s="7"/>
      <c r="PY9" s="7">
        <v>24083610</v>
      </c>
      <c r="PZ9" s="7"/>
      <c r="QA9" s="7"/>
      <c r="QB9" s="7"/>
      <c r="QC9" s="7"/>
      <c r="QD9" s="7"/>
      <c r="QE9" s="7"/>
      <c r="QF9" s="7"/>
      <c r="QG9" s="7">
        <v>1193816</v>
      </c>
      <c r="QH9" s="7"/>
      <c r="QI9" s="7">
        <v>4791848</v>
      </c>
      <c r="QJ9" s="7"/>
      <c r="QK9" s="7"/>
      <c r="QL9" s="7"/>
      <c r="QM9" s="7">
        <v>6690754</v>
      </c>
      <c r="QN9" s="7"/>
      <c r="QO9" s="7"/>
      <c r="QP9" s="7"/>
      <c r="QQ9" s="7"/>
      <c r="QR9" s="7"/>
      <c r="QS9" s="7"/>
      <c r="QT9" s="7">
        <v>12529126</v>
      </c>
      <c r="QU9" s="7"/>
      <c r="QV9" s="7"/>
      <c r="QW9" s="7"/>
      <c r="QX9" s="7"/>
      <c r="QY9" s="7"/>
      <c r="QZ9" s="7">
        <v>7991928</v>
      </c>
      <c r="RA9" s="7"/>
      <c r="RB9" s="7"/>
      <c r="RC9" s="7"/>
      <c r="RD9" s="7"/>
      <c r="RE9" s="7"/>
      <c r="RF9" s="7"/>
      <c r="RG9" s="7">
        <v>1739066</v>
      </c>
      <c r="RH9" s="7"/>
      <c r="RI9" s="7"/>
      <c r="RJ9" s="7"/>
      <c r="RK9" s="7">
        <v>2290537</v>
      </c>
      <c r="RL9" s="7"/>
      <c r="RM9" s="7"/>
      <c r="RN9" s="7"/>
      <c r="RO9" s="7"/>
      <c r="RP9" s="7"/>
      <c r="RQ9" s="7"/>
      <c r="RR9" s="7"/>
      <c r="RS9" s="7"/>
      <c r="RT9" s="7">
        <v>4482738</v>
      </c>
      <c r="RU9" s="7"/>
      <c r="RV9" s="7"/>
      <c r="RW9" s="7"/>
      <c r="RX9" s="7">
        <v>2151171</v>
      </c>
      <c r="RY9" s="7"/>
      <c r="RZ9" s="7"/>
      <c r="SA9" s="7"/>
      <c r="SB9" s="7"/>
      <c r="SC9" s="7">
        <v>2037064</v>
      </c>
      <c r="SD9" s="7"/>
      <c r="SE9" s="7"/>
      <c r="SF9" s="7"/>
      <c r="SG9" s="7"/>
      <c r="SH9" s="7"/>
      <c r="SI9" s="7"/>
      <c r="SJ9" s="7">
        <v>1918939</v>
      </c>
      <c r="SK9" s="7">
        <v>31794300</v>
      </c>
      <c r="SL9" s="7">
        <v>2061069</v>
      </c>
      <c r="SM9" s="7">
        <v>1155542</v>
      </c>
      <c r="SN9" s="7"/>
      <c r="SO9" s="7"/>
      <c r="SP9" s="7"/>
      <c r="SQ9" s="7">
        <v>2690691</v>
      </c>
      <c r="SR9" s="7"/>
      <c r="SS9" s="7"/>
      <c r="ST9" s="7"/>
      <c r="SU9" s="7">
        <v>10708678</v>
      </c>
      <c r="SV9" s="7"/>
      <c r="SW9" s="7">
        <v>137338480</v>
      </c>
      <c r="SX9" s="7"/>
      <c r="SY9" s="7"/>
      <c r="SZ9" s="7"/>
      <c r="TA9" s="7">
        <v>19068927</v>
      </c>
      <c r="TB9" s="7"/>
      <c r="TC9" s="7"/>
      <c r="TD9" s="7"/>
      <c r="TE9" s="7"/>
      <c r="TF9" s="7">
        <v>106454000</v>
      </c>
      <c r="TG9" s="7"/>
      <c r="TH9" s="7"/>
      <c r="TI9" s="7"/>
      <c r="TJ9" s="7"/>
      <c r="TK9" s="7"/>
      <c r="TL9" s="7">
        <v>26273326</v>
      </c>
      <c r="TM9" s="7">
        <v>81208873</v>
      </c>
      <c r="TN9" s="7"/>
      <c r="TO9" s="7">
        <v>1092666592</v>
      </c>
    </row>
    <row r="10" spans="1:535" x14ac:dyDescent="0.25">
      <c r="A10" s="5" t="s">
        <v>1415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>
        <v>12555303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>
        <v>1541356</v>
      </c>
      <c r="AX10" s="7"/>
      <c r="AY10" s="7"/>
      <c r="AZ10" s="7"/>
      <c r="BA10" s="7"/>
      <c r="BB10" s="7"/>
      <c r="BC10" s="7"/>
      <c r="BD10" s="7"/>
      <c r="BE10" s="7"/>
      <c r="BF10" s="7">
        <v>5671116</v>
      </c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>
        <v>1877053</v>
      </c>
      <c r="BS10" s="7"/>
      <c r="BT10" s="7"/>
      <c r="BU10" s="7"/>
      <c r="BV10" s="7"/>
      <c r="BW10" s="7"/>
      <c r="BX10" s="7">
        <v>2332035</v>
      </c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>
        <v>1506009</v>
      </c>
      <c r="CJ10" s="7"/>
      <c r="CK10" s="7"/>
      <c r="CL10" s="7"/>
      <c r="CM10" s="7"/>
      <c r="CN10" s="7"/>
      <c r="CO10" s="7"/>
      <c r="CP10" s="7"/>
      <c r="CQ10" s="7"/>
      <c r="CR10" s="7">
        <v>2888296</v>
      </c>
      <c r="CS10" s="7"/>
      <c r="CT10" s="7"/>
      <c r="CU10" s="7"/>
      <c r="CV10" s="7"/>
      <c r="CW10" s="7"/>
      <c r="CX10" s="7"/>
      <c r="CY10" s="7"/>
      <c r="CZ10" s="7">
        <v>1194339</v>
      </c>
      <c r="DA10" s="7"/>
      <c r="DB10" s="7"/>
      <c r="DC10" s="7">
        <v>19299536</v>
      </c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>
        <v>1214526</v>
      </c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>
        <v>1137900</v>
      </c>
      <c r="EJ10" s="7"/>
      <c r="EK10" s="7"/>
      <c r="EL10" s="7"/>
      <c r="EM10" s="7"/>
      <c r="EN10" s="7"/>
      <c r="EO10" s="7"/>
      <c r="EP10" s="7">
        <v>1208399</v>
      </c>
      <c r="EQ10" s="7"/>
      <c r="ER10" s="7"/>
      <c r="ES10" s="7"/>
      <c r="ET10" s="7"/>
      <c r="EU10" s="7">
        <v>1830566</v>
      </c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>
        <v>1060583</v>
      </c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>
        <v>37951515</v>
      </c>
      <c r="GN10" s="7"/>
      <c r="GO10" s="7"/>
      <c r="GP10" s="7"/>
      <c r="GQ10" s="7">
        <v>1727880</v>
      </c>
      <c r="GR10" s="7"/>
      <c r="GS10" s="7"/>
      <c r="GT10" s="7">
        <v>2088153</v>
      </c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>
        <v>4871818</v>
      </c>
      <c r="HY10" s="7"/>
      <c r="HZ10" s="7"/>
      <c r="IA10" s="7"/>
      <c r="IB10" s="7"/>
      <c r="IC10" s="7"/>
      <c r="ID10" s="7"/>
      <c r="IE10" s="7"/>
      <c r="IF10" s="7"/>
      <c r="IG10" s="7"/>
      <c r="IH10" s="7">
        <v>1534402</v>
      </c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>
        <v>1698269</v>
      </c>
      <c r="JD10" s="7"/>
      <c r="JE10" s="7"/>
      <c r="JF10" s="7">
        <v>1293914</v>
      </c>
      <c r="JG10" s="7"/>
      <c r="JH10" s="7">
        <v>20533459</v>
      </c>
      <c r="JI10" s="7"/>
      <c r="JJ10" s="7"/>
      <c r="JK10" s="7"/>
      <c r="JL10" s="7"/>
      <c r="JM10" s="7"/>
      <c r="JN10" s="7"/>
      <c r="JO10" s="7">
        <v>1983668</v>
      </c>
      <c r="JP10" s="7"/>
      <c r="JQ10" s="7">
        <v>1280100</v>
      </c>
      <c r="JR10" s="7"/>
      <c r="JS10" s="7"/>
      <c r="JT10" s="7"/>
      <c r="JU10" s="7"/>
      <c r="JV10" s="7"/>
      <c r="JW10" s="7"/>
      <c r="JX10" s="7"/>
      <c r="JY10" s="7"/>
      <c r="JZ10" s="7"/>
      <c r="KA10" s="7">
        <v>81880628</v>
      </c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>
        <v>19296781</v>
      </c>
      <c r="KQ10" s="7"/>
      <c r="KR10" s="7"/>
      <c r="KS10" s="7"/>
      <c r="KT10" s="7"/>
      <c r="KU10" s="7"/>
      <c r="KV10" s="7"/>
      <c r="KW10" s="7">
        <v>3029456</v>
      </c>
      <c r="KX10" s="7"/>
      <c r="KY10" s="7"/>
      <c r="KZ10" s="7"/>
      <c r="LA10" s="7">
        <v>1495460</v>
      </c>
      <c r="LB10" s="7"/>
      <c r="LC10" s="7"/>
      <c r="LD10" s="7"/>
      <c r="LE10" s="7">
        <v>1865540</v>
      </c>
      <c r="LF10" s="7"/>
      <c r="LG10" s="7"/>
      <c r="LH10" s="7">
        <v>1990222</v>
      </c>
      <c r="LI10" s="7"/>
      <c r="LJ10" s="7"/>
      <c r="LK10" s="7"/>
      <c r="LL10" s="7">
        <v>1203650</v>
      </c>
      <c r="LM10" s="7"/>
      <c r="LN10" s="7"/>
      <c r="LO10" s="7">
        <v>1334653</v>
      </c>
      <c r="LP10" s="7"/>
      <c r="LQ10" s="7"/>
      <c r="LR10" s="7"/>
      <c r="LS10" s="7">
        <v>1471387</v>
      </c>
      <c r="LT10" s="7"/>
      <c r="LU10" s="7"/>
      <c r="LV10" s="7">
        <v>1147474</v>
      </c>
      <c r="LW10" s="7"/>
      <c r="LX10" s="7"/>
      <c r="LY10" s="7"/>
      <c r="LZ10" s="7"/>
      <c r="MA10" s="7"/>
      <c r="MB10" s="7"/>
      <c r="MC10" s="7">
        <v>3700642</v>
      </c>
      <c r="MD10" s="7"/>
      <c r="ME10" s="7">
        <v>5178365</v>
      </c>
      <c r="MF10" s="7"/>
      <c r="MG10" s="7"/>
      <c r="MH10" s="7"/>
      <c r="MI10" s="7">
        <v>1367998</v>
      </c>
      <c r="MJ10" s="7"/>
      <c r="MK10" s="7">
        <v>1068688</v>
      </c>
      <c r="ML10" s="7"/>
      <c r="MM10" s="7">
        <v>7576095</v>
      </c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>
        <v>1906404</v>
      </c>
      <c r="MZ10" s="7"/>
      <c r="NA10" s="7">
        <v>2355989</v>
      </c>
      <c r="NB10" s="7"/>
      <c r="NC10" s="7"/>
      <c r="ND10" s="7"/>
      <c r="NE10" s="7">
        <v>1518804</v>
      </c>
      <c r="NF10" s="7"/>
      <c r="NG10" s="7"/>
      <c r="NH10" s="7"/>
      <c r="NI10" s="7">
        <v>1394061</v>
      </c>
      <c r="NJ10" s="7"/>
      <c r="NK10" s="7">
        <v>1323631</v>
      </c>
      <c r="NL10" s="7"/>
      <c r="NM10" s="7"/>
      <c r="NN10" s="7">
        <v>1682411</v>
      </c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>
        <v>1261467</v>
      </c>
      <c r="OD10" s="7"/>
      <c r="OE10" s="7"/>
      <c r="OF10" s="7"/>
      <c r="OG10" s="7"/>
      <c r="OH10" s="7"/>
      <c r="OI10" s="7"/>
      <c r="OJ10" s="7"/>
      <c r="OK10" s="7"/>
      <c r="OL10" s="7">
        <v>1070530</v>
      </c>
      <c r="OM10" s="7"/>
      <c r="ON10" s="7">
        <v>1189443</v>
      </c>
      <c r="OO10" s="7"/>
      <c r="OP10" s="7"/>
      <c r="OQ10" s="7">
        <v>33165459</v>
      </c>
      <c r="OR10" s="7"/>
      <c r="OS10" s="7"/>
      <c r="OT10" s="7"/>
      <c r="OU10" s="7">
        <v>2582114</v>
      </c>
      <c r="OV10" s="7"/>
      <c r="OW10" s="7"/>
      <c r="OX10" s="7"/>
      <c r="OY10" s="7"/>
      <c r="OZ10" s="7">
        <v>5840233</v>
      </c>
      <c r="PA10" s="7">
        <v>10235273</v>
      </c>
      <c r="PB10" s="7"/>
      <c r="PC10" s="7">
        <v>88591139</v>
      </c>
      <c r="PD10" s="7">
        <v>1162353</v>
      </c>
      <c r="PE10" s="7"/>
      <c r="PF10" s="7"/>
      <c r="PG10" s="7">
        <v>1396730</v>
      </c>
      <c r="PH10" s="7"/>
      <c r="PI10" s="7"/>
      <c r="PJ10" s="7"/>
      <c r="PK10" s="7"/>
      <c r="PL10" s="7"/>
      <c r="PM10" s="7">
        <v>1095100</v>
      </c>
      <c r="PN10" s="7"/>
      <c r="PO10" s="7">
        <v>1347986</v>
      </c>
      <c r="PP10" s="7"/>
      <c r="PQ10" s="7"/>
      <c r="PR10" s="7"/>
      <c r="PS10" s="7"/>
      <c r="PT10" s="7"/>
      <c r="PU10" s="7">
        <v>8727880</v>
      </c>
      <c r="PV10" s="7"/>
      <c r="PW10" s="7"/>
      <c r="PX10" s="7">
        <v>5598108</v>
      </c>
      <c r="PY10" s="7"/>
      <c r="PZ10" s="7"/>
      <c r="QA10" s="7"/>
      <c r="QB10" s="7">
        <v>1521154</v>
      </c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>
        <v>3465061</v>
      </c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>
        <v>27124802</v>
      </c>
      <c r="RF10" s="7"/>
      <c r="RG10" s="7"/>
      <c r="RH10" s="7"/>
      <c r="RI10" s="7"/>
      <c r="RJ10" s="7"/>
      <c r="RK10" s="7"/>
      <c r="RL10" s="7"/>
      <c r="RM10" s="7">
        <v>2717534</v>
      </c>
      <c r="RN10" s="7"/>
      <c r="RO10" s="7"/>
      <c r="RP10" s="7">
        <v>1160399</v>
      </c>
      <c r="RQ10" s="7"/>
      <c r="RR10" s="7"/>
      <c r="RS10" s="7"/>
      <c r="RT10" s="7">
        <v>2064338</v>
      </c>
      <c r="RU10" s="7"/>
      <c r="RV10" s="7"/>
      <c r="RW10" s="7">
        <v>1061746</v>
      </c>
      <c r="RX10" s="7"/>
      <c r="RY10" s="7"/>
      <c r="RZ10" s="7"/>
      <c r="SA10" s="7"/>
      <c r="SB10" s="7">
        <v>1053183</v>
      </c>
      <c r="SC10" s="7"/>
      <c r="SD10" s="7"/>
      <c r="SE10" s="7"/>
      <c r="SF10" s="7"/>
      <c r="SG10" s="7">
        <v>2711531</v>
      </c>
      <c r="SH10" s="7"/>
      <c r="SI10" s="7"/>
      <c r="SJ10" s="7"/>
      <c r="SK10" s="7">
        <v>4842807</v>
      </c>
      <c r="SL10" s="7"/>
      <c r="SM10" s="7"/>
      <c r="SN10" s="7">
        <v>3177210</v>
      </c>
      <c r="SO10" s="7"/>
      <c r="SP10" s="7"/>
      <c r="SQ10" s="7"/>
      <c r="SR10" s="7"/>
      <c r="SS10" s="7"/>
      <c r="ST10" s="7"/>
      <c r="SU10" s="7"/>
      <c r="SV10" s="7"/>
      <c r="SW10" s="7"/>
      <c r="SX10" s="7">
        <v>1798987</v>
      </c>
      <c r="SY10" s="7"/>
      <c r="SZ10" s="7"/>
      <c r="TA10" s="7">
        <v>4157751</v>
      </c>
      <c r="TB10" s="7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>
        <v>1430889</v>
      </c>
      <c r="TO10" s="7">
        <v>495619741</v>
      </c>
    </row>
    <row r="11" spans="1:535" x14ac:dyDescent="0.25">
      <c r="A11" s="5" t="s">
        <v>1416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>
        <v>21748622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>
        <v>2638687</v>
      </c>
      <c r="AB11" s="7"/>
      <c r="AC11" s="7"/>
      <c r="AD11" s="7"/>
      <c r="AE11" s="7"/>
      <c r="AF11" s="7">
        <v>1221381</v>
      </c>
      <c r="AG11" s="7"/>
      <c r="AH11" s="7"/>
      <c r="AI11" s="7">
        <v>1268175</v>
      </c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>
        <v>1002829</v>
      </c>
      <c r="AX11" s="7"/>
      <c r="AY11" s="7"/>
      <c r="AZ11" s="7"/>
      <c r="BA11" s="7"/>
      <c r="BB11" s="7"/>
      <c r="BC11" s="7"/>
      <c r="BD11" s="7"/>
      <c r="BE11" s="7"/>
      <c r="BF11" s="7">
        <v>4473856</v>
      </c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>
        <v>3928087</v>
      </c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>
        <v>1678559</v>
      </c>
      <c r="CJ11" s="7"/>
      <c r="CK11" s="7"/>
      <c r="CL11" s="7"/>
      <c r="CM11" s="7"/>
      <c r="CN11" s="7"/>
      <c r="CO11" s="7"/>
      <c r="CP11" s="7"/>
      <c r="CQ11" s="7"/>
      <c r="CR11" s="7">
        <v>2412684</v>
      </c>
      <c r="CS11" s="7"/>
      <c r="CT11" s="7"/>
      <c r="CU11" s="7">
        <v>2930853</v>
      </c>
      <c r="CV11" s="7"/>
      <c r="CW11" s="7"/>
      <c r="CX11" s="7"/>
      <c r="CY11" s="7"/>
      <c r="CZ11" s="7">
        <v>1337002</v>
      </c>
      <c r="DA11" s="7"/>
      <c r="DB11" s="7"/>
      <c r="DC11" s="7"/>
      <c r="DD11" s="7">
        <v>16295903</v>
      </c>
      <c r="DE11" s="7"/>
      <c r="DF11" s="7"/>
      <c r="DG11" s="7">
        <v>10445741</v>
      </c>
      <c r="DH11" s="7"/>
      <c r="DI11" s="7"/>
      <c r="DJ11" s="7"/>
      <c r="DK11" s="7"/>
      <c r="DL11" s="7"/>
      <c r="DM11" s="7"/>
      <c r="DN11" s="7"/>
      <c r="DO11" s="7">
        <v>1223854</v>
      </c>
      <c r="DP11" s="7"/>
      <c r="DQ11" s="7"/>
      <c r="DR11" s="7"/>
      <c r="DS11" s="7"/>
      <c r="DT11" s="7"/>
      <c r="DU11" s="7">
        <v>1416036</v>
      </c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>
        <v>1437042</v>
      </c>
      <c r="EI11" s="7"/>
      <c r="EJ11" s="7"/>
      <c r="EK11" s="7"/>
      <c r="EL11" s="7"/>
      <c r="EM11" s="7"/>
      <c r="EN11" s="7"/>
      <c r="EO11" s="7">
        <v>1491403</v>
      </c>
      <c r="EP11" s="7"/>
      <c r="EQ11" s="7"/>
      <c r="ER11" s="7">
        <v>1396631</v>
      </c>
      <c r="ES11" s="7"/>
      <c r="ET11" s="7"/>
      <c r="EU11" s="7">
        <v>1014121</v>
      </c>
      <c r="EV11" s="7"/>
      <c r="EW11" s="7"/>
      <c r="EX11" s="7"/>
      <c r="EY11" s="7"/>
      <c r="EZ11" s="7"/>
      <c r="FA11" s="7"/>
      <c r="FB11" s="7"/>
      <c r="FC11" s="7"/>
      <c r="FD11" s="7">
        <v>1854165</v>
      </c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>
        <v>1083257</v>
      </c>
      <c r="GM11" s="7">
        <v>33201203</v>
      </c>
      <c r="GN11" s="7"/>
      <c r="GO11" s="7"/>
      <c r="GP11" s="7"/>
      <c r="GQ11" s="7"/>
      <c r="GR11" s="7"/>
      <c r="GS11" s="7"/>
      <c r="GT11" s="7"/>
      <c r="GU11" s="7">
        <v>1274368</v>
      </c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>
        <v>2442523</v>
      </c>
      <c r="HZ11" s="7"/>
      <c r="IA11" s="7">
        <v>3726279</v>
      </c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>
        <v>1724334</v>
      </c>
      <c r="IM11" s="7"/>
      <c r="IN11" s="7"/>
      <c r="IO11" s="7"/>
      <c r="IP11" s="7">
        <v>1040288</v>
      </c>
      <c r="IQ11" s="7"/>
      <c r="IR11" s="7">
        <v>3491790</v>
      </c>
      <c r="IS11" s="7"/>
      <c r="IT11" s="7"/>
      <c r="IU11" s="7"/>
      <c r="IV11" s="7"/>
      <c r="IW11" s="7">
        <v>1268014</v>
      </c>
      <c r="IX11" s="7"/>
      <c r="IY11" s="7"/>
      <c r="IZ11" s="7"/>
      <c r="JA11" s="7"/>
      <c r="JB11" s="7"/>
      <c r="JC11" s="7"/>
      <c r="JD11" s="7"/>
      <c r="JE11" s="7"/>
      <c r="JF11" s="7">
        <v>2061737</v>
      </c>
      <c r="JG11" s="7"/>
      <c r="JH11" s="7"/>
      <c r="JI11" s="7">
        <v>9633324</v>
      </c>
      <c r="JJ11" s="7"/>
      <c r="JK11" s="7"/>
      <c r="JL11" s="7"/>
      <c r="JM11" s="7"/>
      <c r="JN11" s="7"/>
      <c r="JO11" s="7">
        <v>6907776</v>
      </c>
      <c r="JP11" s="7"/>
      <c r="JQ11" s="7"/>
      <c r="JR11" s="7">
        <v>3919734</v>
      </c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>
        <v>163277385</v>
      </c>
      <c r="KH11" s="7"/>
      <c r="KI11" s="7"/>
      <c r="KJ11" s="7"/>
      <c r="KK11" s="7"/>
      <c r="KL11" s="7"/>
      <c r="KM11" s="7"/>
      <c r="KN11" s="7"/>
      <c r="KO11" s="7"/>
      <c r="KP11" s="7">
        <v>13275449</v>
      </c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>
        <v>1187467</v>
      </c>
      <c r="LB11" s="7"/>
      <c r="LC11" s="7"/>
      <c r="LD11" s="7"/>
      <c r="LE11" s="7">
        <v>2105218</v>
      </c>
      <c r="LF11" s="7"/>
      <c r="LG11" s="7"/>
      <c r="LH11" s="7"/>
      <c r="LI11" s="7"/>
      <c r="LJ11" s="7"/>
      <c r="LK11" s="7"/>
      <c r="LL11" s="7"/>
      <c r="LM11" s="7"/>
      <c r="LN11" s="7"/>
      <c r="LO11" s="7">
        <v>3831391</v>
      </c>
      <c r="LP11" s="7"/>
      <c r="LQ11" s="7"/>
      <c r="LR11" s="7"/>
      <c r="LS11" s="7">
        <v>2281552</v>
      </c>
      <c r="LT11" s="7"/>
      <c r="LU11" s="7"/>
      <c r="LV11" s="7"/>
      <c r="LW11" s="7"/>
      <c r="LX11" s="7"/>
      <c r="LY11" s="7"/>
      <c r="LZ11" s="7"/>
      <c r="MA11" s="7"/>
      <c r="MB11" s="7"/>
      <c r="MC11" s="7">
        <v>1842583</v>
      </c>
      <c r="MD11" s="7"/>
      <c r="ME11" s="7">
        <v>4402272</v>
      </c>
      <c r="MF11" s="7"/>
      <c r="MG11" s="7"/>
      <c r="MH11" s="7"/>
      <c r="MI11" s="7"/>
      <c r="MJ11" s="7"/>
      <c r="MK11" s="7"/>
      <c r="ML11" s="7"/>
      <c r="MM11" s="7"/>
      <c r="MN11" s="7">
        <v>2848831</v>
      </c>
      <c r="MO11" s="7"/>
      <c r="MP11" s="7"/>
      <c r="MQ11" s="7"/>
      <c r="MR11" s="7"/>
      <c r="MS11" s="7"/>
      <c r="MT11" s="7">
        <v>1087277</v>
      </c>
      <c r="MU11" s="7"/>
      <c r="MV11" s="7"/>
      <c r="MW11" s="7">
        <v>2151807</v>
      </c>
      <c r="MX11" s="7">
        <v>1524032</v>
      </c>
      <c r="MY11" s="7"/>
      <c r="MZ11" s="7"/>
      <c r="NA11" s="7">
        <v>2134778</v>
      </c>
      <c r="NB11" s="7"/>
      <c r="NC11" s="7"/>
      <c r="ND11" s="7"/>
      <c r="NE11" s="7">
        <v>1071739</v>
      </c>
      <c r="NF11" s="7"/>
      <c r="NG11" s="7"/>
      <c r="NH11" s="7"/>
      <c r="NI11" s="7">
        <v>3817384</v>
      </c>
      <c r="NJ11" s="7"/>
      <c r="NK11" s="7">
        <v>2256598</v>
      </c>
      <c r="NL11" s="7"/>
      <c r="NM11" s="7"/>
      <c r="NN11" s="7">
        <v>1430232</v>
      </c>
      <c r="NO11" s="7"/>
      <c r="NP11" s="7">
        <v>1897469</v>
      </c>
      <c r="NQ11" s="7">
        <v>1433603</v>
      </c>
      <c r="NR11" s="7"/>
      <c r="NS11" s="7"/>
      <c r="NT11" s="7"/>
      <c r="NU11" s="7">
        <v>1906658</v>
      </c>
      <c r="NV11" s="7"/>
      <c r="NW11" s="7"/>
      <c r="NX11" s="7"/>
      <c r="NY11" s="7">
        <v>1786353</v>
      </c>
      <c r="NZ11" s="7"/>
      <c r="OA11" s="7"/>
      <c r="OB11" s="7"/>
      <c r="OC11" s="7">
        <v>1400797</v>
      </c>
      <c r="OD11" s="7"/>
      <c r="OE11" s="7">
        <v>1339848</v>
      </c>
      <c r="OF11" s="7"/>
      <c r="OG11" s="7"/>
      <c r="OH11" s="7"/>
      <c r="OI11" s="7">
        <v>1136333</v>
      </c>
      <c r="OJ11" s="7"/>
      <c r="OK11" s="7">
        <v>1252852</v>
      </c>
      <c r="OL11" s="7">
        <v>3314135</v>
      </c>
      <c r="OM11" s="7">
        <v>1874737</v>
      </c>
      <c r="ON11" s="7"/>
      <c r="OO11" s="7"/>
      <c r="OP11" s="7"/>
      <c r="OQ11" s="7">
        <v>37369962</v>
      </c>
      <c r="OR11" s="7"/>
      <c r="OS11" s="7"/>
      <c r="OT11" s="7"/>
      <c r="OU11" s="7"/>
      <c r="OV11" s="7">
        <v>2919541</v>
      </c>
      <c r="OW11" s="7"/>
      <c r="OX11" s="7"/>
      <c r="OY11" s="7"/>
      <c r="OZ11" s="7">
        <v>7754463</v>
      </c>
      <c r="PA11" s="7">
        <v>13361797</v>
      </c>
      <c r="PB11" s="7"/>
      <c r="PC11" s="7">
        <v>109356804</v>
      </c>
      <c r="PD11" s="7">
        <v>2160015</v>
      </c>
      <c r="PE11" s="7"/>
      <c r="PF11" s="7"/>
      <c r="PG11" s="7">
        <v>4704586</v>
      </c>
      <c r="PH11" s="7"/>
      <c r="PI11" s="7"/>
      <c r="PJ11" s="7"/>
      <c r="PK11" s="7"/>
      <c r="PL11" s="7">
        <v>2028273</v>
      </c>
      <c r="PM11" s="7"/>
      <c r="PN11" s="7">
        <v>2543900</v>
      </c>
      <c r="PO11" s="7"/>
      <c r="PP11" s="7"/>
      <c r="PQ11" s="7"/>
      <c r="PR11" s="7">
        <v>1400370</v>
      </c>
      <c r="PS11" s="7"/>
      <c r="PT11" s="7"/>
      <c r="PU11" s="7">
        <v>13538089</v>
      </c>
      <c r="PV11" s="7"/>
      <c r="PW11" s="7"/>
      <c r="PX11" s="7">
        <v>14072041</v>
      </c>
      <c r="PY11" s="7"/>
      <c r="PZ11" s="7"/>
      <c r="QA11" s="7">
        <v>3334296</v>
      </c>
      <c r="QB11" s="7"/>
      <c r="QC11" s="7"/>
      <c r="QD11" s="7"/>
      <c r="QE11" s="7"/>
      <c r="QF11" s="7">
        <v>1197255</v>
      </c>
      <c r="QG11" s="7"/>
      <c r="QH11" s="7"/>
      <c r="QI11" s="7"/>
      <c r="QJ11" s="7">
        <v>1244290</v>
      </c>
      <c r="QK11" s="7">
        <v>1376249</v>
      </c>
      <c r="QL11" s="7"/>
      <c r="QM11" s="7">
        <v>1658275</v>
      </c>
      <c r="QN11" s="7"/>
      <c r="QO11" s="7"/>
      <c r="QP11" s="7"/>
      <c r="QQ11" s="7">
        <v>1189159</v>
      </c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>
        <v>4276339</v>
      </c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>
        <v>2633379</v>
      </c>
      <c r="SX11" s="7"/>
      <c r="SY11" s="7"/>
      <c r="SZ11" s="7"/>
      <c r="TA11" s="7">
        <v>9638832</v>
      </c>
      <c r="TB11" s="7"/>
      <c r="TC11" s="7"/>
      <c r="TD11" s="7"/>
      <c r="TE11" s="7"/>
      <c r="TF11" s="7"/>
      <c r="TG11" s="7"/>
      <c r="TH11" s="7">
        <v>1591861</v>
      </c>
      <c r="TI11" s="7"/>
      <c r="TJ11" s="7"/>
      <c r="TK11" s="7"/>
      <c r="TL11" s="7"/>
      <c r="TM11" s="7">
        <v>2108103</v>
      </c>
      <c r="TN11" s="7"/>
      <c r="TO11" s="7">
        <v>622316917</v>
      </c>
    </row>
    <row r="12" spans="1:535" x14ac:dyDescent="0.25">
      <c r="A12" s="5" t="s">
        <v>1417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9808696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>
        <v>2764599</v>
      </c>
      <c r="AV12" s="7">
        <v>1460202</v>
      </c>
      <c r="AW12" s="7"/>
      <c r="AX12" s="7"/>
      <c r="AY12" s="7"/>
      <c r="AZ12" s="7"/>
      <c r="BA12" s="7">
        <v>1154742</v>
      </c>
      <c r="BB12" s="7"/>
      <c r="BC12" s="7"/>
      <c r="BD12" s="7"/>
      <c r="BE12" s="7"/>
      <c r="BF12" s="7"/>
      <c r="BG12" s="7">
        <v>4013294</v>
      </c>
      <c r="BH12" s="7"/>
      <c r="BI12" s="7"/>
      <c r="BJ12" s="7">
        <v>1292976</v>
      </c>
      <c r="BK12" s="7"/>
      <c r="BL12" s="7"/>
      <c r="BM12" s="7"/>
      <c r="BN12" s="7"/>
      <c r="BO12" s="7"/>
      <c r="BP12" s="7"/>
      <c r="BQ12" s="7">
        <v>4079905</v>
      </c>
      <c r="BR12" s="7"/>
      <c r="BS12" s="7"/>
      <c r="BT12" s="7"/>
      <c r="BU12" s="7">
        <v>9308401</v>
      </c>
      <c r="BV12" s="7"/>
      <c r="BW12" s="7"/>
      <c r="BX12" s="7"/>
      <c r="BY12" s="7"/>
      <c r="BZ12" s="7"/>
      <c r="CA12" s="7"/>
      <c r="CB12" s="7"/>
      <c r="CC12" s="7"/>
      <c r="CD12" s="7">
        <v>3986774</v>
      </c>
      <c r="CE12" s="7"/>
      <c r="CF12" s="7">
        <v>2340638</v>
      </c>
      <c r="CG12" s="7"/>
      <c r="CH12" s="7">
        <v>5696975</v>
      </c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>
        <v>24702201</v>
      </c>
      <c r="CT12" s="7"/>
      <c r="CU12" s="7"/>
      <c r="CV12" s="7"/>
      <c r="CW12" s="7">
        <v>7565477</v>
      </c>
      <c r="CX12" s="7"/>
      <c r="CY12" s="7"/>
      <c r="CZ12" s="7">
        <v>5727207</v>
      </c>
      <c r="DA12" s="7"/>
      <c r="DB12" s="7">
        <v>2741039</v>
      </c>
      <c r="DC12" s="7"/>
      <c r="DD12" s="7">
        <v>16195795</v>
      </c>
      <c r="DE12" s="7"/>
      <c r="DF12" s="7"/>
      <c r="DG12" s="7"/>
      <c r="DH12" s="7">
        <v>5953767</v>
      </c>
      <c r="DI12" s="7">
        <v>3031035</v>
      </c>
      <c r="DJ12" s="7"/>
      <c r="DK12" s="7">
        <v>4210143</v>
      </c>
      <c r="DL12" s="7">
        <v>6075028</v>
      </c>
      <c r="DM12" s="7"/>
      <c r="DN12" s="7">
        <v>23621018</v>
      </c>
      <c r="DO12" s="7"/>
      <c r="DP12" s="7"/>
      <c r="DQ12" s="7">
        <v>3059305</v>
      </c>
      <c r="DR12" s="7"/>
      <c r="DS12" s="7"/>
      <c r="DT12" s="7"/>
      <c r="DU12" s="7"/>
      <c r="DV12" s="7">
        <v>98510925</v>
      </c>
      <c r="DW12" s="7"/>
      <c r="DX12" s="7"/>
      <c r="DY12" s="7"/>
      <c r="DZ12" s="7">
        <v>52994703</v>
      </c>
      <c r="EA12" s="7"/>
      <c r="EB12" s="7"/>
      <c r="EC12" s="7"/>
      <c r="ED12" s="7"/>
      <c r="EE12" s="7">
        <v>14805883</v>
      </c>
      <c r="EF12" s="7"/>
      <c r="EG12" s="7">
        <v>8581362</v>
      </c>
      <c r="EH12" s="7"/>
      <c r="EI12" s="7"/>
      <c r="EJ12" s="7"/>
      <c r="EK12" s="7"/>
      <c r="EL12" s="7">
        <v>14458387</v>
      </c>
      <c r="EM12" s="7"/>
      <c r="EN12" s="7">
        <v>45114114</v>
      </c>
      <c r="EO12" s="7"/>
      <c r="EP12" s="7"/>
      <c r="EQ12" s="7"/>
      <c r="ER12" s="7"/>
      <c r="ES12" s="7"/>
      <c r="ET12" s="7">
        <v>15053968</v>
      </c>
      <c r="EU12" s="7"/>
      <c r="EV12" s="7"/>
      <c r="EW12" s="7">
        <v>10572167</v>
      </c>
      <c r="EX12" s="7"/>
      <c r="EY12" s="7">
        <v>24190097</v>
      </c>
      <c r="EZ12" s="7"/>
      <c r="FA12" s="7">
        <v>31936566</v>
      </c>
      <c r="FB12" s="7"/>
      <c r="FC12" s="7"/>
      <c r="FD12" s="7"/>
      <c r="FE12" s="7"/>
      <c r="FF12" s="7"/>
      <c r="FG12" s="7">
        <v>15187565</v>
      </c>
      <c r="FH12" s="7"/>
      <c r="FI12" s="7">
        <v>21351735</v>
      </c>
      <c r="FJ12" s="7"/>
      <c r="FK12" s="7">
        <v>9567509</v>
      </c>
      <c r="FL12" s="7"/>
      <c r="FM12" s="7"/>
      <c r="FN12" s="7">
        <v>8820767</v>
      </c>
      <c r="FO12" s="7">
        <v>10634254</v>
      </c>
      <c r="FP12" s="7"/>
      <c r="FQ12" s="7"/>
      <c r="FR12" s="7">
        <v>89019188</v>
      </c>
      <c r="FS12" s="7"/>
      <c r="FT12" s="7"/>
      <c r="FU12" s="7"/>
      <c r="FV12" s="7"/>
      <c r="FW12" s="7"/>
      <c r="FX12" s="7"/>
      <c r="FY12" s="7">
        <v>5024395</v>
      </c>
      <c r="FZ12" s="7"/>
      <c r="GA12" s="7"/>
      <c r="GB12" s="7">
        <v>7202024</v>
      </c>
      <c r="GC12" s="7"/>
      <c r="GD12" s="7"/>
      <c r="GE12" s="7">
        <v>1630905</v>
      </c>
      <c r="GF12" s="7"/>
      <c r="GG12" s="7"/>
      <c r="GH12" s="7"/>
      <c r="GI12" s="7">
        <v>7531588</v>
      </c>
      <c r="GJ12" s="7"/>
      <c r="GK12" s="7">
        <v>18959192</v>
      </c>
      <c r="GL12" s="7"/>
      <c r="GM12" s="7"/>
      <c r="GN12" s="7">
        <v>109425591</v>
      </c>
      <c r="GO12" s="7"/>
      <c r="GP12" s="7"/>
      <c r="GQ12" s="7"/>
      <c r="GR12" s="7"/>
      <c r="GS12" s="7">
        <v>8088901</v>
      </c>
      <c r="GT12" s="7"/>
      <c r="GU12" s="7"/>
      <c r="GV12" s="7">
        <v>8176468</v>
      </c>
      <c r="GW12" s="7">
        <v>4561111</v>
      </c>
      <c r="GX12" s="7"/>
      <c r="GY12" s="7"/>
      <c r="GZ12" s="7">
        <v>11243542</v>
      </c>
      <c r="HA12" s="7">
        <v>7250399</v>
      </c>
      <c r="HB12" s="7"/>
      <c r="HC12" s="7">
        <v>7650097</v>
      </c>
      <c r="HD12" s="7"/>
      <c r="HE12" s="7"/>
      <c r="HF12" s="7"/>
      <c r="HG12" s="7"/>
      <c r="HH12" s="7">
        <v>4010569</v>
      </c>
      <c r="HI12" s="7"/>
      <c r="HJ12" s="7">
        <v>8014462</v>
      </c>
      <c r="HK12" s="7"/>
      <c r="HL12" s="7">
        <v>4100164</v>
      </c>
      <c r="HM12" s="7"/>
      <c r="HN12" s="7">
        <v>3786525</v>
      </c>
      <c r="HO12" s="7"/>
      <c r="HP12" s="7">
        <v>5796981</v>
      </c>
      <c r="HQ12" s="7"/>
      <c r="HR12" s="7"/>
      <c r="HS12" s="7">
        <v>4889079</v>
      </c>
      <c r="HT12" s="7"/>
      <c r="HU12" s="7">
        <v>11199745</v>
      </c>
      <c r="HV12" s="7"/>
      <c r="HW12" s="7"/>
      <c r="HX12" s="7"/>
      <c r="HY12" s="7">
        <v>7054169</v>
      </c>
      <c r="HZ12" s="7"/>
      <c r="IA12" s="7">
        <v>2025713</v>
      </c>
      <c r="IB12" s="7"/>
      <c r="IC12" s="7"/>
      <c r="ID12" s="7"/>
      <c r="IE12" s="7">
        <v>11815956</v>
      </c>
      <c r="IF12" s="7"/>
      <c r="IG12" s="7"/>
      <c r="IH12" s="7">
        <v>10117596</v>
      </c>
      <c r="II12" s="7"/>
      <c r="IJ12" s="7"/>
      <c r="IK12" s="7"/>
      <c r="IL12" s="7">
        <v>4555339</v>
      </c>
      <c r="IM12" s="7">
        <v>1272986</v>
      </c>
      <c r="IN12" s="7">
        <v>1381987</v>
      </c>
      <c r="IO12" s="7">
        <v>1615974</v>
      </c>
      <c r="IP12" s="7"/>
      <c r="IQ12" s="7">
        <v>4728395</v>
      </c>
      <c r="IR12" s="7"/>
      <c r="IS12" s="7"/>
      <c r="IT12" s="7">
        <v>2459585</v>
      </c>
      <c r="IU12" s="7"/>
      <c r="IV12" s="7"/>
      <c r="IW12" s="7"/>
      <c r="IX12" s="7"/>
      <c r="IY12" s="7"/>
      <c r="IZ12" s="7"/>
      <c r="JA12" s="7">
        <v>4769018</v>
      </c>
      <c r="JB12" s="7"/>
      <c r="JC12" s="7"/>
      <c r="JD12" s="7"/>
      <c r="JE12" s="7"/>
      <c r="JF12" s="7">
        <v>7959181</v>
      </c>
      <c r="JG12" s="7"/>
      <c r="JH12" s="7"/>
      <c r="JI12" s="7">
        <v>15952091</v>
      </c>
      <c r="JJ12" s="7"/>
      <c r="JK12" s="7">
        <v>4856335</v>
      </c>
      <c r="JL12" s="7">
        <v>1030352</v>
      </c>
      <c r="JM12" s="7">
        <v>1303463</v>
      </c>
      <c r="JN12" s="7"/>
      <c r="JO12" s="7"/>
      <c r="JP12" s="7">
        <v>2355062</v>
      </c>
      <c r="JQ12" s="7"/>
      <c r="JR12" s="7"/>
      <c r="JS12" s="7">
        <v>17437156</v>
      </c>
      <c r="JT12" s="7"/>
      <c r="JU12" s="7"/>
      <c r="JV12" s="7"/>
      <c r="JW12" s="7"/>
      <c r="JX12" s="7"/>
      <c r="JY12" s="7">
        <v>35997031</v>
      </c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>
        <v>3841419</v>
      </c>
      <c r="KL12" s="7"/>
      <c r="KM12" s="7"/>
      <c r="KN12" s="7"/>
      <c r="KO12" s="7"/>
      <c r="KP12" s="7">
        <v>4254522</v>
      </c>
      <c r="KQ12" s="7"/>
      <c r="KR12" s="7"/>
      <c r="KS12" s="7"/>
      <c r="KT12" s="7"/>
      <c r="KU12" s="7"/>
      <c r="KV12" s="7"/>
      <c r="KW12" s="7"/>
      <c r="KX12" s="7">
        <v>2171602</v>
      </c>
      <c r="KY12" s="7"/>
      <c r="KZ12" s="7"/>
      <c r="LA12" s="7"/>
      <c r="LB12" s="7"/>
      <c r="LC12" s="7"/>
      <c r="LD12" s="7"/>
      <c r="LE12" s="7">
        <v>16157985</v>
      </c>
      <c r="LF12" s="7"/>
      <c r="LG12" s="7"/>
      <c r="LH12" s="7">
        <v>1296357</v>
      </c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>
        <v>5144336</v>
      </c>
      <c r="MA12" s="7"/>
      <c r="MB12" s="7"/>
      <c r="MC12" s="7">
        <v>2593392</v>
      </c>
      <c r="MD12" s="7"/>
      <c r="ME12" s="7">
        <v>4485213</v>
      </c>
      <c r="MF12" s="7"/>
      <c r="MG12" s="7"/>
      <c r="MH12" s="7"/>
      <c r="MI12" s="7"/>
      <c r="MJ12" s="7">
        <v>1148860</v>
      </c>
      <c r="MK12" s="7"/>
      <c r="ML12" s="7"/>
      <c r="MM12" s="7"/>
      <c r="MN12" s="7">
        <v>1391298</v>
      </c>
      <c r="MO12" s="7"/>
      <c r="MP12" s="7"/>
      <c r="MQ12" s="7"/>
      <c r="MR12" s="7"/>
      <c r="MS12" s="7">
        <v>3844968</v>
      </c>
      <c r="MT12" s="7"/>
      <c r="MU12" s="7"/>
      <c r="MV12" s="7"/>
      <c r="MW12" s="7"/>
      <c r="MX12" s="7"/>
      <c r="MY12" s="7"/>
      <c r="MZ12" s="7"/>
      <c r="NA12" s="7"/>
      <c r="NB12" s="7">
        <v>2005188</v>
      </c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>
        <v>3423148</v>
      </c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>
        <v>8022212</v>
      </c>
      <c r="OR12" s="7"/>
      <c r="OS12" s="7"/>
      <c r="OT12" s="7"/>
      <c r="OU12" s="7"/>
      <c r="OV12" s="7"/>
      <c r="OW12" s="7"/>
      <c r="OX12" s="7"/>
      <c r="OY12" s="7"/>
      <c r="OZ12" s="7">
        <v>2138065</v>
      </c>
      <c r="PA12" s="7">
        <v>3159471</v>
      </c>
      <c r="PB12" s="7"/>
      <c r="PC12" s="7">
        <v>29675665</v>
      </c>
      <c r="PD12" s="7"/>
      <c r="PE12" s="7"/>
      <c r="PF12" s="7"/>
      <c r="PG12" s="7"/>
      <c r="PH12" s="7"/>
      <c r="PI12" s="7"/>
      <c r="PJ12" s="7"/>
      <c r="PK12" s="7"/>
      <c r="PL12" s="7">
        <v>1613100</v>
      </c>
      <c r="PM12" s="7"/>
      <c r="PN12" s="7"/>
      <c r="PO12" s="7">
        <v>1612427</v>
      </c>
      <c r="PP12" s="7"/>
      <c r="PQ12" s="7"/>
      <c r="PR12" s="7"/>
      <c r="PS12" s="7"/>
      <c r="PT12" s="7"/>
      <c r="PU12" s="7">
        <v>5993714</v>
      </c>
      <c r="PV12" s="7"/>
      <c r="PW12" s="7"/>
      <c r="PX12" s="7">
        <v>4774548</v>
      </c>
      <c r="PY12" s="7"/>
      <c r="PZ12" s="7"/>
      <c r="QA12" s="7"/>
      <c r="QB12" s="7"/>
      <c r="QC12" s="7">
        <v>2923145</v>
      </c>
      <c r="QD12" s="7"/>
      <c r="QE12" s="7"/>
      <c r="QF12" s="7"/>
      <c r="QG12" s="7"/>
      <c r="QH12" s="7"/>
      <c r="QI12" s="7"/>
      <c r="QJ12" s="7"/>
      <c r="QK12" s="7"/>
      <c r="QL12" s="7"/>
      <c r="QM12" s="7">
        <v>1033540</v>
      </c>
      <c r="QN12" s="7"/>
      <c r="QO12" s="7"/>
      <c r="QP12" s="7"/>
      <c r="QQ12" s="7">
        <v>1501396</v>
      </c>
      <c r="QR12" s="7"/>
      <c r="QS12" s="7"/>
      <c r="QT12" s="7"/>
      <c r="QU12" s="7"/>
      <c r="QV12" s="7"/>
      <c r="QW12" s="7"/>
      <c r="QX12" s="7"/>
      <c r="QY12" s="7"/>
      <c r="QZ12" s="7">
        <v>1385966</v>
      </c>
      <c r="RA12" s="7">
        <v>1114189</v>
      </c>
      <c r="RB12" s="7"/>
      <c r="RC12" s="7"/>
      <c r="RD12" s="7"/>
      <c r="RE12" s="7">
        <v>1299449</v>
      </c>
      <c r="RF12" s="7"/>
      <c r="RG12" s="7"/>
      <c r="RH12" s="7"/>
      <c r="RI12" s="7"/>
      <c r="RJ12" s="7"/>
      <c r="RK12" s="7"/>
      <c r="RL12" s="7">
        <v>1068570</v>
      </c>
      <c r="RM12" s="7"/>
      <c r="RN12" s="7"/>
      <c r="RO12" s="7">
        <v>1116816</v>
      </c>
      <c r="RP12" s="7"/>
      <c r="RQ12" s="7"/>
      <c r="RR12" s="7">
        <v>1361678</v>
      </c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>
        <v>43861696</v>
      </c>
      <c r="SJ12" s="7"/>
      <c r="SK12" s="7">
        <v>4445419</v>
      </c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>
        <v>2801281</v>
      </c>
      <c r="SX12" s="7"/>
      <c r="SY12" s="7"/>
      <c r="SZ12" s="7"/>
      <c r="TA12" s="7">
        <v>8080966</v>
      </c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>
        <v>1177559135</v>
      </c>
    </row>
    <row r="13" spans="1:535" x14ac:dyDescent="0.25">
      <c r="A13" s="5" t="s">
        <v>1418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>
        <v>3004995</v>
      </c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>
        <v>1832158</v>
      </c>
      <c r="BB13" s="7"/>
      <c r="BC13" s="7"/>
      <c r="BD13" s="7"/>
      <c r="BE13" s="7"/>
      <c r="BF13" s="7"/>
      <c r="BG13" s="7">
        <v>1734733</v>
      </c>
      <c r="BH13" s="7"/>
      <c r="BI13" s="7"/>
      <c r="BJ13" s="7"/>
      <c r="BK13" s="7"/>
      <c r="BL13" s="7"/>
      <c r="BM13" s="7"/>
      <c r="BN13" s="7"/>
      <c r="BO13" s="7"/>
      <c r="BP13" s="7"/>
      <c r="BQ13" s="7">
        <v>2494739</v>
      </c>
      <c r="BR13" s="7"/>
      <c r="BS13" s="7"/>
      <c r="BT13" s="7"/>
      <c r="BU13" s="7"/>
      <c r="BV13" s="7">
        <v>1834875</v>
      </c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>
        <v>1811111</v>
      </c>
      <c r="CM13" s="7"/>
      <c r="CN13" s="7"/>
      <c r="CO13" s="7"/>
      <c r="CP13" s="7"/>
      <c r="CQ13" s="7"/>
      <c r="CR13" s="7">
        <v>1319244</v>
      </c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>
        <v>3646881</v>
      </c>
      <c r="DF13" s="7"/>
      <c r="DG13" s="7"/>
      <c r="DH13" s="7"/>
      <c r="DI13" s="7"/>
      <c r="DJ13" s="7"/>
      <c r="DK13" s="7"/>
      <c r="DL13" s="7"/>
      <c r="DM13" s="7"/>
      <c r="DN13" s="7">
        <v>1407031</v>
      </c>
      <c r="DO13" s="7"/>
      <c r="DP13" s="7"/>
      <c r="DQ13" s="7"/>
      <c r="DR13" s="7"/>
      <c r="DS13" s="7"/>
      <c r="DT13" s="7"/>
      <c r="DU13" s="7"/>
      <c r="DV13" s="7">
        <v>12924272</v>
      </c>
      <c r="DW13" s="7"/>
      <c r="DX13" s="7"/>
      <c r="DY13" s="7"/>
      <c r="DZ13" s="7"/>
      <c r="EA13" s="7">
        <v>4350058</v>
      </c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>
        <v>2024621</v>
      </c>
      <c r="EN13" s="7">
        <v>5660523</v>
      </c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>
        <v>2694392</v>
      </c>
      <c r="FA13" s="7"/>
      <c r="FB13" s="7"/>
      <c r="FC13" s="7"/>
      <c r="FD13" s="7"/>
      <c r="FE13" s="7">
        <v>2872840</v>
      </c>
      <c r="FF13" s="7"/>
      <c r="FG13" s="7"/>
      <c r="FH13" s="7">
        <v>1528692</v>
      </c>
      <c r="FI13" s="7"/>
      <c r="FJ13" s="7">
        <v>2301657</v>
      </c>
      <c r="FK13" s="7"/>
      <c r="FL13" s="7">
        <v>1029749</v>
      </c>
      <c r="FM13" s="7"/>
      <c r="FN13" s="7"/>
      <c r="FO13" s="7"/>
      <c r="FP13" s="7">
        <v>1536326</v>
      </c>
      <c r="FQ13" s="7"/>
      <c r="FR13" s="7"/>
      <c r="FS13" s="7">
        <v>3534803</v>
      </c>
      <c r="FT13" s="7">
        <v>1480443</v>
      </c>
      <c r="FU13" s="7"/>
      <c r="FV13" s="7"/>
      <c r="FW13" s="7"/>
      <c r="FX13" s="7"/>
      <c r="FY13" s="7"/>
      <c r="FZ13" s="7"/>
      <c r="GA13" s="7"/>
      <c r="GB13" s="7">
        <v>2397203</v>
      </c>
      <c r="GC13" s="7"/>
      <c r="GD13" s="7"/>
      <c r="GE13" s="7"/>
      <c r="GF13" s="7"/>
      <c r="GG13" s="7"/>
      <c r="GH13" s="7"/>
      <c r="GI13" s="7"/>
      <c r="GJ13" s="7"/>
      <c r="GK13" s="7">
        <v>1229038</v>
      </c>
      <c r="GL13" s="7"/>
      <c r="GM13" s="7"/>
      <c r="GN13" s="7">
        <v>26454325</v>
      </c>
      <c r="GO13" s="7"/>
      <c r="GP13" s="7"/>
      <c r="GQ13" s="7"/>
      <c r="GR13" s="7"/>
      <c r="GS13" s="7"/>
      <c r="GT13" s="7"/>
      <c r="GU13" s="7"/>
      <c r="GV13" s="7"/>
      <c r="GW13" s="7">
        <v>1370193</v>
      </c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>
        <v>1038265</v>
      </c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>
        <v>5945962</v>
      </c>
      <c r="JJ13" s="7"/>
      <c r="JK13" s="7"/>
      <c r="JL13" s="7"/>
      <c r="JM13" s="7"/>
      <c r="JN13" s="7"/>
      <c r="JO13" s="7"/>
      <c r="JP13" s="7"/>
      <c r="JQ13" s="7"/>
      <c r="JR13" s="7"/>
      <c r="JS13" s="7">
        <v>6292058</v>
      </c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>
        <v>1582349</v>
      </c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>
        <v>4279151</v>
      </c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>
        <v>9798585</v>
      </c>
      <c r="OR13" s="7"/>
      <c r="OS13" s="7"/>
      <c r="OT13" s="7"/>
      <c r="OU13" s="7"/>
      <c r="OV13" s="7"/>
      <c r="OW13" s="7"/>
      <c r="OX13" s="7"/>
      <c r="OY13" s="7"/>
      <c r="OZ13" s="7"/>
      <c r="PA13" s="7">
        <v>4026929</v>
      </c>
      <c r="PB13" s="7"/>
      <c r="PC13" s="7">
        <v>36247986</v>
      </c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>
        <v>1998210</v>
      </c>
      <c r="PW13" s="7"/>
      <c r="PX13" s="7"/>
      <c r="PY13" s="7"/>
      <c r="PZ13" s="7"/>
      <c r="QA13" s="7"/>
      <c r="QB13" s="7"/>
      <c r="QC13" s="7"/>
      <c r="QD13" s="7"/>
      <c r="QE13" s="7">
        <v>2507407</v>
      </c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>
        <v>1364446</v>
      </c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>
        <v>7367617</v>
      </c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>
        <v>2223973</v>
      </c>
      <c r="SY13" s="7"/>
      <c r="SZ13" s="7"/>
      <c r="TA13" s="7">
        <v>5770184</v>
      </c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>
        <v>182918024</v>
      </c>
    </row>
    <row r="14" spans="1:535" x14ac:dyDescent="0.25">
      <c r="A14" s="5" t="s">
        <v>1419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>
        <v>7047598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>
        <v>1559285</v>
      </c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>
        <v>1043328</v>
      </c>
      <c r="DB14" s="7"/>
      <c r="DC14" s="7"/>
      <c r="DD14" s="7"/>
      <c r="DE14" s="7">
        <v>4661004</v>
      </c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>
        <v>1084759</v>
      </c>
      <c r="GL14" s="7"/>
      <c r="GM14" s="7"/>
      <c r="GN14" s="7">
        <v>20731257</v>
      </c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>
        <v>6619924</v>
      </c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>
        <v>1779976</v>
      </c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>
        <v>1010000</v>
      </c>
      <c r="ME14" s="7">
        <v>3561213</v>
      </c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>
        <v>5582543</v>
      </c>
      <c r="OS14" s="7"/>
      <c r="OT14" s="7"/>
      <c r="OU14" s="7"/>
      <c r="OV14" s="7"/>
      <c r="OW14" s="7"/>
      <c r="OX14" s="7"/>
      <c r="OY14" s="7"/>
      <c r="OZ14" s="7"/>
      <c r="PA14" s="7">
        <v>2964555</v>
      </c>
      <c r="PB14" s="7"/>
      <c r="PC14" s="7">
        <v>22497914</v>
      </c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>
        <v>2871689</v>
      </c>
      <c r="PW14" s="7">
        <v>1002051</v>
      </c>
      <c r="PX14" s="7"/>
      <c r="PY14" s="7"/>
      <c r="PZ14" s="7"/>
      <c r="QA14" s="7"/>
      <c r="QB14" s="7"/>
      <c r="QC14" s="7"/>
      <c r="QD14" s="7"/>
      <c r="QE14" s="7"/>
      <c r="QF14" s="7"/>
      <c r="QG14" s="7">
        <v>1128992</v>
      </c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>
        <v>2055998</v>
      </c>
      <c r="RB14" s="7"/>
      <c r="RC14" s="7"/>
      <c r="RD14" s="7"/>
      <c r="RE14" s="7"/>
      <c r="RF14" s="7"/>
      <c r="RG14" s="7">
        <v>1023175</v>
      </c>
      <c r="RH14" s="7"/>
      <c r="RI14" s="7"/>
      <c r="RJ14" s="7">
        <v>1007100</v>
      </c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>
        <v>1098476</v>
      </c>
      <c r="SB14" s="7"/>
      <c r="SC14" s="7"/>
      <c r="SD14" s="7"/>
      <c r="SE14" s="7"/>
      <c r="SF14" s="7"/>
      <c r="SG14" s="7">
        <v>2006508</v>
      </c>
      <c r="SH14" s="7"/>
      <c r="SI14" s="7"/>
      <c r="SJ14" s="7"/>
      <c r="SK14" s="7">
        <v>14727175</v>
      </c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>
        <v>2795537</v>
      </c>
      <c r="SX14" s="7"/>
      <c r="SY14" s="7"/>
      <c r="SZ14" s="7"/>
      <c r="TA14" s="7">
        <v>12863688</v>
      </c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>
        <v>122723745</v>
      </c>
    </row>
    <row r="15" spans="1:535" x14ac:dyDescent="0.25">
      <c r="A15" s="5" t="s">
        <v>1420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>
        <v>5366273</v>
      </c>
      <c r="R15" s="7"/>
      <c r="S15" s="7"/>
      <c r="T15" s="7"/>
      <c r="U15" s="7"/>
      <c r="V15" s="7"/>
      <c r="W15" s="7"/>
      <c r="X15" s="7"/>
      <c r="Y15" s="7"/>
      <c r="Z15" s="7">
        <v>3850718</v>
      </c>
      <c r="AA15" s="7"/>
      <c r="AB15" s="7"/>
      <c r="AC15" s="7"/>
      <c r="AD15" s="7"/>
      <c r="AE15" s="7"/>
      <c r="AF15" s="7"/>
      <c r="AG15" s="7">
        <v>1510222</v>
      </c>
      <c r="AH15" s="7"/>
      <c r="AI15" s="7"/>
      <c r="AJ15" s="7"/>
      <c r="AK15" s="7">
        <v>2101442</v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>
        <v>1834523</v>
      </c>
      <c r="BB15" s="7"/>
      <c r="BC15" s="7"/>
      <c r="BD15" s="7"/>
      <c r="BE15" s="7"/>
      <c r="BF15" s="7"/>
      <c r="BG15" s="7">
        <v>4232287</v>
      </c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>
        <v>1419690</v>
      </c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>
        <v>4199094</v>
      </c>
      <c r="CS15" s="7"/>
      <c r="CT15" s="7">
        <v>1223840</v>
      </c>
      <c r="CU15" s="7"/>
      <c r="CV15" s="7"/>
      <c r="CW15" s="7"/>
      <c r="CX15" s="7"/>
      <c r="CY15" s="7"/>
      <c r="CZ15" s="7"/>
      <c r="DA15" s="7"/>
      <c r="DB15" s="7"/>
      <c r="DC15" s="7"/>
      <c r="DD15" s="7">
        <v>15815459</v>
      </c>
      <c r="DE15" s="7"/>
      <c r="DF15" s="7"/>
      <c r="DG15" s="7">
        <v>3953817</v>
      </c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>
        <v>1294624</v>
      </c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>
        <v>1072341</v>
      </c>
      <c r="GE15" s="7"/>
      <c r="GF15" s="7"/>
      <c r="GG15" s="7"/>
      <c r="GH15" s="7"/>
      <c r="GI15" s="7"/>
      <c r="GJ15" s="7"/>
      <c r="GK15" s="7"/>
      <c r="GL15" s="7"/>
      <c r="GM15" s="7">
        <v>53842673</v>
      </c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>
        <v>2954121</v>
      </c>
      <c r="HZ15" s="7"/>
      <c r="IA15" s="7"/>
      <c r="IB15" s="7"/>
      <c r="IC15" s="7"/>
      <c r="ID15" s="7"/>
      <c r="IE15" s="7"/>
      <c r="IF15" s="7"/>
      <c r="IG15" s="7"/>
      <c r="IH15" s="7">
        <v>1420668</v>
      </c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>
        <v>2104823</v>
      </c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>
        <v>2129899</v>
      </c>
      <c r="JE15" s="7"/>
      <c r="JF15" s="7"/>
      <c r="JG15" s="7"/>
      <c r="JH15" s="7"/>
      <c r="JI15" s="7">
        <v>18460343</v>
      </c>
      <c r="JJ15" s="7"/>
      <c r="JK15" s="7"/>
      <c r="JL15" s="7"/>
      <c r="JM15" s="7"/>
      <c r="JN15" s="7"/>
      <c r="JO15" s="7"/>
      <c r="JP15" s="7">
        <v>1934504</v>
      </c>
      <c r="JQ15" s="7"/>
      <c r="JR15" s="7">
        <v>4987538</v>
      </c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>
        <v>133335793</v>
      </c>
      <c r="KF15" s="7"/>
      <c r="KG15" s="7"/>
      <c r="KH15" s="7"/>
      <c r="KI15" s="7">
        <v>1182295</v>
      </c>
      <c r="KJ15" s="7"/>
      <c r="KK15" s="7"/>
      <c r="KL15" s="7"/>
      <c r="KM15" s="7"/>
      <c r="KN15" s="7"/>
      <c r="KO15" s="7"/>
      <c r="KP15" s="7">
        <v>8184546</v>
      </c>
      <c r="KQ15" s="7"/>
      <c r="KR15" s="7"/>
      <c r="KS15" s="7"/>
      <c r="KT15" s="7"/>
      <c r="KU15" s="7"/>
      <c r="KV15" s="7"/>
      <c r="KW15" s="7">
        <v>1319384</v>
      </c>
      <c r="KX15" s="7"/>
      <c r="KY15" s="7"/>
      <c r="KZ15" s="7"/>
      <c r="LA15" s="7">
        <v>1462696</v>
      </c>
      <c r="LB15" s="7"/>
      <c r="LC15" s="7"/>
      <c r="LD15" s="7"/>
      <c r="LE15" s="7">
        <v>1183566</v>
      </c>
      <c r="LF15" s="7"/>
      <c r="LG15" s="7"/>
      <c r="LH15" s="7">
        <v>1606632</v>
      </c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>
        <v>1947284</v>
      </c>
      <c r="MD15" s="7"/>
      <c r="ME15" s="7">
        <v>5222152</v>
      </c>
      <c r="MF15" s="7"/>
      <c r="MG15" s="7"/>
      <c r="MH15" s="7"/>
      <c r="MI15" s="7"/>
      <c r="MJ15" s="7"/>
      <c r="MK15" s="7"/>
      <c r="ML15" s="7"/>
      <c r="MM15" s="7"/>
      <c r="MN15" s="7">
        <v>1864884</v>
      </c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>
        <v>1154930</v>
      </c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>
        <v>7580048</v>
      </c>
      <c r="OS15" s="7"/>
      <c r="OT15" s="7"/>
      <c r="OU15" s="7"/>
      <c r="OV15" s="7"/>
      <c r="OW15" s="7"/>
      <c r="OX15" s="7"/>
      <c r="OY15" s="7"/>
      <c r="OZ15" s="7">
        <v>1081433</v>
      </c>
      <c r="PA15" s="7">
        <v>3360673</v>
      </c>
      <c r="PB15" s="7"/>
      <c r="PC15" s="7">
        <v>21696367</v>
      </c>
      <c r="PD15" s="7"/>
      <c r="PE15" s="7"/>
      <c r="PF15" s="7"/>
      <c r="PG15" s="7">
        <v>1041916</v>
      </c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>
        <v>3699154</v>
      </c>
      <c r="PW15" s="7"/>
      <c r="PX15" s="7"/>
      <c r="PY15" s="7"/>
      <c r="PZ15" s="7"/>
      <c r="QA15" s="7"/>
      <c r="QB15" s="7"/>
      <c r="QC15" s="7"/>
      <c r="QD15" s="7">
        <v>2153030</v>
      </c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>
        <v>1557145</v>
      </c>
      <c r="RD15" s="7"/>
      <c r="RE15" s="7"/>
      <c r="RF15" s="7"/>
      <c r="RG15" s="7"/>
      <c r="RH15" s="7"/>
      <c r="RI15" s="7">
        <v>1677300</v>
      </c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>
        <v>1426111</v>
      </c>
      <c r="RW15" s="7"/>
      <c r="RX15" s="7"/>
      <c r="RY15" s="7"/>
      <c r="RZ15" s="7"/>
      <c r="SA15" s="7"/>
      <c r="SB15" s="7"/>
      <c r="SC15" s="7">
        <v>1257312</v>
      </c>
      <c r="SD15" s="7"/>
      <c r="SE15" s="7"/>
      <c r="SF15" s="7"/>
      <c r="SG15" s="7"/>
      <c r="SH15" s="7"/>
      <c r="SI15" s="7"/>
      <c r="SJ15" s="7"/>
      <c r="SK15" s="7">
        <v>6396949</v>
      </c>
      <c r="SL15" s="7"/>
      <c r="SM15" s="7">
        <v>1300305</v>
      </c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>
        <v>1841776</v>
      </c>
      <c r="SY15" s="7"/>
      <c r="SZ15" s="7"/>
      <c r="TA15" s="7">
        <v>6203942</v>
      </c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>
        <v>356446522</v>
      </c>
    </row>
    <row r="16" spans="1:535" x14ac:dyDescent="0.25">
      <c r="A16" s="5" t="s">
        <v>1421</v>
      </c>
      <c r="B16" s="7"/>
      <c r="C16" s="7"/>
      <c r="D16" s="7"/>
      <c r="E16" s="7">
        <v>4034238</v>
      </c>
      <c r="F16" s="7"/>
      <c r="G16" s="7"/>
      <c r="H16" s="7"/>
      <c r="I16" s="7">
        <v>2169372</v>
      </c>
      <c r="J16" s="7"/>
      <c r="K16" s="7"/>
      <c r="L16" s="7"/>
      <c r="M16" s="7">
        <v>2767943</v>
      </c>
      <c r="N16" s="7"/>
      <c r="O16" s="7"/>
      <c r="P16" s="7"/>
      <c r="Q16" s="7">
        <v>19926340</v>
      </c>
      <c r="R16" s="7"/>
      <c r="S16" s="7"/>
      <c r="T16" s="7"/>
      <c r="U16" s="7">
        <v>4751910</v>
      </c>
      <c r="V16" s="7"/>
      <c r="W16" s="7"/>
      <c r="X16" s="7"/>
      <c r="Y16" s="7"/>
      <c r="Z16" s="7">
        <v>90529643</v>
      </c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>
        <v>5555579</v>
      </c>
      <c r="AQ16" s="7"/>
      <c r="AR16" s="7"/>
      <c r="AS16" s="7"/>
      <c r="AT16" s="7"/>
      <c r="AU16" s="7"/>
      <c r="AV16" s="7"/>
      <c r="AW16" s="7"/>
      <c r="AX16" s="7">
        <v>3472363</v>
      </c>
      <c r="AY16" s="7"/>
      <c r="AZ16" s="7">
        <v>4428540</v>
      </c>
      <c r="BA16" s="7"/>
      <c r="BB16" s="7"/>
      <c r="BC16" s="7"/>
      <c r="BD16" s="7"/>
      <c r="BE16" s="7">
        <v>2210570</v>
      </c>
      <c r="BF16" s="7">
        <v>9265206</v>
      </c>
      <c r="BG16" s="7"/>
      <c r="BH16" s="7"/>
      <c r="BI16" s="7">
        <v>1190419</v>
      </c>
      <c r="BJ16" s="7"/>
      <c r="BK16" s="7">
        <v>1815564</v>
      </c>
      <c r="BL16" s="7"/>
      <c r="BM16" s="7"/>
      <c r="BN16" s="7">
        <v>1138311</v>
      </c>
      <c r="BO16" s="7"/>
      <c r="BP16" s="7"/>
      <c r="BQ16" s="7">
        <v>9184156</v>
      </c>
      <c r="BR16" s="7"/>
      <c r="BS16" s="7"/>
      <c r="BT16" s="7"/>
      <c r="BU16" s="7"/>
      <c r="BV16" s="7"/>
      <c r="BW16" s="7">
        <v>11632470</v>
      </c>
      <c r="BX16" s="7"/>
      <c r="BY16" s="7"/>
      <c r="BZ16" s="7"/>
      <c r="CA16" s="7">
        <v>5589124</v>
      </c>
      <c r="CB16" s="7"/>
      <c r="CC16" s="7"/>
      <c r="CD16" s="7">
        <v>3400062</v>
      </c>
      <c r="CE16" s="7"/>
      <c r="CF16" s="7"/>
      <c r="CG16" s="7"/>
      <c r="CH16" s="7"/>
      <c r="CI16" s="7"/>
      <c r="CJ16" s="7">
        <v>3579154</v>
      </c>
      <c r="CK16" s="7"/>
      <c r="CL16" s="7"/>
      <c r="CM16" s="7"/>
      <c r="CN16" s="7">
        <v>8253762</v>
      </c>
      <c r="CO16" s="7"/>
      <c r="CP16" s="7"/>
      <c r="CQ16" s="7"/>
      <c r="CR16" s="7">
        <v>5480267</v>
      </c>
      <c r="CS16" s="7"/>
      <c r="CT16" s="7"/>
      <c r="CU16" s="7">
        <v>9821943</v>
      </c>
      <c r="CV16" s="7"/>
      <c r="CW16" s="7"/>
      <c r="CX16" s="7"/>
      <c r="CY16" s="7"/>
      <c r="CZ16" s="7">
        <v>2647538</v>
      </c>
      <c r="DA16" s="7"/>
      <c r="DB16" s="7"/>
      <c r="DC16" s="7"/>
      <c r="DD16" s="7">
        <v>18421918</v>
      </c>
      <c r="DE16" s="7"/>
      <c r="DF16" s="7">
        <v>50936000</v>
      </c>
      <c r="DG16" s="7"/>
      <c r="DH16" s="7"/>
      <c r="DI16" s="7"/>
      <c r="DJ16" s="7"/>
      <c r="DK16" s="7"/>
      <c r="DL16" s="7"/>
      <c r="DM16" s="7"/>
      <c r="DN16" s="7">
        <v>6320625</v>
      </c>
      <c r="DO16" s="7"/>
      <c r="DP16" s="7">
        <v>2754700</v>
      </c>
      <c r="DQ16" s="7"/>
      <c r="DR16" s="7"/>
      <c r="DS16" s="7"/>
      <c r="DT16" s="7">
        <v>36542927</v>
      </c>
      <c r="DU16" s="7"/>
      <c r="DV16" s="7"/>
      <c r="DW16" s="7"/>
      <c r="DX16" s="7">
        <v>141384389</v>
      </c>
      <c r="DY16" s="7"/>
      <c r="DZ16" s="7"/>
      <c r="EA16" s="7"/>
      <c r="EB16" s="7"/>
      <c r="EC16" s="7"/>
      <c r="ED16" s="7">
        <v>13925411</v>
      </c>
      <c r="EE16" s="7"/>
      <c r="EF16" s="7">
        <v>2071064</v>
      </c>
      <c r="EG16" s="7"/>
      <c r="EH16" s="7">
        <v>10456944</v>
      </c>
      <c r="EI16" s="7"/>
      <c r="EJ16" s="7"/>
      <c r="EK16" s="7"/>
      <c r="EL16" s="7"/>
      <c r="EM16" s="7">
        <v>4811364</v>
      </c>
      <c r="EN16" s="7"/>
      <c r="EO16" s="7">
        <v>21314175</v>
      </c>
      <c r="EP16" s="7"/>
      <c r="EQ16" s="7"/>
      <c r="ER16" s="7"/>
      <c r="ES16" s="7"/>
      <c r="ET16" s="7"/>
      <c r="EU16" s="7"/>
      <c r="EV16" s="7"/>
      <c r="EW16" s="7"/>
      <c r="EX16" s="7"/>
      <c r="EY16" s="7">
        <v>6117469</v>
      </c>
      <c r="EZ16" s="7"/>
      <c r="FA16" s="7"/>
      <c r="FB16" s="7">
        <v>14159713</v>
      </c>
      <c r="FC16" s="7"/>
      <c r="FD16" s="7"/>
      <c r="FE16" s="7"/>
      <c r="FF16" s="7">
        <v>7173668</v>
      </c>
      <c r="FG16" s="7"/>
      <c r="FH16" s="7"/>
      <c r="FI16" s="7">
        <v>7969526</v>
      </c>
      <c r="FJ16" s="7"/>
      <c r="FK16" s="7"/>
      <c r="FL16" s="7">
        <v>6399032</v>
      </c>
      <c r="FM16" s="7"/>
      <c r="FN16" s="7"/>
      <c r="FO16" s="7"/>
      <c r="FP16" s="7">
        <v>4924824</v>
      </c>
      <c r="FQ16" s="7"/>
      <c r="FR16" s="7"/>
      <c r="FS16" s="7">
        <v>14491341</v>
      </c>
      <c r="FT16" s="7"/>
      <c r="FU16" s="7"/>
      <c r="FV16" s="7">
        <v>6379321</v>
      </c>
      <c r="FW16" s="7"/>
      <c r="FX16" s="7"/>
      <c r="FY16" s="7"/>
      <c r="FZ16" s="7"/>
      <c r="GA16" s="7"/>
      <c r="GB16" s="7">
        <v>9944781</v>
      </c>
      <c r="GC16" s="7"/>
      <c r="GD16" s="7"/>
      <c r="GE16" s="7"/>
      <c r="GF16" s="7"/>
      <c r="GG16" s="7">
        <v>2533792</v>
      </c>
      <c r="GH16" s="7"/>
      <c r="GI16" s="7"/>
      <c r="GJ16" s="7"/>
      <c r="GK16" s="7">
        <v>4586662</v>
      </c>
      <c r="GL16" s="7"/>
      <c r="GM16" s="7"/>
      <c r="GN16" s="7">
        <v>117122497</v>
      </c>
      <c r="GO16" s="7"/>
      <c r="GP16" s="7"/>
      <c r="GQ16" s="7"/>
      <c r="GR16" s="7">
        <v>1736734</v>
      </c>
      <c r="GS16" s="7"/>
      <c r="GT16" s="7"/>
      <c r="GU16" s="7">
        <v>13908801</v>
      </c>
      <c r="GV16" s="7"/>
      <c r="GW16" s="7"/>
      <c r="GX16" s="7"/>
      <c r="GY16" s="7">
        <v>2281715</v>
      </c>
      <c r="GZ16" s="7"/>
      <c r="HA16" s="7">
        <v>1993241</v>
      </c>
      <c r="HB16" s="7"/>
      <c r="HC16" s="7"/>
      <c r="HD16" s="7">
        <v>2016834</v>
      </c>
      <c r="HE16" s="7"/>
      <c r="HF16" s="7">
        <v>1385670</v>
      </c>
      <c r="HG16" s="7"/>
      <c r="HH16" s="7"/>
      <c r="HI16" s="7"/>
      <c r="HJ16" s="7"/>
      <c r="HK16" s="7">
        <v>1709554</v>
      </c>
      <c r="HL16" s="7"/>
      <c r="HM16" s="7">
        <v>1169250</v>
      </c>
      <c r="HN16" s="7"/>
      <c r="HO16" s="7"/>
      <c r="HP16" s="7"/>
      <c r="HQ16" s="7">
        <v>4300977</v>
      </c>
      <c r="HR16" s="7"/>
      <c r="HS16" s="7"/>
      <c r="HT16" s="7"/>
      <c r="HU16" s="7"/>
      <c r="HV16" s="7">
        <v>3083369</v>
      </c>
      <c r="HW16" s="7"/>
      <c r="HX16" s="7"/>
      <c r="HY16" s="7"/>
      <c r="HZ16" s="7">
        <v>4636546</v>
      </c>
      <c r="IA16" s="7"/>
      <c r="IB16" s="7"/>
      <c r="IC16" s="7"/>
      <c r="ID16" s="7"/>
      <c r="IE16" s="7">
        <v>2476297</v>
      </c>
      <c r="IF16" s="7"/>
      <c r="IG16" s="7"/>
      <c r="IH16" s="7">
        <v>3830060</v>
      </c>
      <c r="II16" s="7"/>
      <c r="IJ16" s="7">
        <v>1552937</v>
      </c>
      <c r="IK16" s="7"/>
      <c r="IL16" s="7"/>
      <c r="IM16" s="7"/>
      <c r="IN16" s="7">
        <v>1623878</v>
      </c>
      <c r="IO16" s="7"/>
      <c r="IP16" s="7">
        <v>1401296</v>
      </c>
      <c r="IQ16" s="7"/>
      <c r="IR16" s="7">
        <v>5167071</v>
      </c>
      <c r="IS16" s="7"/>
      <c r="IT16" s="7"/>
      <c r="IU16" s="7"/>
      <c r="IV16" s="7">
        <v>1351467</v>
      </c>
      <c r="IW16" s="7"/>
      <c r="IX16" s="7">
        <v>9099165</v>
      </c>
      <c r="IY16" s="7"/>
      <c r="IZ16" s="7"/>
      <c r="JA16" s="7"/>
      <c r="JB16" s="7"/>
      <c r="JC16" s="7"/>
      <c r="JD16" s="7"/>
      <c r="JE16" s="7"/>
      <c r="JF16" s="7">
        <v>2236827</v>
      </c>
      <c r="JG16" s="7"/>
      <c r="JH16" s="7"/>
      <c r="JI16" s="7">
        <v>12432583</v>
      </c>
      <c r="JJ16" s="7">
        <v>1232909</v>
      </c>
      <c r="JK16" s="7"/>
      <c r="JL16" s="7"/>
      <c r="JM16" s="7"/>
      <c r="JN16" s="7"/>
      <c r="JO16" s="7">
        <v>4032844</v>
      </c>
      <c r="JP16" s="7"/>
      <c r="JQ16" s="7">
        <v>20197785</v>
      </c>
      <c r="JR16" s="7"/>
      <c r="JS16" s="7"/>
      <c r="JT16" s="7"/>
      <c r="JU16" s="7"/>
      <c r="JV16" s="7"/>
      <c r="JW16" s="7"/>
      <c r="JX16" s="7"/>
      <c r="JY16" s="7"/>
      <c r="JZ16" s="7"/>
      <c r="KA16" s="7">
        <v>86174175</v>
      </c>
      <c r="KB16" s="7"/>
      <c r="KC16" s="7"/>
      <c r="KD16" s="7"/>
      <c r="KE16" s="7"/>
      <c r="KF16" s="7"/>
      <c r="KG16" s="7"/>
      <c r="KH16" s="7"/>
      <c r="KI16" s="7"/>
      <c r="KJ16" s="7"/>
      <c r="KK16" s="7">
        <v>1874063</v>
      </c>
      <c r="KL16" s="7"/>
      <c r="KM16" s="7">
        <v>1203143</v>
      </c>
      <c r="KN16" s="7"/>
      <c r="KO16" s="7"/>
      <c r="KP16" s="7">
        <v>6491908</v>
      </c>
      <c r="KQ16" s="7"/>
      <c r="KR16" s="7"/>
      <c r="KS16" s="7"/>
      <c r="KT16" s="7"/>
      <c r="KU16" s="7"/>
      <c r="KV16" s="7">
        <v>1504857</v>
      </c>
      <c r="KW16" s="7"/>
      <c r="KX16" s="7"/>
      <c r="KY16" s="7"/>
      <c r="KZ16" s="7"/>
      <c r="LA16" s="7"/>
      <c r="LB16" s="7">
        <v>2159221</v>
      </c>
      <c r="LC16" s="7"/>
      <c r="LD16" s="7"/>
      <c r="LE16" s="7">
        <v>1293469</v>
      </c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>
        <v>1525160</v>
      </c>
      <c r="LT16" s="7"/>
      <c r="LU16" s="7"/>
      <c r="LV16" s="7"/>
      <c r="LW16" s="7"/>
      <c r="LX16" s="7"/>
      <c r="LY16" s="7"/>
      <c r="LZ16" s="7">
        <v>1379752</v>
      </c>
      <c r="MA16" s="7"/>
      <c r="MB16" s="7"/>
      <c r="MC16" s="7"/>
      <c r="MD16" s="7">
        <v>2553126</v>
      </c>
      <c r="ME16" s="7">
        <v>5244805</v>
      </c>
      <c r="MF16" s="7"/>
      <c r="MG16" s="7"/>
      <c r="MH16" s="7">
        <v>1583714</v>
      </c>
      <c r="MI16" s="7"/>
      <c r="MJ16" s="7"/>
      <c r="MK16" s="7"/>
      <c r="ML16" s="7"/>
      <c r="MM16" s="7"/>
      <c r="MN16" s="7">
        <v>1656926</v>
      </c>
      <c r="MO16" s="7"/>
      <c r="MP16" s="7"/>
      <c r="MQ16" s="7"/>
      <c r="MR16" s="7"/>
      <c r="MS16" s="7"/>
      <c r="MT16" s="7"/>
      <c r="MU16" s="7"/>
      <c r="MV16" s="7"/>
      <c r="MW16" s="7">
        <v>2182582</v>
      </c>
      <c r="MX16" s="7">
        <v>1141088</v>
      </c>
      <c r="MY16" s="7"/>
      <c r="MZ16" s="7"/>
      <c r="NA16" s="7">
        <v>1158788</v>
      </c>
      <c r="NB16" s="7"/>
      <c r="NC16" s="7">
        <v>4263251</v>
      </c>
      <c r="ND16" s="7"/>
      <c r="NE16" s="7">
        <v>1150223</v>
      </c>
      <c r="NF16" s="7"/>
      <c r="NG16" s="7"/>
      <c r="NH16" s="7"/>
      <c r="NI16" s="7">
        <v>2961592</v>
      </c>
      <c r="NJ16" s="7">
        <v>1621362</v>
      </c>
      <c r="NK16" s="7"/>
      <c r="NL16" s="7"/>
      <c r="NM16" s="7"/>
      <c r="NN16" s="7"/>
      <c r="NO16" s="7">
        <v>1303632</v>
      </c>
      <c r="NP16" s="7">
        <v>1530975</v>
      </c>
      <c r="NQ16" s="7">
        <v>1720705</v>
      </c>
      <c r="NR16" s="7"/>
      <c r="NS16" s="7"/>
      <c r="NT16" s="7"/>
      <c r="NU16" s="7"/>
      <c r="NV16" s="7"/>
      <c r="NW16" s="7"/>
      <c r="NX16" s="7">
        <v>1629273</v>
      </c>
      <c r="NY16" s="7"/>
      <c r="NZ16" s="7"/>
      <c r="OA16" s="7">
        <v>1210558</v>
      </c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>
        <v>1537667</v>
      </c>
      <c r="OM16" s="7">
        <v>1108942</v>
      </c>
      <c r="ON16" s="7"/>
      <c r="OO16" s="7">
        <v>4954557</v>
      </c>
      <c r="OP16" s="7"/>
      <c r="OQ16" s="7">
        <v>35066613</v>
      </c>
      <c r="OR16" s="7"/>
      <c r="OS16" s="7">
        <v>5226222</v>
      </c>
      <c r="OT16" s="7"/>
      <c r="OU16" s="7">
        <v>3588478</v>
      </c>
      <c r="OV16" s="7"/>
      <c r="OW16" s="7"/>
      <c r="OX16" s="7"/>
      <c r="OY16" s="7"/>
      <c r="OZ16" s="7">
        <v>4515438</v>
      </c>
      <c r="PA16" s="7">
        <v>12088077</v>
      </c>
      <c r="PB16" s="7"/>
      <c r="PC16" s="7">
        <v>116759253</v>
      </c>
      <c r="PD16" s="7"/>
      <c r="PE16" s="7"/>
      <c r="PF16" s="7"/>
      <c r="PG16" s="7">
        <v>2299273</v>
      </c>
      <c r="PH16" s="7"/>
      <c r="PI16" s="7"/>
      <c r="PJ16" s="7"/>
      <c r="PK16" s="7"/>
      <c r="PL16" s="7">
        <v>3100563</v>
      </c>
      <c r="PM16" s="7"/>
      <c r="PN16" s="7">
        <v>3054939</v>
      </c>
      <c r="PO16" s="7"/>
      <c r="PP16" s="7">
        <v>1521883</v>
      </c>
      <c r="PQ16" s="7"/>
      <c r="PR16" s="7"/>
      <c r="PS16" s="7"/>
      <c r="PT16" s="7"/>
      <c r="PU16" s="7">
        <v>16923277</v>
      </c>
      <c r="PV16" s="7"/>
      <c r="PW16" s="7"/>
      <c r="PX16" s="7"/>
      <c r="PY16" s="7">
        <v>12228153</v>
      </c>
      <c r="PZ16" s="7">
        <v>5878166</v>
      </c>
      <c r="QA16" s="7"/>
      <c r="QB16" s="7"/>
      <c r="QC16" s="7"/>
      <c r="QD16" s="7"/>
      <c r="QE16" s="7"/>
      <c r="QF16" s="7"/>
      <c r="QG16" s="7"/>
      <c r="QH16" s="7"/>
      <c r="QI16" s="7">
        <v>2048011</v>
      </c>
      <c r="QJ16" s="7"/>
      <c r="QK16" s="7"/>
      <c r="QL16" s="7"/>
      <c r="QM16" s="7">
        <v>3884930</v>
      </c>
      <c r="QN16" s="7"/>
      <c r="QO16" s="7"/>
      <c r="QP16" s="7">
        <v>1181550</v>
      </c>
      <c r="QQ16" s="7"/>
      <c r="QR16" s="7"/>
      <c r="QS16" s="7"/>
      <c r="QT16" s="7">
        <v>6410194</v>
      </c>
      <c r="QU16" s="7">
        <v>1037948</v>
      </c>
      <c r="QV16" s="7"/>
      <c r="QW16" s="7"/>
      <c r="QX16" s="7">
        <v>1241646</v>
      </c>
      <c r="QY16" s="7"/>
      <c r="QZ16" s="7">
        <v>4404804</v>
      </c>
      <c r="RA16" s="7">
        <v>2846457</v>
      </c>
      <c r="RB16" s="7"/>
      <c r="RC16" s="7"/>
      <c r="RD16" s="7"/>
      <c r="RE16" s="7"/>
      <c r="RF16" s="7">
        <v>1423943</v>
      </c>
      <c r="RG16" s="7"/>
      <c r="RH16" s="7"/>
      <c r="RI16" s="7"/>
      <c r="RJ16" s="7"/>
      <c r="RK16" s="7">
        <v>1276998</v>
      </c>
      <c r="RL16" s="7"/>
      <c r="RM16" s="7"/>
      <c r="RN16" s="7">
        <v>1476441</v>
      </c>
      <c r="RO16" s="7"/>
      <c r="RP16" s="7"/>
      <c r="RQ16" s="7"/>
      <c r="RR16" s="7"/>
      <c r="RS16" s="7"/>
      <c r="RT16" s="7"/>
      <c r="RU16" s="7">
        <v>3168553</v>
      </c>
      <c r="RV16" s="7"/>
      <c r="RW16" s="7"/>
      <c r="RX16" s="7"/>
      <c r="RY16" s="7">
        <v>2084179</v>
      </c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>
        <v>7856068</v>
      </c>
      <c r="SL16" s="7"/>
      <c r="SM16" s="7">
        <v>1522936</v>
      </c>
      <c r="SN16" s="7"/>
      <c r="SO16" s="7"/>
      <c r="SP16" s="7"/>
      <c r="SQ16" s="7">
        <v>1693129</v>
      </c>
      <c r="SR16" s="7"/>
      <c r="SS16" s="7"/>
      <c r="ST16" s="7"/>
      <c r="SU16" s="7">
        <v>5291762</v>
      </c>
      <c r="SV16" s="7"/>
      <c r="SW16" s="7">
        <v>36719724</v>
      </c>
      <c r="SX16" s="7"/>
      <c r="SY16" s="7"/>
      <c r="SZ16" s="7"/>
      <c r="TA16" s="7">
        <v>29290060</v>
      </c>
      <c r="TB16" s="7"/>
      <c r="TC16" s="7"/>
      <c r="TD16" s="7"/>
      <c r="TE16" s="7"/>
      <c r="TF16" s="7"/>
      <c r="TG16" s="7">
        <v>191891395</v>
      </c>
      <c r="TH16" s="7"/>
      <c r="TI16" s="7"/>
      <c r="TJ16" s="7"/>
      <c r="TK16" s="7"/>
      <c r="TL16" s="7"/>
      <c r="TM16" s="7">
        <v>40913325</v>
      </c>
      <c r="TN16" s="7"/>
      <c r="TO16" s="7">
        <v>1542478329</v>
      </c>
    </row>
    <row r="17" spans="1:535" x14ac:dyDescent="0.25">
      <c r="A17" s="5" t="s">
        <v>1422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>
        <v>11860375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>
        <v>1189262</v>
      </c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>
        <v>1022115</v>
      </c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>
        <v>2254646</v>
      </c>
      <c r="CS17" s="7"/>
      <c r="CT17" s="7"/>
      <c r="CU17" s="7">
        <v>1883394</v>
      </c>
      <c r="CV17" s="7"/>
      <c r="CW17" s="7"/>
      <c r="CX17" s="7"/>
      <c r="CY17" s="7"/>
      <c r="CZ17" s="7"/>
      <c r="DA17" s="7"/>
      <c r="DB17" s="7"/>
      <c r="DC17" s="7"/>
      <c r="DD17" s="7">
        <v>4720105</v>
      </c>
      <c r="DE17" s="7"/>
      <c r="DF17" s="7"/>
      <c r="DG17" s="7"/>
      <c r="DH17" s="7"/>
      <c r="DI17" s="7"/>
      <c r="DJ17" s="7"/>
      <c r="DK17" s="7"/>
      <c r="DL17" s="7"/>
      <c r="DM17" s="7"/>
      <c r="DN17" s="7">
        <v>1233990</v>
      </c>
      <c r="DO17" s="7"/>
      <c r="DP17" s="7"/>
      <c r="DQ17" s="7">
        <v>3301627</v>
      </c>
      <c r="DR17" s="7">
        <v>1003777</v>
      </c>
      <c r="DS17" s="7"/>
      <c r="DT17" s="7"/>
      <c r="DU17" s="7"/>
      <c r="DV17" s="7"/>
      <c r="DW17" s="7">
        <v>1580197</v>
      </c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>
        <v>2826234</v>
      </c>
      <c r="EI17" s="7"/>
      <c r="EJ17" s="7"/>
      <c r="EK17" s="7"/>
      <c r="EL17" s="7"/>
      <c r="EM17" s="7"/>
      <c r="EN17" s="7">
        <v>1154562</v>
      </c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>
        <v>16240779</v>
      </c>
      <c r="GN17" s="7"/>
      <c r="GO17" s="7"/>
      <c r="GP17" s="7"/>
      <c r="GQ17" s="7"/>
      <c r="GR17" s="7"/>
      <c r="GS17" s="7"/>
      <c r="GT17" s="7"/>
      <c r="GU17" s="7">
        <v>9649198</v>
      </c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>
        <v>2606873</v>
      </c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>
        <v>1657312</v>
      </c>
      <c r="IZ17" s="7"/>
      <c r="JA17" s="7"/>
      <c r="JB17" s="7"/>
      <c r="JC17" s="7"/>
      <c r="JD17" s="7"/>
      <c r="JE17" s="7"/>
      <c r="JF17" s="7"/>
      <c r="JG17" s="7"/>
      <c r="JH17" s="7"/>
      <c r="JI17" s="7">
        <v>6164210</v>
      </c>
      <c r="JJ17" s="7"/>
      <c r="JK17" s="7"/>
      <c r="JL17" s="7"/>
      <c r="JM17" s="7"/>
      <c r="JN17" s="7"/>
      <c r="JO17" s="7"/>
      <c r="JP17" s="7">
        <v>1706560</v>
      </c>
      <c r="JQ17" s="7"/>
      <c r="JR17" s="7">
        <v>1665002</v>
      </c>
      <c r="JS17" s="7"/>
      <c r="JT17" s="7">
        <v>21454414</v>
      </c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/>
      <c r="KQ17" s="7"/>
      <c r="KR17" s="7">
        <v>2680946</v>
      </c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>
        <v>1349293</v>
      </c>
      <c r="LF17" s="7"/>
      <c r="LG17" s="7"/>
      <c r="LH17" s="7"/>
      <c r="LI17" s="7"/>
      <c r="LJ17" s="7"/>
      <c r="LK17" s="7"/>
      <c r="LL17" s="7"/>
      <c r="LM17" s="7"/>
      <c r="LN17" s="7"/>
      <c r="LO17" s="7">
        <v>1072969</v>
      </c>
      <c r="LP17" s="7"/>
      <c r="LQ17" s="7"/>
      <c r="LR17" s="7"/>
      <c r="LS17" s="7">
        <v>1176640</v>
      </c>
      <c r="LT17" s="7"/>
      <c r="LU17" s="7"/>
      <c r="LV17" s="7"/>
      <c r="LW17" s="7"/>
      <c r="LX17" s="7"/>
      <c r="LY17" s="7"/>
      <c r="LZ17" s="7"/>
      <c r="MA17" s="7"/>
      <c r="MB17" s="7"/>
      <c r="MC17" s="7">
        <v>1104907</v>
      </c>
      <c r="MD17" s="7"/>
      <c r="ME17" s="7">
        <v>4560773</v>
      </c>
      <c r="MF17" s="7"/>
      <c r="MG17" s="7"/>
      <c r="MH17" s="7"/>
      <c r="MI17" s="7">
        <v>1008648</v>
      </c>
      <c r="MJ17" s="7"/>
      <c r="MK17" s="7"/>
      <c r="ML17" s="7"/>
      <c r="MM17" s="7"/>
      <c r="MN17" s="7"/>
      <c r="MO17" s="7"/>
      <c r="MP17" s="7"/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/>
      <c r="NE17" s="7"/>
      <c r="NF17" s="7"/>
      <c r="NG17" s="7"/>
      <c r="NH17" s="7"/>
      <c r="NI17" s="7">
        <v>1606810</v>
      </c>
      <c r="NJ17" s="7">
        <v>1329590</v>
      </c>
      <c r="NK17" s="7"/>
      <c r="NL17" s="7"/>
      <c r="NM17" s="7"/>
      <c r="NN17" s="7"/>
      <c r="NO17" s="7"/>
      <c r="NP17" s="7">
        <v>1123326</v>
      </c>
      <c r="NQ17" s="7"/>
      <c r="NR17" s="7"/>
      <c r="NS17" s="7">
        <v>1082575</v>
      </c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>
        <v>1307836</v>
      </c>
      <c r="OM17" s="7"/>
      <c r="ON17" s="7"/>
      <c r="OO17" s="7"/>
      <c r="OP17" s="7"/>
      <c r="OQ17" s="7">
        <v>27795911</v>
      </c>
      <c r="OR17" s="7"/>
      <c r="OS17" s="7"/>
      <c r="OT17" s="7"/>
      <c r="OU17" s="7"/>
      <c r="OV17" s="7">
        <v>1092747</v>
      </c>
      <c r="OW17" s="7"/>
      <c r="OX17" s="7">
        <v>2384129</v>
      </c>
      <c r="OY17" s="7"/>
      <c r="OZ17" s="7">
        <v>7175713</v>
      </c>
      <c r="PA17" s="7">
        <v>10452457</v>
      </c>
      <c r="PB17" s="7"/>
      <c r="PC17" s="7">
        <v>75531148</v>
      </c>
      <c r="PD17" s="7">
        <v>1144262</v>
      </c>
      <c r="PE17" s="7"/>
      <c r="PF17" s="7"/>
      <c r="PG17" s="7">
        <v>1501503</v>
      </c>
      <c r="PH17" s="7"/>
      <c r="PI17" s="7"/>
      <c r="PJ17" s="7"/>
      <c r="PK17" s="7"/>
      <c r="PL17" s="7"/>
      <c r="PM17" s="7">
        <v>1260751</v>
      </c>
      <c r="PN17" s="7"/>
      <c r="PO17" s="7">
        <v>1305237</v>
      </c>
      <c r="PP17" s="7"/>
      <c r="PQ17" s="7">
        <v>1737615</v>
      </c>
      <c r="PR17" s="7"/>
      <c r="PS17" s="7"/>
      <c r="PT17" s="7"/>
      <c r="PU17" s="7">
        <v>9245591</v>
      </c>
      <c r="PV17" s="7"/>
      <c r="PW17" s="7"/>
      <c r="PX17" s="7">
        <v>3144354</v>
      </c>
      <c r="PY17" s="7"/>
      <c r="PZ17" s="7"/>
      <c r="QA17" s="7"/>
      <c r="QB17" s="7">
        <v>4986393</v>
      </c>
      <c r="QC17" s="7"/>
      <c r="QD17" s="7"/>
      <c r="QE17" s="7"/>
      <c r="QF17" s="7"/>
      <c r="QG17" s="7"/>
      <c r="QH17" s="7"/>
      <c r="QI17" s="7">
        <v>1171497</v>
      </c>
      <c r="QJ17" s="7"/>
      <c r="QK17" s="7"/>
      <c r="QL17" s="7"/>
      <c r="QM17" s="7">
        <v>1043277</v>
      </c>
      <c r="QN17" s="7"/>
      <c r="QO17" s="7">
        <v>1389951</v>
      </c>
      <c r="QP17" s="7"/>
      <c r="QQ17" s="7"/>
      <c r="QR17" s="7"/>
      <c r="QS17" s="7"/>
      <c r="QT17" s="7"/>
      <c r="QU17" s="7">
        <v>1262903</v>
      </c>
      <c r="QV17" s="7"/>
      <c r="QW17" s="7"/>
      <c r="QX17" s="7"/>
      <c r="QY17" s="7"/>
      <c r="QZ17" s="7"/>
      <c r="RA17" s="7"/>
      <c r="RB17" s="7"/>
      <c r="RC17" s="7"/>
      <c r="RD17" s="7"/>
      <c r="RE17" s="7"/>
      <c r="RF17" s="7"/>
      <c r="RG17" s="7"/>
      <c r="RH17" s="7"/>
      <c r="RI17" s="7"/>
      <c r="RJ17" s="7"/>
      <c r="RK17" s="7">
        <v>1965602</v>
      </c>
      <c r="RL17" s="7"/>
      <c r="RM17" s="7"/>
      <c r="RN17" s="7"/>
      <c r="RO17" s="7"/>
      <c r="RP17" s="7"/>
      <c r="RQ17" s="7"/>
      <c r="RR17" s="7"/>
      <c r="RS17" s="7"/>
      <c r="RT17" s="7"/>
      <c r="RU17" s="7"/>
      <c r="RV17" s="7"/>
      <c r="RW17" s="7"/>
      <c r="RX17" s="7"/>
      <c r="RY17" s="7"/>
      <c r="RZ17" s="7"/>
      <c r="SA17" s="7"/>
      <c r="SB17" s="7"/>
      <c r="SC17" s="7"/>
      <c r="SD17" s="7"/>
      <c r="SE17" s="7"/>
      <c r="SF17" s="7"/>
      <c r="SG17" s="7"/>
      <c r="SH17" s="7">
        <v>4205888</v>
      </c>
      <c r="SI17" s="7"/>
      <c r="SJ17" s="7"/>
      <c r="SK17" s="7">
        <v>10086686</v>
      </c>
      <c r="SL17" s="7"/>
      <c r="SM17" s="7"/>
      <c r="SN17" s="7"/>
      <c r="SO17" s="7"/>
      <c r="SP17" s="7"/>
      <c r="SQ17" s="7"/>
      <c r="SR17" s="7"/>
      <c r="SS17" s="7"/>
      <c r="ST17" s="7"/>
      <c r="SU17" s="7"/>
      <c r="SV17" s="7"/>
      <c r="SW17" s="7">
        <v>7526809</v>
      </c>
      <c r="SX17" s="7"/>
      <c r="SY17" s="7">
        <v>1081104</v>
      </c>
      <c r="SZ17" s="7"/>
      <c r="TA17" s="7">
        <v>8932920</v>
      </c>
      <c r="TB17" s="7"/>
      <c r="TC17" s="7"/>
      <c r="TD17" s="7"/>
      <c r="TE17" s="7"/>
      <c r="TF17" s="7"/>
      <c r="TG17" s="7"/>
      <c r="TH17" s="7"/>
      <c r="TI17" s="7"/>
      <c r="TJ17" s="7"/>
      <c r="TK17" s="7"/>
      <c r="TL17" s="7"/>
      <c r="TM17" s="7">
        <v>1723733</v>
      </c>
      <c r="TN17" s="7"/>
      <c r="TO17" s="7">
        <v>303727126</v>
      </c>
    </row>
    <row r="18" spans="1:535" x14ac:dyDescent="0.25">
      <c r="A18" s="5" t="s">
        <v>1423</v>
      </c>
      <c r="B18" s="7"/>
      <c r="C18" s="7"/>
      <c r="D18" s="7">
        <v>1187828</v>
      </c>
      <c r="E18" s="7"/>
      <c r="F18" s="7"/>
      <c r="G18" s="7"/>
      <c r="H18" s="7">
        <v>1139074</v>
      </c>
      <c r="I18" s="7"/>
      <c r="J18" s="7"/>
      <c r="K18" s="7"/>
      <c r="L18" s="7">
        <v>1635965</v>
      </c>
      <c r="M18" s="7"/>
      <c r="N18" s="7"/>
      <c r="O18" s="7"/>
      <c r="P18" s="7">
        <v>10421070</v>
      </c>
      <c r="Q18" s="7"/>
      <c r="R18" s="7"/>
      <c r="S18" s="7"/>
      <c r="T18" s="7">
        <v>2361354</v>
      </c>
      <c r="U18" s="7"/>
      <c r="V18" s="7"/>
      <c r="W18" s="7"/>
      <c r="X18" s="7">
        <v>1114781</v>
      </c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>
        <v>1173332</v>
      </c>
      <c r="AX18" s="7"/>
      <c r="AY18" s="7"/>
      <c r="AZ18" s="7">
        <v>2278628</v>
      </c>
      <c r="BA18" s="7"/>
      <c r="BB18" s="7"/>
      <c r="BC18" s="7"/>
      <c r="BD18" s="7"/>
      <c r="BE18" s="7"/>
      <c r="BF18" s="7"/>
      <c r="BG18" s="7">
        <v>3439047</v>
      </c>
      <c r="BH18" s="7"/>
      <c r="BI18" s="7"/>
      <c r="BJ18" s="7"/>
      <c r="BK18" s="7">
        <v>1373556</v>
      </c>
      <c r="BL18" s="7"/>
      <c r="BM18" s="7">
        <v>1052017</v>
      </c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>
        <v>3491718</v>
      </c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>
        <v>1901822</v>
      </c>
      <c r="CK18" s="7"/>
      <c r="CL18" s="7"/>
      <c r="CM18" s="7"/>
      <c r="CN18" s="7"/>
      <c r="CO18" s="7"/>
      <c r="CP18" s="7"/>
      <c r="CQ18" s="7"/>
      <c r="CR18" s="7">
        <v>3104907</v>
      </c>
      <c r="CS18" s="7"/>
      <c r="CT18" s="7"/>
      <c r="CU18" s="7">
        <v>3592325</v>
      </c>
      <c r="CV18" s="7"/>
      <c r="CW18" s="7"/>
      <c r="CX18" s="7"/>
      <c r="CY18" s="7"/>
      <c r="CZ18" s="7"/>
      <c r="DA18" s="7"/>
      <c r="DB18" s="7"/>
      <c r="DC18" s="7"/>
      <c r="DD18" s="7">
        <v>11471320</v>
      </c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>
        <v>1540188</v>
      </c>
      <c r="DP18" s="7"/>
      <c r="DQ18" s="7">
        <v>1616970</v>
      </c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>
        <v>2662679</v>
      </c>
      <c r="EC18" s="7"/>
      <c r="ED18" s="7"/>
      <c r="EE18" s="7"/>
      <c r="EF18" s="7"/>
      <c r="EG18" s="7"/>
      <c r="EH18" s="7"/>
      <c r="EI18" s="7">
        <v>3623988</v>
      </c>
      <c r="EJ18" s="7"/>
      <c r="EK18" s="7"/>
      <c r="EL18" s="7"/>
      <c r="EM18" s="7"/>
      <c r="EN18" s="7"/>
      <c r="EO18" s="7">
        <v>1050986</v>
      </c>
      <c r="EP18" s="7"/>
      <c r="EQ18" s="7"/>
      <c r="ER18" s="7"/>
      <c r="ES18" s="7"/>
      <c r="ET18" s="7"/>
      <c r="EU18" s="7"/>
      <c r="EV18" s="7">
        <v>1076031</v>
      </c>
      <c r="EW18" s="7"/>
      <c r="EX18" s="7"/>
      <c r="EY18" s="7"/>
      <c r="EZ18" s="7"/>
      <c r="FA18" s="7"/>
      <c r="FB18" s="7"/>
      <c r="FC18" s="7"/>
      <c r="FD18" s="7"/>
      <c r="FE18" s="7">
        <v>1056420</v>
      </c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>
        <v>6489179</v>
      </c>
      <c r="GM18" s="7">
        <v>22077877</v>
      </c>
      <c r="GN18" s="7"/>
      <c r="GO18" s="7"/>
      <c r="GP18" s="7"/>
      <c r="GQ18" s="7"/>
      <c r="GR18" s="7"/>
      <c r="GS18" s="7"/>
      <c r="GT18" s="7"/>
      <c r="GU18" s="7">
        <v>14714240</v>
      </c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>
        <v>1171313</v>
      </c>
      <c r="HP18" s="7"/>
      <c r="HQ18" s="7"/>
      <c r="HR18" s="7"/>
      <c r="HS18" s="7"/>
      <c r="HT18" s="7">
        <v>1600019</v>
      </c>
      <c r="HU18" s="7"/>
      <c r="HV18" s="7"/>
      <c r="HW18" s="7"/>
      <c r="HX18" s="7"/>
      <c r="HY18" s="7">
        <v>2022137</v>
      </c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>
        <v>1298562</v>
      </c>
      <c r="IS18" s="7"/>
      <c r="IT18" s="7"/>
      <c r="IU18" s="7"/>
      <c r="IV18" s="7">
        <v>2225809</v>
      </c>
      <c r="IW18" s="7"/>
      <c r="IX18" s="7"/>
      <c r="IY18" s="7">
        <v>2999924</v>
      </c>
      <c r="IZ18" s="7"/>
      <c r="JA18" s="7"/>
      <c r="JB18" s="7"/>
      <c r="JC18" s="7"/>
      <c r="JD18" s="7"/>
      <c r="JE18" s="7"/>
      <c r="JF18" s="7"/>
      <c r="JG18" s="7">
        <v>1446610</v>
      </c>
      <c r="JH18" s="7"/>
      <c r="JI18" s="7">
        <v>7618271</v>
      </c>
      <c r="JJ18" s="7"/>
      <c r="JK18" s="7"/>
      <c r="JL18" s="7"/>
      <c r="JM18" s="7"/>
      <c r="JN18" s="7"/>
      <c r="JO18" s="7">
        <v>3670332</v>
      </c>
      <c r="JP18" s="7"/>
      <c r="JQ18" s="7">
        <v>2845825</v>
      </c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>
        <v>88503090</v>
      </c>
      <c r="KC18" s="7"/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>
        <v>11047071</v>
      </c>
      <c r="KQ18" s="7"/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>
        <v>1267564</v>
      </c>
      <c r="LC18" s="7"/>
      <c r="LD18" s="7"/>
      <c r="LE18" s="7">
        <v>2681449</v>
      </c>
      <c r="LF18" s="7"/>
      <c r="LG18" s="7"/>
      <c r="LH18" s="7"/>
      <c r="LI18" s="7"/>
      <c r="LJ18" s="7"/>
      <c r="LK18" s="7"/>
      <c r="LL18" s="7"/>
      <c r="LM18" s="7"/>
      <c r="LN18" s="7"/>
      <c r="LO18" s="7">
        <v>3283591</v>
      </c>
      <c r="LP18" s="7"/>
      <c r="LQ18" s="7"/>
      <c r="LR18" s="7"/>
      <c r="LS18" s="7">
        <v>2931826</v>
      </c>
      <c r="LT18" s="7"/>
      <c r="LU18" s="7"/>
      <c r="LV18" s="7"/>
      <c r="LW18" s="7"/>
      <c r="LX18" s="7"/>
      <c r="LY18" s="7"/>
      <c r="LZ18" s="7"/>
      <c r="MA18" s="7"/>
      <c r="MB18" s="7"/>
      <c r="MC18" s="7"/>
      <c r="MD18" s="7">
        <v>2070750</v>
      </c>
      <c r="ME18" s="7">
        <v>5594822</v>
      </c>
      <c r="MF18" s="7"/>
      <c r="MG18" s="7"/>
      <c r="MH18" s="7"/>
      <c r="MI18" s="7"/>
      <c r="MJ18" s="7"/>
      <c r="MK18" s="7"/>
      <c r="ML18" s="7"/>
      <c r="MM18" s="7"/>
      <c r="MN18" s="7">
        <v>2507118</v>
      </c>
      <c r="MO18" s="7"/>
      <c r="MP18" s="7"/>
      <c r="MQ18" s="7"/>
      <c r="MR18" s="7"/>
      <c r="MS18" s="7"/>
      <c r="MT18" s="7"/>
      <c r="MU18" s="7"/>
      <c r="MV18" s="7"/>
      <c r="MW18" s="7">
        <v>2062908</v>
      </c>
      <c r="MX18" s="7">
        <v>1586867</v>
      </c>
      <c r="MY18" s="7"/>
      <c r="MZ18" s="7"/>
      <c r="NA18" s="7">
        <v>1799833</v>
      </c>
      <c r="NB18" s="7"/>
      <c r="NC18" s="7"/>
      <c r="ND18" s="7"/>
      <c r="NE18" s="7">
        <v>1164722</v>
      </c>
      <c r="NF18" s="7"/>
      <c r="NG18" s="7"/>
      <c r="NH18" s="7"/>
      <c r="NI18" s="7">
        <v>3994998</v>
      </c>
      <c r="NJ18" s="7">
        <v>1644627</v>
      </c>
      <c r="NK18" s="7"/>
      <c r="NL18" s="7"/>
      <c r="NM18" s="7"/>
      <c r="NN18" s="7"/>
      <c r="NO18" s="7">
        <v>1154117</v>
      </c>
      <c r="NP18" s="7"/>
      <c r="NQ18" s="7"/>
      <c r="NR18" s="7"/>
      <c r="NS18" s="7"/>
      <c r="NT18" s="7"/>
      <c r="NU18" s="7"/>
      <c r="NV18" s="7"/>
      <c r="NW18" s="7"/>
      <c r="NX18" s="7"/>
      <c r="NY18" s="7">
        <v>1045577</v>
      </c>
      <c r="NZ18" s="7"/>
      <c r="OA18" s="7"/>
      <c r="OB18" s="7">
        <v>1156273</v>
      </c>
      <c r="OC18" s="7"/>
      <c r="OD18" s="7"/>
      <c r="OE18" s="7"/>
      <c r="OF18" s="7"/>
      <c r="OG18" s="7"/>
      <c r="OH18" s="7"/>
      <c r="OI18" s="7"/>
      <c r="OJ18" s="7"/>
      <c r="OK18" s="7">
        <v>1212354</v>
      </c>
      <c r="OL18" s="7">
        <v>2043101</v>
      </c>
      <c r="OM18" s="7"/>
      <c r="ON18" s="7"/>
      <c r="OO18" s="7"/>
      <c r="OP18" s="7"/>
      <c r="OQ18" s="7">
        <v>48174241</v>
      </c>
      <c r="OR18" s="7"/>
      <c r="OS18" s="7"/>
      <c r="OT18" s="7"/>
      <c r="OU18" s="7"/>
      <c r="OV18" s="7">
        <v>1996313</v>
      </c>
      <c r="OW18" s="7"/>
      <c r="OX18" s="7">
        <v>1705356</v>
      </c>
      <c r="OY18" s="7"/>
      <c r="OZ18" s="7">
        <v>8598875</v>
      </c>
      <c r="PA18" s="7">
        <v>17076555</v>
      </c>
      <c r="PB18" s="7"/>
      <c r="PC18" s="7">
        <v>139362336</v>
      </c>
      <c r="PD18" s="7">
        <v>1950915</v>
      </c>
      <c r="PE18" s="7"/>
      <c r="PF18" s="7"/>
      <c r="PG18" s="7">
        <v>3859260</v>
      </c>
      <c r="PH18" s="7"/>
      <c r="PI18" s="7"/>
      <c r="PJ18" s="7">
        <v>1720704</v>
      </c>
      <c r="PK18" s="7"/>
      <c r="PL18" s="7"/>
      <c r="PM18" s="7">
        <v>2263406</v>
      </c>
      <c r="PN18" s="7"/>
      <c r="PO18" s="7">
        <v>1930205</v>
      </c>
      <c r="PP18" s="7">
        <v>1985886</v>
      </c>
      <c r="PQ18" s="7"/>
      <c r="PR18" s="7">
        <v>1332021</v>
      </c>
      <c r="PS18" s="7">
        <v>1217191</v>
      </c>
      <c r="PT18" s="7"/>
      <c r="PU18" s="7">
        <v>14155848</v>
      </c>
      <c r="PV18" s="7"/>
      <c r="PW18" s="7">
        <v>5588971</v>
      </c>
      <c r="PX18" s="7"/>
      <c r="PY18" s="7"/>
      <c r="PZ18" s="7"/>
      <c r="QA18" s="7"/>
      <c r="QB18" s="7"/>
      <c r="QC18" s="7"/>
      <c r="QD18" s="7"/>
      <c r="QE18" s="7"/>
      <c r="QF18" s="7"/>
      <c r="QG18" s="7">
        <v>1316962</v>
      </c>
      <c r="QH18" s="7"/>
      <c r="QI18" s="7"/>
      <c r="QJ18" s="7">
        <v>1554438</v>
      </c>
      <c r="QK18" s="7"/>
      <c r="QL18" s="7"/>
      <c r="QM18" s="7">
        <v>1431569</v>
      </c>
      <c r="QN18" s="7"/>
      <c r="QO18" s="7"/>
      <c r="QP18" s="7"/>
      <c r="QQ18" s="7"/>
      <c r="QR18" s="7"/>
      <c r="QS18" s="7"/>
      <c r="QT18" s="7"/>
      <c r="QU18" s="7">
        <v>1006783</v>
      </c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>
        <v>1484334</v>
      </c>
      <c r="SA18" s="7"/>
      <c r="SB18" s="7"/>
      <c r="SC18" s="7"/>
      <c r="SD18" s="7"/>
      <c r="SE18" s="7"/>
      <c r="SF18" s="7">
        <v>1110407</v>
      </c>
      <c r="SG18" s="7"/>
      <c r="SH18" s="7"/>
      <c r="SI18" s="7"/>
      <c r="SJ18" s="7"/>
      <c r="SK18" s="7">
        <v>6883861</v>
      </c>
      <c r="SL18" s="7"/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>
        <v>2668631</v>
      </c>
      <c r="SY18" s="7"/>
      <c r="SZ18" s="7"/>
      <c r="TA18" s="7">
        <v>8023291</v>
      </c>
      <c r="TB18" s="7"/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/>
      <c r="TO18" s="7">
        <v>550697121</v>
      </c>
    </row>
    <row r="19" spans="1:535" x14ac:dyDescent="0.25">
      <c r="A19" s="5" t="s">
        <v>1424</v>
      </c>
      <c r="B19" s="7">
        <v>2196332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>
        <v>3483785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>
        <v>1844920</v>
      </c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>
        <v>2065396</v>
      </c>
      <c r="AX19" s="7"/>
      <c r="AY19" s="7"/>
      <c r="AZ19" s="7"/>
      <c r="BA19" s="7"/>
      <c r="BB19" s="7"/>
      <c r="BC19" s="7"/>
      <c r="BD19" s="7"/>
      <c r="BE19" s="7"/>
      <c r="BF19" s="7">
        <v>5211618</v>
      </c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>
        <v>3364725</v>
      </c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>
        <v>8975803</v>
      </c>
      <c r="CP19" s="7"/>
      <c r="CQ19" s="7"/>
      <c r="CR19" s="7">
        <v>1703113</v>
      </c>
      <c r="CS19" s="7"/>
      <c r="CT19" s="7"/>
      <c r="CU19" s="7">
        <v>2991354</v>
      </c>
      <c r="CV19" s="7"/>
      <c r="CW19" s="7"/>
      <c r="CX19" s="7"/>
      <c r="CY19" s="7"/>
      <c r="CZ19" s="7"/>
      <c r="DA19" s="7"/>
      <c r="DB19" s="7"/>
      <c r="DC19" s="7"/>
      <c r="DD19" s="7">
        <v>21861393</v>
      </c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>
        <v>2207310</v>
      </c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>
        <v>1756096</v>
      </c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>
        <v>1000405</v>
      </c>
      <c r="FY19" s="7"/>
      <c r="FZ19" s="7"/>
      <c r="GA19" s="7"/>
      <c r="GB19" s="7">
        <v>2585198</v>
      </c>
      <c r="GC19" s="7"/>
      <c r="GD19" s="7"/>
      <c r="GE19" s="7"/>
      <c r="GF19" s="7"/>
      <c r="GG19" s="7"/>
      <c r="GH19" s="7"/>
      <c r="GI19" s="7"/>
      <c r="GJ19" s="7"/>
      <c r="GK19" s="7"/>
      <c r="GL19" s="7">
        <v>1704422</v>
      </c>
      <c r="GM19" s="7">
        <v>36084755</v>
      </c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>
        <v>1320645</v>
      </c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>
        <v>1157570</v>
      </c>
      <c r="HX19" s="7"/>
      <c r="HY19" s="7"/>
      <c r="HZ19" s="7">
        <v>8157357</v>
      </c>
      <c r="IA19" s="7"/>
      <c r="IB19" s="7"/>
      <c r="IC19" s="7"/>
      <c r="ID19" s="7"/>
      <c r="IE19" s="7"/>
      <c r="IF19" s="7"/>
      <c r="IG19" s="7"/>
      <c r="IH19" s="7"/>
      <c r="II19" s="7">
        <v>1022941</v>
      </c>
      <c r="IJ19" s="7"/>
      <c r="IK19" s="7"/>
      <c r="IL19" s="7"/>
      <c r="IM19" s="7">
        <v>2958387</v>
      </c>
      <c r="IN19" s="7"/>
      <c r="IO19" s="7"/>
      <c r="IP19" s="7"/>
      <c r="IQ19" s="7">
        <v>1850781</v>
      </c>
      <c r="IR19" s="7"/>
      <c r="IS19" s="7"/>
      <c r="IT19" s="7"/>
      <c r="IU19" s="7"/>
      <c r="IV19" s="7"/>
      <c r="IW19" s="7"/>
      <c r="IX19" s="7">
        <v>6219766</v>
      </c>
      <c r="IY19" s="7"/>
      <c r="IZ19" s="7"/>
      <c r="JA19" s="7"/>
      <c r="JB19" s="7"/>
      <c r="JC19" s="7"/>
      <c r="JD19" s="7"/>
      <c r="JE19" s="7"/>
      <c r="JF19" s="7"/>
      <c r="JG19" s="7"/>
      <c r="JH19" s="7"/>
      <c r="JI19" s="7">
        <v>8725387</v>
      </c>
      <c r="JJ19" s="7"/>
      <c r="JK19" s="7"/>
      <c r="JL19" s="7"/>
      <c r="JM19" s="7"/>
      <c r="JN19" s="7"/>
      <c r="JO19" s="7">
        <v>3523790</v>
      </c>
      <c r="JP19" s="7"/>
      <c r="JQ19" s="7"/>
      <c r="JR19" s="7">
        <v>7179978</v>
      </c>
      <c r="JS19" s="7"/>
      <c r="JT19" s="7"/>
      <c r="JU19" s="7"/>
      <c r="JV19" s="7"/>
      <c r="JW19" s="7">
        <v>26623342</v>
      </c>
      <c r="JX19" s="7"/>
      <c r="JY19" s="7"/>
      <c r="JZ19" s="7"/>
      <c r="KA19" s="7"/>
      <c r="KB19" s="7">
        <v>2589288</v>
      </c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>
        <v>13615206</v>
      </c>
      <c r="KQ19" s="7"/>
      <c r="KR19" s="7"/>
      <c r="KS19" s="7"/>
      <c r="KT19" s="7"/>
      <c r="KU19" s="7"/>
      <c r="KV19" s="7"/>
      <c r="KW19" s="7"/>
      <c r="KX19" s="7"/>
      <c r="KY19" s="7"/>
      <c r="KZ19" s="7"/>
      <c r="LA19" s="7"/>
      <c r="LB19" s="7"/>
      <c r="LC19" s="7"/>
      <c r="LD19" s="7">
        <v>12681604</v>
      </c>
      <c r="LE19" s="7"/>
      <c r="LF19" s="7"/>
      <c r="LG19" s="7"/>
      <c r="LH19" s="7">
        <v>1198941</v>
      </c>
      <c r="LI19" s="7"/>
      <c r="LJ19" s="7">
        <v>1467508</v>
      </c>
      <c r="LK19" s="7"/>
      <c r="LL19" s="7"/>
      <c r="LM19" s="7"/>
      <c r="LN19" s="7">
        <v>2710945</v>
      </c>
      <c r="LO19" s="7"/>
      <c r="LP19" s="7"/>
      <c r="LQ19" s="7">
        <v>1153466</v>
      </c>
      <c r="LR19" s="7"/>
      <c r="LS19" s="7">
        <v>2499148</v>
      </c>
      <c r="LT19" s="7"/>
      <c r="LU19" s="7"/>
      <c r="LV19" s="7"/>
      <c r="LW19" s="7"/>
      <c r="LX19" s="7"/>
      <c r="LY19" s="7"/>
      <c r="LZ19" s="7"/>
      <c r="MA19" s="7"/>
      <c r="MB19" s="7"/>
      <c r="MC19" s="7">
        <v>1908311</v>
      </c>
      <c r="MD19" s="7"/>
      <c r="ME19" s="7">
        <v>4027178</v>
      </c>
      <c r="MF19" s="7"/>
      <c r="MG19" s="7"/>
      <c r="MH19" s="7"/>
      <c r="MI19" s="7">
        <v>1369603</v>
      </c>
      <c r="MJ19" s="7"/>
      <c r="MK19" s="7"/>
      <c r="ML19" s="7"/>
      <c r="MM19" s="7"/>
      <c r="MN19" s="7">
        <v>2599789</v>
      </c>
      <c r="MO19" s="7"/>
      <c r="MP19" s="7">
        <v>1806929</v>
      </c>
      <c r="MQ19" s="7">
        <v>1749896</v>
      </c>
      <c r="MR19" s="7"/>
      <c r="MS19" s="7"/>
      <c r="MT19" s="7"/>
      <c r="MU19" s="7">
        <v>1835049</v>
      </c>
      <c r="MV19" s="7"/>
      <c r="MW19" s="7">
        <v>2508233</v>
      </c>
      <c r="MX19" s="7">
        <v>1645032</v>
      </c>
      <c r="MY19" s="7"/>
      <c r="MZ19" s="7">
        <v>1592519</v>
      </c>
      <c r="NA19" s="7">
        <v>1830666</v>
      </c>
      <c r="NB19" s="7"/>
      <c r="NC19" s="7">
        <v>1254188</v>
      </c>
      <c r="ND19" s="7"/>
      <c r="NE19" s="7">
        <v>1075363</v>
      </c>
      <c r="NF19" s="7"/>
      <c r="NG19" s="7">
        <v>1525628</v>
      </c>
      <c r="NH19" s="7"/>
      <c r="NI19" s="7">
        <v>4825688</v>
      </c>
      <c r="NJ19" s="7">
        <v>2183784</v>
      </c>
      <c r="NK19" s="7"/>
      <c r="NL19" s="7">
        <v>1229022</v>
      </c>
      <c r="NM19" s="7"/>
      <c r="NN19" s="7">
        <v>1541990</v>
      </c>
      <c r="NO19" s="7"/>
      <c r="NP19" s="7">
        <v>1437080</v>
      </c>
      <c r="NQ19" s="7">
        <v>1440900</v>
      </c>
      <c r="NR19" s="7"/>
      <c r="NS19" s="7">
        <v>2351442</v>
      </c>
      <c r="NT19" s="7"/>
      <c r="NU19" s="7"/>
      <c r="NV19" s="7">
        <v>1279378</v>
      </c>
      <c r="NW19" s="7"/>
      <c r="NX19" s="7"/>
      <c r="NY19" s="7">
        <v>1466107</v>
      </c>
      <c r="NZ19" s="7">
        <v>1767021</v>
      </c>
      <c r="OA19" s="7"/>
      <c r="OB19" s="7">
        <v>1923374</v>
      </c>
      <c r="OC19" s="7"/>
      <c r="OD19" s="7">
        <v>6263086</v>
      </c>
      <c r="OE19" s="7"/>
      <c r="OF19" s="7"/>
      <c r="OG19" s="7"/>
      <c r="OH19" s="7">
        <v>2168087</v>
      </c>
      <c r="OI19" s="7">
        <v>1417945</v>
      </c>
      <c r="OJ19" s="7"/>
      <c r="OK19" s="7">
        <v>1222738</v>
      </c>
      <c r="OL19" s="7">
        <v>3570945</v>
      </c>
      <c r="OM19" s="7">
        <v>1383426</v>
      </c>
      <c r="ON19" s="7"/>
      <c r="OO19" s="7"/>
      <c r="OP19" s="7">
        <v>1083421</v>
      </c>
      <c r="OQ19" s="7">
        <v>33799956</v>
      </c>
      <c r="OR19" s="7"/>
      <c r="OS19" s="7"/>
      <c r="OT19" s="7"/>
      <c r="OU19" s="7"/>
      <c r="OV19" s="7"/>
      <c r="OW19" s="7"/>
      <c r="OX19" s="7">
        <v>1665735</v>
      </c>
      <c r="OY19" s="7"/>
      <c r="OZ19" s="7">
        <v>8269563</v>
      </c>
      <c r="PA19" s="7">
        <v>11022396</v>
      </c>
      <c r="PB19" s="7">
        <v>1025926</v>
      </c>
      <c r="PC19" s="7">
        <v>78539166</v>
      </c>
      <c r="PD19" s="7">
        <v>1209154</v>
      </c>
      <c r="PE19" s="7"/>
      <c r="PF19" s="7"/>
      <c r="PG19" s="7">
        <v>3638756</v>
      </c>
      <c r="PH19" s="7"/>
      <c r="PI19" s="7">
        <v>1209637</v>
      </c>
      <c r="PJ19" s="7"/>
      <c r="PK19" s="7"/>
      <c r="PL19" s="7"/>
      <c r="PM19" s="7">
        <v>2276837</v>
      </c>
      <c r="PN19" s="7">
        <v>2308980</v>
      </c>
      <c r="PO19" s="7"/>
      <c r="PP19" s="7">
        <v>2436630</v>
      </c>
      <c r="PQ19" s="7"/>
      <c r="PR19" s="7"/>
      <c r="PS19" s="7">
        <v>1164717</v>
      </c>
      <c r="PT19" s="7"/>
      <c r="PU19" s="7">
        <v>9158661</v>
      </c>
      <c r="PV19" s="7"/>
      <c r="PW19" s="7">
        <v>1698889</v>
      </c>
      <c r="PX19" s="7"/>
      <c r="PY19" s="7"/>
      <c r="PZ19" s="7"/>
      <c r="QA19" s="7"/>
      <c r="QB19" s="7"/>
      <c r="QC19" s="7"/>
      <c r="QD19" s="7"/>
      <c r="QE19" s="7"/>
      <c r="QF19" s="7"/>
      <c r="QG19" s="7">
        <v>2620168</v>
      </c>
      <c r="QH19" s="7"/>
      <c r="QI19" s="7">
        <v>1828135</v>
      </c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>
        <v>1057382</v>
      </c>
      <c r="QU19" s="7"/>
      <c r="QV19" s="7"/>
      <c r="QW19" s="7"/>
      <c r="QX19" s="7"/>
      <c r="QY19" s="7"/>
      <c r="QZ19" s="7"/>
      <c r="RA19" s="7"/>
      <c r="RB19" s="7"/>
      <c r="RC19" s="7"/>
      <c r="RD19" s="7"/>
      <c r="RE19" s="7"/>
      <c r="RF19" s="7"/>
      <c r="RG19" s="7">
        <v>1193125</v>
      </c>
      <c r="RH19" s="7"/>
      <c r="RI19" s="7"/>
      <c r="RJ19" s="7"/>
      <c r="RK19" s="7"/>
      <c r="RL19" s="7"/>
      <c r="RM19" s="7"/>
      <c r="RN19" s="7"/>
      <c r="RO19" s="7"/>
      <c r="RP19" s="7"/>
      <c r="RQ19" s="7"/>
      <c r="RR19" s="7"/>
      <c r="RS19" s="7"/>
      <c r="RT19" s="7">
        <v>2606143</v>
      </c>
      <c r="RU19" s="7"/>
      <c r="RV19" s="7"/>
      <c r="RW19" s="7"/>
      <c r="RX19" s="7"/>
      <c r="RY19" s="7"/>
      <c r="RZ19" s="7"/>
      <c r="SA19" s="7"/>
      <c r="SB19" s="7"/>
      <c r="SC19" s="7">
        <v>5313254</v>
      </c>
      <c r="SD19" s="7"/>
      <c r="SE19" s="7"/>
      <c r="SF19" s="7"/>
      <c r="SG19" s="7"/>
      <c r="SH19" s="7"/>
      <c r="SI19" s="7"/>
      <c r="SJ19" s="7"/>
      <c r="SK19" s="7">
        <v>4693135</v>
      </c>
      <c r="SL19" s="7"/>
      <c r="SM19" s="7"/>
      <c r="SN19" s="7"/>
      <c r="SO19" s="7"/>
      <c r="SP19" s="7"/>
      <c r="SQ19" s="7"/>
      <c r="SR19" s="7"/>
      <c r="SS19" s="7"/>
      <c r="ST19" s="7"/>
      <c r="SU19" s="7"/>
      <c r="SV19" s="7"/>
      <c r="SW19" s="7">
        <v>2214271</v>
      </c>
      <c r="SX19" s="7"/>
      <c r="SY19" s="7"/>
      <c r="SZ19" s="7">
        <v>3074108</v>
      </c>
      <c r="TA19" s="7">
        <v>3482802</v>
      </c>
      <c r="TB19" s="7"/>
      <c r="TC19" s="7"/>
      <c r="TD19" s="7"/>
      <c r="TE19" s="7"/>
      <c r="TF19" s="7"/>
      <c r="TG19" s="7"/>
      <c r="TH19" s="7"/>
      <c r="TI19" s="7"/>
      <c r="TJ19" s="7"/>
      <c r="TK19" s="7"/>
      <c r="TL19" s="7"/>
      <c r="TM19" s="7">
        <v>1527339</v>
      </c>
      <c r="TN19" s="7"/>
      <c r="TO19" s="7">
        <v>460011358</v>
      </c>
    </row>
    <row r="20" spans="1:535" x14ac:dyDescent="0.25">
      <c r="A20" s="5" t="s">
        <v>1425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>
        <v>14969001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>
        <v>1314253</v>
      </c>
      <c r="BB20" s="7"/>
      <c r="BC20" s="7"/>
      <c r="BD20" s="7"/>
      <c r="BE20" s="7"/>
      <c r="BF20" s="7"/>
      <c r="BG20" s="7">
        <v>4141841</v>
      </c>
      <c r="BH20" s="7"/>
      <c r="BI20" s="7"/>
      <c r="BJ20" s="7"/>
      <c r="BK20" s="7"/>
      <c r="BL20" s="7"/>
      <c r="BM20" s="7"/>
      <c r="BN20" s="7"/>
      <c r="BO20" s="7"/>
      <c r="BP20" s="7"/>
      <c r="BQ20" s="7">
        <v>1375739</v>
      </c>
      <c r="BR20" s="7"/>
      <c r="BS20" s="7"/>
      <c r="BT20" s="7"/>
      <c r="BU20" s="7">
        <v>1168169</v>
      </c>
      <c r="BV20" s="7"/>
      <c r="BW20" s="7"/>
      <c r="BX20" s="7"/>
      <c r="BY20" s="7">
        <v>1666731</v>
      </c>
      <c r="BZ20" s="7"/>
      <c r="CA20" s="7"/>
      <c r="CB20" s="7"/>
      <c r="CC20" s="7"/>
      <c r="CD20" s="7">
        <v>1622614</v>
      </c>
      <c r="CE20" s="7"/>
      <c r="CF20" s="7"/>
      <c r="CG20" s="7"/>
      <c r="CH20" s="7"/>
      <c r="CI20" s="7"/>
      <c r="CJ20" s="7"/>
      <c r="CK20" s="7">
        <v>2077330</v>
      </c>
      <c r="CL20" s="7"/>
      <c r="CM20" s="7"/>
      <c r="CN20" s="7"/>
      <c r="CO20" s="7"/>
      <c r="CP20" s="7"/>
      <c r="CQ20" s="7">
        <v>1484465</v>
      </c>
      <c r="CR20" s="7"/>
      <c r="CS20" s="7"/>
      <c r="CT20" s="7"/>
      <c r="CU20" s="7">
        <v>3460618</v>
      </c>
      <c r="CV20" s="7"/>
      <c r="CW20" s="7"/>
      <c r="CX20" s="7"/>
      <c r="CY20" s="7"/>
      <c r="CZ20" s="7"/>
      <c r="DA20" s="7"/>
      <c r="DB20" s="7"/>
      <c r="DC20" s="7"/>
      <c r="DD20" s="7">
        <v>10883053</v>
      </c>
      <c r="DE20" s="7"/>
      <c r="DF20" s="7"/>
      <c r="DG20" s="7"/>
      <c r="DH20" s="7">
        <v>2064734</v>
      </c>
      <c r="DI20" s="7"/>
      <c r="DJ20" s="7"/>
      <c r="DK20" s="7"/>
      <c r="DL20" s="7"/>
      <c r="DM20" s="7">
        <v>1244220</v>
      </c>
      <c r="DN20" s="7"/>
      <c r="DO20" s="7"/>
      <c r="DP20" s="7"/>
      <c r="DQ20" s="7"/>
      <c r="DR20" s="7"/>
      <c r="DS20" s="7"/>
      <c r="DT20" s="7"/>
      <c r="DU20" s="7"/>
      <c r="DV20" s="7">
        <v>10925344</v>
      </c>
      <c r="DW20" s="7"/>
      <c r="DX20" s="7"/>
      <c r="DY20" s="7"/>
      <c r="DZ20" s="7"/>
      <c r="EA20" s="7"/>
      <c r="EB20" s="7">
        <v>2761742</v>
      </c>
      <c r="EC20" s="7">
        <v>1516583</v>
      </c>
      <c r="ED20" s="7"/>
      <c r="EE20" s="7"/>
      <c r="EF20" s="7"/>
      <c r="EG20" s="7"/>
      <c r="EH20" s="7"/>
      <c r="EI20" s="7"/>
      <c r="EJ20" s="7"/>
      <c r="EK20" s="7">
        <v>1541592</v>
      </c>
      <c r="EL20" s="7"/>
      <c r="EM20" s="7"/>
      <c r="EN20" s="7">
        <v>2570159</v>
      </c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>
        <v>1022813</v>
      </c>
      <c r="FA20" s="7"/>
      <c r="FB20" s="7"/>
      <c r="FC20" s="7"/>
      <c r="FD20" s="7">
        <v>1279992</v>
      </c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>
        <v>3772428</v>
      </c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>
        <v>2995161</v>
      </c>
      <c r="GM20" s="7">
        <v>37959662</v>
      </c>
      <c r="GN20" s="7"/>
      <c r="GO20" s="7"/>
      <c r="GP20" s="7"/>
      <c r="GQ20" s="7"/>
      <c r="GR20" s="7"/>
      <c r="GS20" s="7"/>
      <c r="GT20" s="7"/>
      <c r="GU20" s="7">
        <v>4645268</v>
      </c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>
        <v>1061935</v>
      </c>
      <c r="HU20" s="7"/>
      <c r="HV20" s="7"/>
      <c r="HW20" s="7"/>
      <c r="HX20" s="7"/>
      <c r="HY20" s="7">
        <v>1328695</v>
      </c>
      <c r="HZ20" s="7"/>
      <c r="IA20" s="7"/>
      <c r="IB20" s="7">
        <v>1974226</v>
      </c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  <c r="IW20" s="7"/>
      <c r="IX20" s="7"/>
      <c r="IY20" s="7"/>
      <c r="IZ20" s="7">
        <v>1447173</v>
      </c>
      <c r="JA20" s="7"/>
      <c r="JB20" s="7"/>
      <c r="JC20" s="7"/>
      <c r="JD20" s="7"/>
      <c r="JE20" s="7"/>
      <c r="JF20" s="7"/>
      <c r="JG20" s="7">
        <v>1017227</v>
      </c>
      <c r="JH20" s="7"/>
      <c r="JI20" s="7">
        <v>5855401</v>
      </c>
      <c r="JJ20" s="7"/>
      <c r="JK20" s="7"/>
      <c r="JL20" s="7"/>
      <c r="JM20" s="7"/>
      <c r="JN20" s="7"/>
      <c r="JO20" s="7"/>
      <c r="JP20" s="7">
        <v>2022985</v>
      </c>
      <c r="JQ20" s="7">
        <v>1099925</v>
      </c>
      <c r="JR20" s="7"/>
      <c r="JS20" s="7"/>
      <c r="JT20" s="7"/>
      <c r="JU20" s="7"/>
      <c r="JV20" s="7"/>
      <c r="JW20" s="7"/>
      <c r="JX20" s="7"/>
      <c r="JY20" s="7">
        <v>45627254</v>
      </c>
      <c r="JZ20" s="7"/>
      <c r="KA20" s="7"/>
      <c r="KB20" s="7"/>
      <c r="KC20" s="7">
        <v>1214240</v>
      </c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/>
      <c r="KP20" s="7">
        <v>7225912</v>
      </c>
      <c r="KQ20" s="7"/>
      <c r="KR20" s="7"/>
      <c r="KS20" s="7"/>
      <c r="KT20" s="7"/>
      <c r="KU20" s="7"/>
      <c r="KV20" s="7"/>
      <c r="KW20" s="7"/>
      <c r="KX20" s="7"/>
      <c r="KY20" s="7"/>
      <c r="KZ20" s="7"/>
      <c r="LA20" s="7"/>
      <c r="LB20" s="7"/>
      <c r="LC20" s="7"/>
      <c r="LD20" s="7"/>
      <c r="LE20" s="7"/>
      <c r="LF20" s="7"/>
      <c r="LG20" s="7"/>
      <c r="LH20" s="7"/>
      <c r="LI20" s="7"/>
      <c r="LJ20" s="7"/>
      <c r="LK20" s="7"/>
      <c r="LL20" s="7"/>
      <c r="LM20" s="7"/>
      <c r="LN20" s="7"/>
      <c r="LO20" s="7"/>
      <c r="LP20" s="7"/>
      <c r="LQ20" s="7"/>
      <c r="LR20" s="7"/>
      <c r="LS20" s="7">
        <v>1237904</v>
      </c>
      <c r="LT20" s="7"/>
      <c r="LU20" s="7">
        <v>1029031</v>
      </c>
      <c r="LV20" s="7"/>
      <c r="LW20" s="7"/>
      <c r="LX20" s="7"/>
      <c r="LY20" s="7"/>
      <c r="LZ20" s="7"/>
      <c r="MA20" s="7"/>
      <c r="MB20" s="7"/>
      <c r="MC20" s="7">
        <v>1017715</v>
      </c>
      <c r="MD20" s="7"/>
      <c r="ME20" s="7">
        <v>4223416</v>
      </c>
      <c r="MF20" s="7"/>
      <c r="MG20" s="7"/>
      <c r="MH20" s="7"/>
      <c r="MI20" s="7"/>
      <c r="MJ20" s="7"/>
      <c r="MK20" s="7"/>
      <c r="ML20" s="7"/>
      <c r="MM20" s="7"/>
      <c r="MN20" s="7"/>
      <c r="MO20" s="7">
        <v>1071045</v>
      </c>
      <c r="MP20" s="7"/>
      <c r="MQ20" s="7"/>
      <c r="MR20" s="7"/>
      <c r="MS20" s="7"/>
      <c r="MT20" s="7"/>
      <c r="MU20" s="7"/>
      <c r="MV20" s="7"/>
      <c r="MW20" s="7"/>
      <c r="MX20" s="7"/>
      <c r="MY20" s="7"/>
      <c r="MZ20" s="7"/>
      <c r="NA20" s="7"/>
      <c r="NB20" s="7"/>
      <c r="NC20" s="7">
        <v>2016140</v>
      </c>
      <c r="ND20" s="7"/>
      <c r="NE20" s="7"/>
      <c r="NF20" s="7"/>
      <c r="NG20" s="7"/>
      <c r="NH20" s="7"/>
      <c r="NI20" s="7">
        <v>1669370</v>
      </c>
      <c r="NJ20" s="7"/>
      <c r="NK20" s="7"/>
      <c r="NL20" s="7"/>
      <c r="NM20" s="7"/>
      <c r="NN20" s="7"/>
      <c r="NO20" s="7"/>
      <c r="NP20" s="7"/>
      <c r="NQ20" s="7"/>
      <c r="NR20" s="7"/>
      <c r="NS20" s="7"/>
      <c r="NT20" s="7"/>
      <c r="NU20" s="7"/>
      <c r="NV20" s="7"/>
      <c r="NW20" s="7"/>
      <c r="NX20" s="7"/>
      <c r="NY20" s="7"/>
      <c r="NZ20" s="7"/>
      <c r="OA20" s="7"/>
      <c r="OB20" s="7"/>
      <c r="OC20" s="7"/>
      <c r="OD20" s="7"/>
      <c r="OE20" s="7"/>
      <c r="OF20" s="7"/>
      <c r="OG20" s="7"/>
      <c r="OH20" s="7"/>
      <c r="OI20" s="7"/>
      <c r="OJ20" s="7"/>
      <c r="OK20" s="7"/>
      <c r="OL20" s="7"/>
      <c r="OM20" s="7"/>
      <c r="ON20" s="7"/>
      <c r="OO20" s="7">
        <v>1629300</v>
      </c>
      <c r="OP20" s="7"/>
      <c r="OQ20" s="7">
        <v>13251353</v>
      </c>
      <c r="OR20" s="7"/>
      <c r="OS20" s="7"/>
      <c r="OT20" s="7"/>
      <c r="OU20" s="7"/>
      <c r="OV20" s="7"/>
      <c r="OW20" s="7"/>
      <c r="OX20" s="7">
        <v>1211916</v>
      </c>
      <c r="OY20" s="7"/>
      <c r="OZ20" s="7">
        <v>2661630</v>
      </c>
      <c r="PA20" s="7">
        <v>4642002</v>
      </c>
      <c r="PB20" s="7"/>
      <c r="PC20" s="7">
        <v>41549671</v>
      </c>
      <c r="PD20" s="7"/>
      <c r="PE20" s="7"/>
      <c r="PF20" s="7"/>
      <c r="PG20" s="7"/>
      <c r="PH20" s="7"/>
      <c r="PI20" s="7"/>
      <c r="PJ20" s="7"/>
      <c r="PK20" s="7"/>
      <c r="PL20" s="7"/>
      <c r="PM20" s="7"/>
      <c r="PN20" s="7">
        <v>1180876</v>
      </c>
      <c r="PO20" s="7"/>
      <c r="PP20" s="7"/>
      <c r="PQ20" s="7">
        <v>1036986</v>
      </c>
      <c r="PR20" s="7"/>
      <c r="PS20" s="7"/>
      <c r="PT20" s="7"/>
      <c r="PU20" s="7">
        <v>11022847</v>
      </c>
      <c r="PV20" s="7"/>
      <c r="PW20" s="7"/>
      <c r="PX20" s="7"/>
      <c r="PY20" s="7">
        <v>3064613</v>
      </c>
      <c r="PZ20" s="7"/>
      <c r="QA20" s="7"/>
      <c r="QB20" s="7">
        <v>2440630</v>
      </c>
      <c r="QC20" s="7"/>
      <c r="QD20" s="7"/>
      <c r="QE20" s="7"/>
      <c r="QF20" s="7"/>
      <c r="QG20" s="7"/>
      <c r="QH20" s="7"/>
      <c r="QI20" s="7"/>
      <c r="QJ20" s="7"/>
      <c r="QK20" s="7"/>
      <c r="QL20" s="7"/>
      <c r="QM20" s="7">
        <v>1505210</v>
      </c>
      <c r="QN20" s="7"/>
      <c r="QO20" s="7"/>
      <c r="QP20" s="7"/>
      <c r="QQ20" s="7"/>
      <c r="QR20" s="7"/>
      <c r="QS20" s="7"/>
      <c r="QT20" s="7">
        <v>1768027</v>
      </c>
      <c r="QU20" s="7">
        <v>1289804</v>
      </c>
      <c r="QV20" s="7"/>
      <c r="QW20" s="7"/>
      <c r="QX20" s="7"/>
      <c r="QY20" s="7">
        <v>2075536</v>
      </c>
      <c r="QZ20" s="7"/>
      <c r="RA20" s="7"/>
      <c r="RB20" s="7"/>
      <c r="RC20" s="7"/>
      <c r="RD20" s="7"/>
      <c r="RE20" s="7"/>
      <c r="RF20" s="7"/>
      <c r="RG20" s="7"/>
      <c r="RH20" s="7">
        <v>1179128</v>
      </c>
      <c r="RI20" s="7"/>
      <c r="RJ20" s="7">
        <v>1277394</v>
      </c>
      <c r="RK20" s="7"/>
      <c r="RL20" s="7"/>
      <c r="RM20" s="7"/>
      <c r="RN20" s="7"/>
      <c r="RO20" s="7"/>
      <c r="RP20" s="7"/>
      <c r="RQ20" s="7">
        <v>1051557</v>
      </c>
      <c r="RR20" s="7"/>
      <c r="RS20" s="7"/>
      <c r="RT20" s="7">
        <v>1701556</v>
      </c>
      <c r="RU20" s="7"/>
      <c r="RV20" s="7"/>
      <c r="RW20" s="7"/>
      <c r="RX20" s="7">
        <v>1043380</v>
      </c>
      <c r="RY20" s="7"/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>
        <v>3896073</v>
      </c>
      <c r="SL20" s="7"/>
      <c r="SM20" s="7"/>
      <c r="SN20" s="7"/>
      <c r="SO20" s="7"/>
      <c r="SP20" s="7"/>
      <c r="SQ20" s="7"/>
      <c r="SR20" s="7"/>
      <c r="SS20" s="7"/>
      <c r="ST20" s="7"/>
      <c r="SU20" s="7">
        <v>1304368</v>
      </c>
      <c r="SV20" s="7"/>
      <c r="SW20" s="7">
        <v>13469524</v>
      </c>
      <c r="SX20" s="7"/>
      <c r="SY20" s="7"/>
      <c r="SZ20" s="7"/>
      <c r="TA20" s="7">
        <v>6504124</v>
      </c>
      <c r="TB20" s="7"/>
      <c r="TC20" s="7"/>
      <c r="TD20" s="7"/>
      <c r="TE20" s="7"/>
      <c r="TF20" s="7">
        <v>6130708</v>
      </c>
      <c r="TG20" s="7"/>
      <c r="TH20" s="7"/>
      <c r="TI20" s="7"/>
      <c r="TJ20" s="7">
        <v>1280109</v>
      </c>
      <c r="TK20" s="7"/>
      <c r="TL20" s="7"/>
      <c r="TM20" s="7">
        <v>13960782</v>
      </c>
      <c r="TN20" s="7"/>
      <c r="TO20" s="7">
        <v>343732210</v>
      </c>
    </row>
    <row r="21" spans="1:535" x14ac:dyDescent="0.25">
      <c r="A21" s="5" t="s">
        <v>1426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>
        <v>10574829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>
        <v>1521418</v>
      </c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>
        <v>3866323</v>
      </c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>
        <v>1634107</v>
      </c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>
        <v>1858444</v>
      </c>
      <c r="CS21" s="7"/>
      <c r="CT21" s="7"/>
      <c r="CU21" s="7"/>
      <c r="CV21" s="7">
        <v>1194421</v>
      </c>
      <c r="CW21" s="7"/>
      <c r="CX21" s="7"/>
      <c r="CY21" s="7"/>
      <c r="CZ21" s="7"/>
      <c r="DA21" s="7"/>
      <c r="DB21" s="7"/>
      <c r="DC21" s="7"/>
      <c r="DD21" s="7">
        <v>15251564</v>
      </c>
      <c r="DE21" s="7"/>
      <c r="DF21" s="7"/>
      <c r="DG21" s="7"/>
      <c r="DH21" s="7">
        <v>1288378</v>
      </c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>
        <v>1320768</v>
      </c>
      <c r="GM21" s="7">
        <v>63450197</v>
      </c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>
        <v>2562188</v>
      </c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>
        <v>1471742</v>
      </c>
      <c r="IA21" s="7"/>
      <c r="IB21" s="7"/>
      <c r="IC21" s="7">
        <v>1289328</v>
      </c>
      <c r="ID21" s="7"/>
      <c r="IE21" s="7"/>
      <c r="IF21" s="7"/>
      <c r="IG21" s="7">
        <v>1441449</v>
      </c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/>
      <c r="JD21" s="7"/>
      <c r="JE21" s="7"/>
      <c r="JF21" s="7"/>
      <c r="JG21" s="7"/>
      <c r="JH21" s="7"/>
      <c r="JI21" s="7">
        <v>24880729</v>
      </c>
      <c r="JJ21" s="7"/>
      <c r="JK21" s="7"/>
      <c r="JL21" s="7"/>
      <c r="JM21" s="7"/>
      <c r="JN21" s="7"/>
      <c r="JO21" s="7"/>
      <c r="JP21" s="7">
        <v>2038885</v>
      </c>
      <c r="JQ21" s="7"/>
      <c r="JR21" s="7"/>
      <c r="JS21" s="7"/>
      <c r="JT21" s="7"/>
      <c r="JU21" s="7"/>
      <c r="JV21" s="7">
        <v>27132217</v>
      </c>
      <c r="JW21" s="7"/>
      <c r="JX21" s="7"/>
      <c r="JY21" s="7"/>
      <c r="JZ21" s="7"/>
      <c r="KA21" s="7"/>
      <c r="KB21" s="7"/>
      <c r="KC21" s="7">
        <v>1782084</v>
      </c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/>
      <c r="KP21" s="7"/>
      <c r="KQ21" s="7">
        <v>6096492</v>
      </c>
      <c r="KR21" s="7"/>
      <c r="KS21" s="7"/>
      <c r="KT21" s="7"/>
      <c r="KU21" s="7"/>
      <c r="KV21" s="7"/>
      <c r="KW21" s="7"/>
      <c r="KX21" s="7"/>
      <c r="KY21" s="7"/>
      <c r="KZ21" s="7"/>
      <c r="LA21" s="7"/>
      <c r="LB21" s="7"/>
      <c r="LC21" s="7"/>
      <c r="LD21" s="7"/>
      <c r="LE21" s="7"/>
      <c r="LF21" s="7"/>
      <c r="LG21" s="7">
        <v>1914458</v>
      </c>
      <c r="LH21" s="7"/>
      <c r="LI21" s="7"/>
      <c r="LJ21" s="7"/>
      <c r="LK21" s="7">
        <v>1153340</v>
      </c>
      <c r="LL21" s="7"/>
      <c r="LM21" s="7"/>
      <c r="LN21" s="7"/>
      <c r="LO21" s="7"/>
      <c r="LP21" s="7"/>
      <c r="LQ21" s="7"/>
      <c r="LR21" s="7"/>
      <c r="LS21" s="7"/>
      <c r="LT21" s="7"/>
      <c r="LU21" s="7"/>
      <c r="LV21" s="7"/>
      <c r="LW21" s="7"/>
      <c r="LX21" s="7"/>
      <c r="LY21" s="7"/>
      <c r="LZ21" s="7"/>
      <c r="MA21" s="7"/>
      <c r="MB21" s="7"/>
      <c r="MC21" s="7">
        <v>3696918</v>
      </c>
      <c r="MD21" s="7"/>
      <c r="ME21" s="7">
        <v>4854606</v>
      </c>
      <c r="MF21" s="7"/>
      <c r="MG21" s="7"/>
      <c r="MH21" s="7"/>
      <c r="MI21" s="7"/>
      <c r="MJ21" s="7"/>
      <c r="MK21" s="7"/>
      <c r="ML21" s="7"/>
      <c r="MM21" s="7"/>
      <c r="MN21" s="7">
        <v>1050275</v>
      </c>
      <c r="MO21" s="7"/>
      <c r="MP21" s="7"/>
      <c r="MQ21" s="7"/>
      <c r="MR21" s="7"/>
      <c r="MS21" s="7"/>
      <c r="MT21" s="7"/>
      <c r="MU21" s="7"/>
      <c r="MV21" s="7"/>
      <c r="MW21" s="7"/>
      <c r="MX21" s="7"/>
      <c r="MY21" s="7"/>
      <c r="MZ21" s="7"/>
      <c r="NA21" s="7">
        <v>1802514</v>
      </c>
      <c r="NB21" s="7"/>
      <c r="NC21" s="7"/>
      <c r="ND21" s="7"/>
      <c r="NE21" s="7"/>
      <c r="NF21" s="7"/>
      <c r="NG21" s="7"/>
      <c r="NH21" s="7"/>
      <c r="NI21" s="7"/>
      <c r="NJ21" s="7"/>
      <c r="NK21" s="7"/>
      <c r="NL21" s="7"/>
      <c r="NM21" s="7"/>
      <c r="NN21" s="7"/>
      <c r="NO21" s="7"/>
      <c r="NP21" s="7"/>
      <c r="NQ21" s="7"/>
      <c r="NR21" s="7"/>
      <c r="NS21" s="7"/>
      <c r="NT21" s="7"/>
      <c r="NU21" s="7"/>
      <c r="NV21" s="7"/>
      <c r="NW21" s="7"/>
      <c r="NX21" s="7"/>
      <c r="NY21" s="7"/>
      <c r="NZ21" s="7">
        <v>12613962</v>
      </c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/>
      <c r="ON21" s="7"/>
      <c r="OO21" s="7"/>
      <c r="OP21" s="7"/>
      <c r="OQ21" s="7">
        <v>43334200</v>
      </c>
      <c r="OR21" s="7"/>
      <c r="OS21" s="7"/>
      <c r="OT21" s="7"/>
      <c r="OU21" s="7">
        <v>2235459</v>
      </c>
      <c r="OV21" s="7"/>
      <c r="OW21" s="7"/>
      <c r="OX21" s="7">
        <v>2137228</v>
      </c>
      <c r="OY21" s="7"/>
      <c r="OZ21" s="7">
        <v>2746841</v>
      </c>
      <c r="PA21" s="7">
        <v>14132990</v>
      </c>
      <c r="PB21" s="7"/>
      <c r="PC21" s="7">
        <v>126384895</v>
      </c>
      <c r="PD21" s="7"/>
      <c r="PE21" s="7"/>
      <c r="PF21" s="7"/>
      <c r="PG21" s="7">
        <v>1363877</v>
      </c>
      <c r="PH21" s="7"/>
      <c r="PI21" s="7">
        <v>1462134</v>
      </c>
      <c r="PJ21" s="7"/>
      <c r="PK21" s="7"/>
      <c r="PL21" s="7">
        <v>1085688</v>
      </c>
      <c r="PM21" s="7"/>
      <c r="PN21" s="7"/>
      <c r="PO21" s="7"/>
      <c r="PP21" s="7"/>
      <c r="PQ21" s="7">
        <v>1452895</v>
      </c>
      <c r="PR21" s="7"/>
      <c r="PS21" s="7"/>
      <c r="PT21" s="7"/>
      <c r="PU21" s="7">
        <v>12393063</v>
      </c>
      <c r="PV21" s="7"/>
      <c r="PW21" s="7"/>
      <c r="PX21" s="7"/>
      <c r="PY21" s="7">
        <v>2386354</v>
      </c>
      <c r="PZ21" s="7"/>
      <c r="QA21" s="7"/>
      <c r="QB21" s="7"/>
      <c r="QC21" s="7">
        <v>3526054</v>
      </c>
      <c r="QD21" s="7"/>
      <c r="QE21" s="7"/>
      <c r="QF21" s="7"/>
      <c r="QG21" s="7"/>
      <c r="QH21" s="7"/>
      <c r="QI21" s="7">
        <v>1585439</v>
      </c>
      <c r="QJ21" s="7"/>
      <c r="QK21" s="7"/>
      <c r="QL21" s="7">
        <v>1814235</v>
      </c>
      <c r="QM21" s="7"/>
      <c r="QN21" s="7">
        <v>1102621</v>
      </c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/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/>
      <c r="RY21" s="7"/>
      <c r="RZ21" s="7"/>
      <c r="SA21" s="7"/>
      <c r="SB21" s="7"/>
      <c r="SC21" s="7"/>
      <c r="SD21" s="7"/>
      <c r="SE21" s="7"/>
      <c r="SF21" s="7"/>
      <c r="SG21" s="7">
        <v>5077991</v>
      </c>
      <c r="SH21" s="7"/>
      <c r="SI21" s="7"/>
      <c r="SJ21" s="7"/>
      <c r="SK21" s="7">
        <v>5657953</v>
      </c>
      <c r="SL21" s="7"/>
      <c r="SM21" s="7"/>
      <c r="SN21" s="7"/>
      <c r="SO21" s="7"/>
      <c r="SP21" s="7"/>
      <c r="SQ21" s="7"/>
      <c r="SR21" s="7"/>
      <c r="SS21" s="7"/>
      <c r="ST21" s="7"/>
      <c r="SU21" s="7"/>
      <c r="SV21" s="7"/>
      <c r="SW21" s="7">
        <v>11007468</v>
      </c>
      <c r="SX21" s="7"/>
      <c r="SY21" s="7"/>
      <c r="SZ21" s="7"/>
      <c r="TA21" s="7">
        <v>18198469</v>
      </c>
      <c r="TB21" s="7"/>
      <c r="TC21" s="7"/>
      <c r="TD21" s="7"/>
      <c r="TE21" s="7"/>
      <c r="TF21" s="7"/>
      <c r="TG21" s="7"/>
      <c r="TH21" s="7"/>
      <c r="TI21" s="7"/>
      <c r="TJ21" s="7"/>
      <c r="TK21" s="7"/>
      <c r="TL21" s="7"/>
      <c r="TM21" s="7">
        <v>3470941</v>
      </c>
      <c r="TN21" s="7"/>
      <c r="TO21" s="7">
        <v>460298431</v>
      </c>
    </row>
    <row r="22" spans="1:535" x14ac:dyDescent="0.25">
      <c r="A22" s="5" t="s">
        <v>1427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>
        <v>1003169</v>
      </c>
      <c r="O22" s="7"/>
      <c r="P22" s="7">
        <v>11417248</v>
      </c>
      <c r="Q22" s="7"/>
      <c r="R22" s="7"/>
      <c r="S22" s="7">
        <v>1953432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>
        <v>1176314</v>
      </c>
      <c r="AR22" s="7"/>
      <c r="AS22" s="7"/>
      <c r="AT22" s="7"/>
      <c r="AU22" s="7"/>
      <c r="AV22" s="7"/>
      <c r="AW22" s="7"/>
      <c r="AX22" s="7">
        <v>1033728</v>
      </c>
      <c r="AY22" s="7"/>
      <c r="AZ22" s="7"/>
      <c r="BA22" s="7">
        <v>1434543</v>
      </c>
      <c r="BB22" s="7"/>
      <c r="BC22" s="7"/>
      <c r="BD22" s="7"/>
      <c r="BE22" s="7"/>
      <c r="BF22" s="7">
        <v>2840350</v>
      </c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>
        <v>1864859</v>
      </c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>
        <v>1369160</v>
      </c>
      <c r="CS22" s="7"/>
      <c r="CT22" s="7"/>
      <c r="CU22" s="7">
        <v>1021854</v>
      </c>
      <c r="CV22" s="7"/>
      <c r="CW22" s="7"/>
      <c r="CX22" s="7"/>
      <c r="CY22" s="7"/>
      <c r="CZ22" s="7"/>
      <c r="DA22" s="7"/>
      <c r="DB22" s="7"/>
      <c r="DC22" s="7"/>
      <c r="DD22" s="7">
        <v>6948458</v>
      </c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>
        <v>1006766</v>
      </c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>
        <v>1319605</v>
      </c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>
        <v>3277982</v>
      </c>
      <c r="GM22" s="7">
        <v>19462653</v>
      </c>
      <c r="GN22" s="7"/>
      <c r="GO22" s="7"/>
      <c r="GP22" s="7">
        <v>1279091</v>
      </c>
      <c r="GQ22" s="7"/>
      <c r="GR22" s="7"/>
      <c r="GS22" s="7"/>
      <c r="GT22" s="7"/>
      <c r="GU22" s="7">
        <v>2869345</v>
      </c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>
        <v>1085653</v>
      </c>
      <c r="IA22" s="7"/>
      <c r="IB22" s="7">
        <v>1814962</v>
      </c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>
        <v>2760546</v>
      </c>
      <c r="IZ22" s="7"/>
      <c r="JA22" s="7"/>
      <c r="JB22" s="7"/>
      <c r="JC22" s="7"/>
      <c r="JD22" s="7"/>
      <c r="JE22" s="7"/>
      <c r="JF22" s="7"/>
      <c r="JG22" s="7"/>
      <c r="JH22" s="7"/>
      <c r="JI22" s="7">
        <v>7618913</v>
      </c>
      <c r="JJ22" s="7"/>
      <c r="JK22" s="7"/>
      <c r="JL22" s="7"/>
      <c r="JM22" s="7"/>
      <c r="JN22" s="7"/>
      <c r="JO22" s="7"/>
      <c r="JP22" s="7">
        <v>1598189</v>
      </c>
      <c r="JQ22" s="7"/>
      <c r="JR22" s="7"/>
      <c r="JS22" s="7"/>
      <c r="JT22" s="7"/>
      <c r="JU22" s="7"/>
      <c r="JV22" s="7"/>
      <c r="JW22" s="7"/>
      <c r="JX22" s="7"/>
      <c r="JY22" s="7"/>
      <c r="JZ22" s="7">
        <v>59211121</v>
      </c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>
        <v>6209355</v>
      </c>
      <c r="KR22" s="7"/>
      <c r="KS22" s="7"/>
      <c r="KT22" s="7"/>
      <c r="KU22" s="7"/>
      <c r="KV22" s="7"/>
      <c r="KW22" s="7"/>
      <c r="KX22" s="7"/>
      <c r="KY22" s="7">
        <v>1168043</v>
      </c>
      <c r="KZ22" s="7"/>
      <c r="LA22" s="7"/>
      <c r="LB22" s="7"/>
      <c r="LC22" s="7"/>
      <c r="LD22" s="7"/>
      <c r="LE22" s="7">
        <v>1556499</v>
      </c>
      <c r="LF22" s="7"/>
      <c r="LG22" s="7"/>
      <c r="LH22" s="7"/>
      <c r="LI22" s="7"/>
      <c r="LJ22" s="7"/>
      <c r="LK22" s="7"/>
      <c r="LL22" s="7"/>
      <c r="LM22" s="7"/>
      <c r="LN22" s="7"/>
      <c r="LO22" s="7">
        <v>1672632</v>
      </c>
      <c r="LP22" s="7"/>
      <c r="LQ22" s="7"/>
      <c r="LR22" s="7"/>
      <c r="LS22" s="7">
        <v>1168881</v>
      </c>
      <c r="LT22" s="7"/>
      <c r="LU22" s="7"/>
      <c r="LV22" s="7"/>
      <c r="LW22" s="7"/>
      <c r="LX22" s="7"/>
      <c r="LY22" s="7"/>
      <c r="LZ22" s="7"/>
      <c r="MA22" s="7"/>
      <c r="MB22" s="7"/>
      <c r="MC22" s="7">
        <v>1414088</v>
      </c>
      <c r="MD22" s="7"/>
      <c r="ME22" s="7">
        <v>5061221</v>
      </c>
      <c r="MF22" s="7"/>
      <c r="MG22" s="7"/>
      <c r="MH22" s="7"/>
      <c r="MI22" s="7"/>
      <c r="MJ22" s="7"/>
      <c r="MK22" s="7"/>
      <c r="ML22" s="7"/>
      <c r="MM22" s="7"/>
      <c r="MN22" s="7">
        <v>1575122</v>
      </c>
      <c r="MO22" s="7"/>
      <c r="MP22" s="7"/>
      <c r="MQ22" s="7"/>
      <c r="MR22" s="7"/>
      <c r="MS22" s="7"/>
      <c r="MT22" s="7"/>
      <c r="MU22" s="7"/>
      <c r="MV22" s="7"/>
      <c r="MW22" s="7">
        <v>1014549</v>
      </c>
      <c r="MX22" s="7"/>
      <c r="MY22" s="7"/>
      <c r="MZ22" s="7"/>
      <c r="NA22" s="7">
        <v>1205698</v>
      </c>
      <c r="NB22" s="7"/>
      <c r="NC22" s="7"/>
      <c r="ND22" s="7"/>
      <c r="NE22" s="7"/>
      <c r="NF22" s="7"/>
      <c r="NG22" s="7"/>
      <c r="NH22" s="7"/>
      <c r="NI22" s="7">
        <v>1675276</v>
      </c>
      <c r="NJ22" s="7"/>
      <c r="NK22" s="7"/>
      <c r="NL22" s="7"/>
      <c r="NM22" s="7"/>
      <c r="NN22" s="7">
        <v>1027966</v>
      </c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>
        <v>26092883</v>
      </c>
      <c r="OR22" s="7"/>
      <c r="OS22" s="7"/>
      <c r="OT22" s="7"/>
      <c r="OU22" s="7"/>
      <c r="OV22" s="7"/>
      <c r="OW22" s="7"/>
      <c r="OX22" s="7"/>
      <c r="OY22" s="7"/>
      <c r="OZ22" s="7">
        <v>4521320</v>
      </c>
      <c r="PA22" s="7">
        <v>8085976</v>
      </c>
      <c r="PB22" s="7"/>
      <c r="PC22" s="7">
        <v>70343032</v>
      </c>
      <c r="PD22" s="7">
        <v>1111509</v>
      </c>
      <c r="PE22" s="7"/>
      <c r="PF22" s="7"/>
      <c r="PG22" s="7">
        <v>2140688</v>
      </c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>
        <v>4241327</v>
      </c>
      <c r="PV22" s="7"/>
      <c r="PW22" s="7"/>
      <c r="PX22" s="7">
        <v>3773402</v>
      </c>
      <c r="PY22" s="7"/>
      <c r="PZ22" s="7"/>
      <c r="QA22" s="7">
        <v>3271138</v>
      </c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>
        <v>1629725</v>
      </c>
      <c r="QT22" s="7"/>
      <c r="QU22" s="7">
        <v>1209217</v>
      </c>
      <c r="QV22" s="7"/>
      <c r="QW22" s="7">
        <v>1917217</v>
      </c>
      <c r="QX22" s="7"/>
      <c r="QY22" s="7">
        <v>1087999</v>
      </c>
      <c r="QZ22" s="7"/>
      <c r="RA22" s="7"/>
      <c r="RB22" s="7"/>
      <c r="RC22" s="7"/>
      <c r="RD22" s="7"/>
      <c r="RE22" s="7">
        <v>9054503</v>
      </c>
      <c r="RF22" s="7"/>
      <c r="RG22" s="7"/>
      <c r="RH22" s="7"/>
      <c r="RI22" s="7"/>
      <c r="RJ22" s="7"/>
      <c r="RK22" s="7">
        <v>4487881</v>
      </c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>
        <v>1188884</v>
      </c>
      <c r="SA22" s="7"/>
      <c r="SB22" s="7"/>
      <c r="SC22" s="7"/>
      <c r="SD22" s="7">
        <v>1602938</v>
      </c>
      <c r="SE22" s="7"/>
      <c r="SF22" s="7">
        <v>2146314</v>
      </c>
      <c r="SG22" s="7"/>
      <c r="SH22" s="7"/>
      <c r="SI22" s="7"/>
      <c r="SJ22" s="7"/>
      <c r="SK22" s="7">
        <v>159363527</v>
      </c>
      <c r="SL22" s="7"/>
      <c r="SM22" s="7"/>
      <c r="SN22" s="7"/>
      <c r="SO22" s="7"/>
      <c r="SP22" s="7">
        <v>6578848</v>
      </c>
      <c r="SQ22" s="7"/>
      <c r="SR22" s="7">
        <v>1379881</v>
      </c>
      <c r="SS22" s="7"/>
      <c r="ST22" s="7"/>
      <c r="SU22" s="7"/>
      <c r="SV22" s="7">
        <v>1166279</v>
      </c>
      <c r="SW22" s="7">
        <v>2642152</v>
      </c>
      <c r="SX22" s="7"/>
      <c r="SY22" s="7">
        <v>1046837</v>
      </c>
      <c r="SZ22" s="7"/>
      <c r="TA22" s="7">
        <v>29811597</v>
      </c>
      <c r="TB22" s="7"/>
      <c r="TC22" s="7">
        <v>1193066</v>
      </c>
      <c r="TD22" s="7"/>
      <c r="TE22" s="7">
        <v>1250586</v>
      </c>
      <c r="TF22" s="7"/>
      <c r="TG22" s="7"/>
      <c r="TH22" s="7"/>
      <c r="TI22" s="7"/>
      <c r="TJ22" s="7"/>
      <c r="TK22" s="7"/>
      <c r="TL22" s="7"/>
      <c r="TM22" s="7"/>
      <c r="TN22" s="7"/>
      <c r="TO22" s="7">
        <v>512455997</v>
      </c>
    </row>
    <row r="23" spans="1:535" x14ac:dyDescent="0.25">
      <c r="A23" s="5" t="s">
        <v>1428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>
        <v>18392059</v>
      </c>
      <c r="Q23" s="7"/>
      <c r="R23" s="7"/>
      <c r="S23" s="7"/>
      <c r="T23" s="7"/>
      <c r="U23" s="7"/>
      <c r="V23" s="7">
        <v>1057492</v>
      </c>
      <c r="W23" s="7"/>
      <c r="X23" s="7"/>
      <c r="Y23" s="7">
        <v>159720212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>
        <v>8178728</v>
      </c>
      <c r="AM23" s="7">
        <v>1701957</v>
      </c>
      <c r="AN23" s="7">
        <v>2090108</v>
      </c>
      <c r="AO23" s="7"/>
      <c r="AP23" s="7">
        <v>5067674</v>
      </c>
      <c r="AQ23" s="7"/>
      <c r="AR23" s="7">
        <v>3974896</v>
      </c>
      <c r="AS23" s="7"/>
      <c r="AT23" s="7"/>
      <c r="AU23" s="7"/>
      <c r="AV23" s="7"/>
      <c r="AW23" s="7">
        <v>1473139</v>
      </c>
      <c r="AX23" s="7"/>
      <c r="AY23" s="7"/>
      <c r="AZ23" s="7"/>
      <c r="BA23" s="7"/>
      <c r="BB23" s="7"/>
      <c r="BC23" s="7"/>
      <c r="BD23" s="7"/>
      <c r="BE23" s="7"/>
      <c r="BF23" s="7">
        <v>6016420</v>
      </c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>
        <v>1083078</v>
      </c>
      <c r="BT23" s="7"/>
      <c r="BU23" s="7"/>
      <c r="BV23" s="7"/>
      <c r="BW23" s="7">
        <v>4773722</v>
      </c>
      <c r="BX23" s="7"/>
      <c r="BY23" s="7"/>
      <c r="BZ23" s="7"/>
      <c r="CA23" s="7"/>
      <c r="CB23" s="7">
        <v>3263083</v>
      </c>
      <c r="CC23" s="7"/>
      <c r="CD23" s="7">
        <v>3115905</v>
      </c>
      <c r="CE23" s="7"/>
      <c r="CF23" s="7"/>
      <c r="CG23" s="7"/>
      <c r="CH23" s="7"/>
      <c r="CI23" s="7">
        <v>2097453</v>
      </c>
      <c r="CJ23" s="7"/>
      <c r="CK23" s="7"/>
      <c r="CL23" s="7"/>
      <c r="CM23" s="7"/>
      <c r="CN23" s="7"/>
      <c r="CO23" s="7"/>
      <c r="CP23" s="7">
        <v>1005631</v>
      </c>
      <c r="CQ23" s="7">
        <v>7394894</v>
      </c>
      <c r="CR23" s="7"/>
      <c r="CS23" s="7"/>
      <c r="CT23" s="7">
        <v>8716039</v>
      </c>
      <c r="CU23" s="7"/>
      <c r="CV23" s="7"/>
      <c r="CW23" s="7"/>
      <c r="CX23" s="7">
        <v>2082081</v>
      </c>
      <c r="CY23" s="7"/>
      <c r="CZ23" s="7">
        <v>1382813</v>
      </c>
      <c r="DA23" s="7"/>
      <c r="DB23" s="7"/>
      <c r="DC23" s="7">
        <v>22482736</v>
      </c>
      <c r="DD23" s="7"/>
      <c r="DE23" s="7"/>
      <c r="DF23" s="7">
        <v>95073719</v>
      </c>
      <c r="DG23" s="7"/>
      <c r="DH23" s="7"/>
      <c r="DI23" s="7"/>
      <c r="DJ23" s="7"/>
      <c r="DK23" s="7"/>
      <c r="DL23" s="7"/>
      <c r="DM23" s="7"/>
      <c r="DN23" s="7">
        <v>1980316</v>
      </c>
      <c r="DO23" s="7"/>
      <c r="DP23" s="7"/>
      <c r="DQ23" s="7">
        <v>2721294</v>
      </c>
      <c r="DR23" s="7"/>
      <c r="DS23" s="7"/>
      <c r="DT23" s="7"/>
      <c r="DU23" s="7"/>
      <c r="DV23" s="7">
        <v>1991535</v>
      </c>
      <c r="DW23" s="7"/>
      <c r="DX23" s="7"/>
      <c r="DY23" s="7"/>
      <c r="DZ23" s="7"/>
      <c r="EA23" s="7">
        <v>1419428</v>
      </c>
      <c r="EB23" s="7"/>
      <c r="EC23" s="7"/>
      <c r="ED23" s="7"/>
      <c r="EE23" s="7"/>
      <c r="EF23" s="7"/>
      <c r="EG23" s="7"/>
      <c r="EH23" s="7">
        <v>3218886</v>
      </c>
      <c r="EI23" s="7"/>
      <c r="EJ23" s="7"/>
      <c r="EK23" s="7"/>
      <c r="EL23" s="7"/>
      <c r="EM23" s="7"/>
      <c r="EN23" s="7"/>
      <c r="EO23" s="7"/>
      <c r="EP23" s="7"/>
      <c r="EQ23" s="7"/>
      <c r="ER23" s="7">
        <v>4328192</v>
      </c>
      <c r="ES23" s="7"/>
      <c r="ET23" s="7"/>
      <c r="EU23" s="7">
        <v>2060918</v>
      </c>
      <c r="EV23" s="7"/>
      <c r="EW23" s="7"/>
      <c r="EX23" s="7">
        <v>1239558</v>
      </c>
      <c r="EY23" s="7"/>
      <c r="EZ23" s="7"/>
      <c r="FA23" s="7"/>
      <c r="FB23" s="7"/>
      <c r="FC23" s="7"/>
      <c r="FD23" s="7">
        <v>1127030</v>
      </c>
      <c r="FE23" s="7"/>
      <c r="FF23" s="7"/>
      <c r="FG23" s="7"/>
      <c r="FH23" s="7"/>
      <c r="FI23" s="7">
        <v>1537733</v>
      </c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>
        <v>1013647</v>
      </c>
      <c r="FX23" s="7">
        <v>1125769</v>
      </c>
      <c r="FY23" s="7"/>
      <c r="FZ23" s="7"/>
      <c r="GA23" s="7"/>
      <c r="GB23" s="7">
        <v>1594660</v>
      </c>
      <c r="GC23" s="7"/>
      <c r="GD23" s="7"/>
      <c r="GE23" s="7"/>
      <c r="GF23" s="7"/>
      <c r="GG23" s="7"/>
      <c r="GH23" s="7"/>
      <c r="GI23" s="7"/>
      <c r="GJ23" s="7"/>
      <c r="GK23" s="7">
        <v>2223584</v>
      </c>
      <c r="GL23" s="7"/>
      <c r="GM23" s="7">
        <v>36807428</v>
      </c>
      <c r="GN23" s="7"/>
      <c r="GO23" s="7">
        <v>1413044</v>
      </c>
      <c r="GP23" s="7"/>
      <c r="GQ23" s="7"/>
      <c r="GR23" s="7"/>
      <c r="GS23" s="7"/>
      <c r="GT23" s="7"/>
      <c r="GU23" s="7">
        <v>3792005</v>
      </c>
      <c r="GV23" s="7"/>
      <c r="GW23" s="7"/>
      <c r="GX23" s="7"/>
      <c r="GY23" s="7"/>
      <c r="GZ23" s="7"/>
      <c r="HA23" s="7"/>
      <c r="HB23" s="7"/>
      <c r="HC23" s="7"/>
      <c r="HD23" s="7"/>
      <c r="HE23" s="7">
        <v>2870608</v>
      </c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>
        <v>1434097</v>
      </c>
      <c r="HX23" s="7"/>
      <c r="HY23" s="7">
        <v>6137347</v>
      </c>
      <c r="HZ23" s="7"/>
      <c r="IA23" s="7"/>
      <c r="IB23" s="7"/>
      <c r="IC23" s="7"/>
      <c r="ID23" s="7"/>
      <c r="IE23" s="7"/>
      <c r="IF23" s="7">
        <v>1038297</v>
      </c>
      <c r="IG23" s="7"/>
      <c r="IH23" s="7">
        <v>1183184</v>
      </c>
      <c r="II23" s="7"/>
      <c r="IJ23" s="7"/>
      <c r="IK23" s="7"/>
      <c r="IL23" s="7"/>
      <c r="IM23" s="7"/>
      <c r="IN23" s="7"/>
      <c r="IO23" s="7"/>
      <c r="IP23" s="7">
        <v>1010104</v>
      </c>
      <c r="IQ23" s="7"/>
      <c r="IR23" s="7">
        <v>28038219</v>
      </c>
      <c r="IS23" s="7"/>
      <c r="IT23" s="7"/>
      <c r="IU23" s="7"/>
      <c r="IV23" s="7"/>
      <c r="IW23" s="7">
        <v>1739694</v>
      </c>
      <c r="IX23" s="7"/>
      <c r="IY23" s="7"/>
      <c r="IZ23" s="7"/>
      <c r="JA23" s="7">
        <v>1391842</v>
      </c>
      <c r="JB23" s="7"/>
      <c r="JC23" s="7"/>
      <c r="JD23" s="7"/>
      <c r="JE23" s="7"/>
      <c r="JF23" s="7">
        <v>1569223</v>
      </c>
      <c r="JG23" s="7"/>
      <c r="JH23" s="7"/>
      <c r="JI23" s="7">
        <v>12422228</v>
      </c>
      <c r="JJ23" s="7"/>
      <c r="JK23" s="7"/>
      <c r="JL23" s="7"/>
      <c r="JM23" s="7"/>
      <c r="JN23" s="7"/>
      <c r="JO23" s="7">
        <v>5014502</v>
      </c>
      <c r="JP23" s="7"/>
      <c r="JQ23" s="7">
        <v>22984957</v>
      </c>
      <c r="JR23" s="7"/>
      <c r="JS23" s="7"/>
      <c r="JT23" s="7"/>
      <c r="JU23" s="7"/>
      <c r="JV23" s="7">
        <v>31137782</v>
      </c>
      <c r="JW23" s="7"/>
      <c r="JX23" s="7"/>
      <c r="JY23" s="7"/>
      <c r="JZ23" s="7"/>
      <c r="KA23" s="7"/>
      <c r="KB23" s="7"/>
      <c r="KC23" s="7">
        <v>2429819</v>
      </c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>
        <v>14393075</v>
      </c>
      <c r="KP23" s="7"/>
      <c r="KQ23" s="7"/>
      <c r="KR23" s="7"/>
      <c r="KS23" s="7"/>
      <c r="KT23" s="7"/>
      <c r="KU23" s="7"/>
      <c r="KV23" s="7"/>
      <c r="KW23" s="7"/>
      <c r="KX23" s="7"/>
      <c r="KY23" s="7">
        <v>1021480</v>
      </c>
      <c r="KZ23" s="7"/>
      <c r="LA23" s="7"/>
      <c r="LB23" s="7"/>
      <c r="LC23" s="7"/>
      <c r="LD23" s="7"/>
      <c r="LE23" s="7">
        <v>3530979</v>
      </c>
      <c r="LF23" s="7"/>
      <c r="LG23" s="7"/>
      <c r="LH23" s="7">
        <v>1485997</v>
      </c>
      <c r="LI23" s="7"/>
      <c r="LJ23" s="7"/>
      <c r="LK23" s="7"/>
      <c r="LL23" s="7"/>
      <c r="LM23" s="7"/>
      <c r="LN23" s="7"/>
      <c r="LO23" s="7">
        <v>1900767</v>
      </c>
      <c r="LP23" s="7"/>
      <c r="LQ23" s="7"/>
      <c r="LR23" s="7">
        <v>3244503</v>
      </c>
      <c r="LS23" s="7"/>
      <c r="LT23" s="7">
        <v>1317007</v>
      </c>
      <c r="LU23" s="7"/>
      <c r="LV23" s="7"/>
      <c r="LW23" s="7"/>
      <c r="LX23" s="7"/>
      <c r="LY23" s="7"/>
      <c r="LZ23" s="7"/>
      <c r="MA23" s="7">
        <v>1234052</v>
      </c>
      <c r="MB23" s="7"/>
      <c r="MC23" s="7">
        <v>2412059</v>
      </c>
      <c r="MD23" s="7"/>
      <c r="ME23" s="7">
        <v>4590419</v>
      </c>
      <c r="MF23" s="7"/>
      <c r="MG23" s="7">
        <v>1124172</v>
      </c>
      <c r="MH23" s="7">
        <v>1480267</v>
      </c>
      <c r="MI23" s="7"/>
      <c r="MJ23" s="7"/>
      <c r="MK23" s="7"/>
      <c r="ML23" s="7"/>
      <c r="MM23" s="7">
        <v>3246381</v>
      </c>
      <c r="MN23" s="7"/>
      <c r="MO23" s="7"/>
      <c r="MP23" s="7"/>
      <c r="MQ23" s="7"/>
      <c r="MR23" s="7"/>
      <c r="MS23" s="7"/>
      <c r="MT23" s="7"/>
      <c r="MU23" s="7"/>
      <c r="MV23" s="7"/>
      <c r="MW23" s="7">
        <v>2927187</v>
      </c>
      <c r="MX23" s="7"/>
      <c r="MY23" s="7">
        <v>2065076</v>
      </c>
      <c r="MZ23" s="7"/>
      <c r="NA23" s="7">
        <v>1918223</v>
      </c>
      <c r="NB23" s="7"/>
      <c r="NC23" s="7">
        <v>10306980</v>
      </c>
      <c r="ND23" s="7"/>
      <c r="NE23" s="7">
        <v>3892529</v>
      </c>
      <c r="NF23" s="7"/>
      <c r="NG23" s="7"/>
      <c r="NH23" s="7">
        <v>4742178</v>
      </c>
      <c r="NI23" s="7"/>
      <c r="NJ23" s="7">
        <v>2793638</v>
      </c>
      <c r="NK23" s="7"/>
      <c r="NL23" s="7"/>
      <c r="NM23" s="7"/>
      <c r="NN23" s="7">
        <v>1953113</v>
      </c>
      <c r="NO23" s="7"/>
      <c r="NP23" s="7"/>
      <c r="NQ23" s="7"/>
      <c r="NR23" s="7"/>
      <c r="NS23" s="7"/>
      <c r="NT23" s="7">
        <v>1132872</v>
      </c>
      <c r="NU23" s="7"/>
      <c r="NV23" s="7"/>
      <c r="NW23" s="7">
        <v>2249901</v>
      </c>
      <c r="NX23" s="7"/>
      <c r="NY23" s="7">
        <v>1717951</v>
      </c>
      <c r="NZ23" s="7"/>
      <c r="OA23" s="7"/>
      <c r="OB23" s="7">
        <v>1780049</v>
      </c>
      <c r="OC23" s="7"/>
      <c r="OD23" s="7"/>
      <c r="OE23" s="7"/>
      <c r="OF23" s="7">
        <v>1021621</v>
      </c>
      <c r="OG23" s="7">
        <v>1251975</v>
      </c>
      <c r="OH23" s="7"/>
      <c r="OI23" s="7"/>
      <c r="OJ23" s="7"/>
      <c r="OK23" s="7">
        <v>1230931</v>
      </c>
      <c r="OL23" s="7">
        <v>3466255</v>
      </c>
      <c r="OM23" s="7"/>
      <c r="ON23" s="7">
        <v>1343593</v>
      </c>
      <c r="OO23" s="7"/>
      <c r="OP23" s="7"/>
      <c r="OQ23" s="7">
        <v>8696432</v>
      </c>
      <c r="OR23" s="7"/>
      <c r="OS23" s="7"/>
      <c r="OT23" s="7"/>
      <c r="OU23" s="7">
        <v>1054056</v>
      </c>
      <c r="OV23" s="7"/>
      <c r="OW23" s="7"/>
      <c r="OX23" s="7"/>
      <c r="OY23" s="7"/>
      <c r="OZ23" s="7">
        <v>4608257</v>
      </c>
      <c r="PA23" s="7">
        <v>4051650</v>
      </c>
      <c r="PB23" s="7"/>
      <c r="PC23" s="7">
        <v>25501966</v>
      </c>
      <c r="PD23" s="7"/>
      <c r="PE23" s="7"/>
      <c r="PF23" s="7"/>
      <c r="PG23" s="7">
        <v>2542636</v>
      </c>
      <c r="PH23" s="7"/>
      <c r="PI23" s="7"/>
      <c r="PJ23" s="7"/>
      <c r="PK23" s="7"/>
      <c r="PL23" s="7"/>
      <c r="PM23" s="7">
        <v>2174772</v>
      </c>
      <c r="PN23" s="7"/>
      <c r="PO23" s="7">
        <v>1634033</v>
      </c>
      <c r="PP23" s="7">
        <v>1615911</v>
      </c>
      <c r="PQ23" s="7"/>
      <c r="PR23" s="7"/>
      <c r="PS23" s="7"/>
      <c r="PT23" s="7">
        <v>1024825</v>
      </c>
      <c r="PU23" s="7">
        <v>2179314</v>
      </c>
      <c r="PV23" s="7"/>
      <c r="PW23" s="7">
        <v>1359457</v>
      </c>
      <c r="PX23" s="7"/>
      <c r="PY23" s="7"/>
      <c r="PZ23" s="7"/>
      <c r="QA23" s="7"/>
      <c r="QB23" s="7"/>
      <c r="QC23" s="7">
        <v>2132211</v>
      </c>
      <c r="QD23" s="7"/>
      <c r="QE23" s="7"/>
      <c r="QF23" s="7"/>
      <c r="QG23" s="7">
        <v>1411105</v>
      </c>
      <c r="QH23" s="7">
        <v>2022507</v>
      </c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>
        <v>1634204</v>
      </c>
      <c r="RK23" s="7"/>
      <c r="RL23" s="7"/>
      <c r="RM23" s="7"/>
      <c r="RN23" s="7"/>
      <c r="RO23" s="7"/>
      <c r="RP23" s="7"/>
      <c r="RQ23" s="7"/>
      <c r="RR23" s="7"/>
      <c r="RS23" s="7">
        <v>1592399</v>
      </c>
      <c r="RT23" s="7"/>
      <c r="RU23" s="7"/>
      <c r="RV23" s="7"/>
      <c r="RW23" s="7"/>
      <c r="RX23" s="7">
        <v>2358297</v>
      </c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>
        <v>8414687</v>
      </c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>
        <v>3280567</v>
      </c>
      <c r="SY23" s="7"/>
      <c r="SZ23" s="7"/>
      <c r="TA23" s="7">
        <v>18108481</v>
      </c>
      <c r="TB23" s="7"/>
      <c r="TC23" s="7">
        <v>1946807</v>
      </c>
      <c r="TD23" s="7"/>
      <c r="TE23" s="7"/>
      <c r="TF23" s="7"/>
      <c r="TG23" s="7"/>
      <c r="TH23" s="7"/>
      <c r="TI23" s="7">
        <v>1026500</v>
      </c>
      <c r="TJ23" s="7"/>
      <c r="TK23" s="7"/>
      <c r="TL23" s="7"/>
      <c r="TM23" s="7">
        <v>1059862</v>
      </c>
      <c r="TN23" s="7"/>
      <c r="TO23" s="7">
        <v>738346935</v>
      </c>
    </row>
    <row r="24" spans="1:535" x14ac:dyDescent="0.25">
      <c r="A24" s="5" t="s">
        <v>1429</v>
      </c>
      <c r="B24" s="7"/>
      <c r="C24" s="7">
        <v>4529130</v>
      </c>
      <c r="D24" s="7"/>
      <c r="E24" s="7"/>
      <c r="F24" s="7"/>
      <c r="G24" s="7">
        <v>2448890</v>
      </c>
      <c r="H24" s="7"/>
      <c r="I24" s="7"/>
      <c r="J24" s="7">
        <v>3168743</v>
      </c>
      <c r="K24" s="7"/>
      <c r="L24" s="7"/>
      <c r="M24" s="7"/>
      <c r="N24" s="7"/>
      <c r="O24" s="7"/>
      <c r="P24" s="7">
        <v>10697832</v>
      </c>
      <c r="Q24" s="7"/>
      <c r="R24" s="7"/>
      <c r="S24" s="7">
        <v>5704218</v>
      </c>
      <c r="T24" s="7"/>
      <c r="U24" s="7"/>
      <c r="V24" s="7"/>
      <c r="W24" s="7">
        <v>2087192</v>
      </c>
      <c r="X24" s="7"/>
      <c r="Y24" s="7"/>
      <c r="Z24" s="7"/>
      <c r="AA24" s="7"/>
      <c r="AB24" s="7">
        <v>2629211</v>
      </c>
      <c r="AC24" s="7"/>
      <c r="AD24" s="7"/>
      <c r="AE24" s="7"/>
      <c r="AF24" s="7"/>
      <c r="AG24" s="7"/>
      <c r="AH24" s="7"/>
      <c r="AI24" s="7"/>
      <c r="AJ24" s="7">
        <v>1700745</v>
      </c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>
        <v>2012400</v>
      </c>
      <c r="AW24" s="7"/>
      <c r="AX24" s="7"/>
      <c r="AY24" s="7">
        <v>4538189</v>
      </c>
      <c r="AZ24" s="7"/>
      <c r="BA24" s="7"/>
      <c r="BB24" s="7">
        <v>1219971</v>
      </c>
      <c r="BC24" s="7"/>
      <c r="BD24" s="7"/>
      <c r="BE24" s="7"/>
      <c r="BF24" s="7">
        <v>6600294</v>
      </c>
      <c r="BG24" s="7"/>
      <c r="BH24" s="7"/>
      <c r="BI24" s="7"/>
      <c r="BJ24" s="7">
        <v>2322174</v>
      </c>
      <c r="BK24" s="7"/>
      <c r="BL24" s="7"/>
      <c r="BM24" s="7"/>
      <c r="BN24" s="7"/>
      <c r="BO24" s="7"/>
      <c r="BP24" s="7"/>
      <c r="BQ24" s="7"/>
      <c r="BR24" s="7"/>
      <c r="BS24" s="7">
        <v>2372306</v>
      </c>
      <c r="BT24" s="7"/>
      <c r="BU24" s="7"/>
      <c r="BV24" s="7"/>
      <c r="BW24" s="7"/>
      <c r="BX24" s="7">
        <v>3622655</v>
      </c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>
        <v>2727011</v>
      </c>
      <c r="CL24" s="7"/>
      <c r="CM24" s="7"/>
      <c r="CN24" s="7"/>
      <c r="CO24" s="7"/>
      <c r="CP24" s="7"/>
      <c r="CQ24" s="7">
        <v>2382150</v>
      </c>
      <c r="CR24" s="7"/>
      <c r="CS24" s="7"/>
      <c r="CT24" s="7">
        <v>3465995</v>
      </c>
      <c r="CU24" s="7"/>
      <c r="CV24" s="7"/>
      <c r="CW24" s="7"/>
      <c r="CX24" s="7"/>
      <c r="CY24" s="7"/>
      <c r="CZ24" s="7">
        <v>1023310</v>
      </c>
      <c r="DA24" s="7"/>
      <c r="DB24" s="7"/>
      <c r="DC24" s="7">
        <v>22985296</v>
      </c>
      <c r="DD24" s="7"/>
      <c r="DE24" s="7"/>
      <c r="DF24" s="7"/>
      <c r="DG24" s="7">
        <v>1451455</v>
      </c>
      <c r="DH24" s="7"/>
      <c r="DI24" s="7"/>
      <c r="DJ24" s="7"/>
      <c r="DK24" s="7"/>
      <c r="DL24" s="7"/>
      <c r="DM24" s="7"/>
      <c r="DN24" s="7">
        <v>1366337</v>
      </c>
      <c r="DO24" s="7"/>
      <c r="DP24" s="7"/>
      <c r="DQ24" s="7"/>
      <c r="DR24" s="7"/>
      <c r="DS24" s="7"/>
      <c r="DT24" s="7"/>
      <c r="DU24" s="7"/>
      <c r="DV24" s="7">
        <v>1098950</v>
      </c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>
        <v>1467250</v>
      </c>
      <c r="EN24" s="7"/>
      <c r="EO24" s="7"/>
      <c r="EP24" s="7">
        <v>1491557</v>
      </c>
      <c r="EQ24" s="7"/>
      <c r="ER24" s="7"/>
      <c r="ES24" s="7"/>
      <c r="ET24" s="7"/>
      <c r="EU24" s="7">
        <v>2205729</v>
      </c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>
        <v>2119782</v>
      </c>
      <c r="GD24" s="7"/>
      <c r="GE24" s="7"/>
      <c r="GF24" s="7"/>
      <c r="GG24" s="7"/>
      <c r="GH24" s="7"/>
      <c r="GI24" s="7"/>
      <c r="GJ24" s="7">
        <v>1126622</v>
      </c>
      <c r="GK24" s="7"/>
      <c r="GL24" s="7"/>
      <c r="GM24" s="7">
        <v>44859391</v>
      </c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>
        <v>3838468</v>
      </c>
      <c r="HY24" s="7"/>
      <c r="HZ24" s="7"/>
      <c r="IA24" s="7"/>
      <c r="IB24" s="7">
        <v>2745931</v>
      </c>
      <c r="IC24" s="7"/>
      <c r="ID24" s="7"/>
      <c r="IE24" s="7"/>
      <c r="IF24" s="7"/>
      <c r="IG24" s="7"/>
      <c r="IH24" s="7"/>
      <c r="II24" s="7"/>
      <c r="IJ24" s="7"/>
      <c r="IK24" s="7">
        <v>1046647</v>
      </c>
      <c r="IL24" s="7"/>
      <c r="IM24" s="7"/>
      <c r="IN24" s="7"/>
      <c r="IO24" s="7"/>
      <c r="IP24" s="7"/>
      <c r="IQ24" s="7">
        <v>1062033</v>
      </c>
      <c r="IR24" s="7"/>
      <c r="IS24" s="7"/>
      <c r="IT24" s="7"/>
      <c r="IU24" s="7"/>
      <c r="IV24" s="7"/>
      <c r="IW24" s="7"/>
      <c r="IX24" s="7"/>
      <c r="IY24" s="7"/>
      <c r="IZ24" s="7"/>
      <c r="JA24" s="7"/>
      <c r="JB24" s="7"/>
      <c r="JC24" s="7">
        <v>1701263</v>
      </c>
      <c r="JD24" s="7"/>
      <c r="JE24" s="7"/>
      <c r="JF24" s="7"/>
      <c r="JG24" s="7"/>
      <c r="JH24" s="7"/>
      <c r="JI24" s="7">
        <v>12019002</v>
      </c>
      <c r="JJ24" s="7"/>
      <c r="JK24" s="7"/>
      <c r="JL24" s="7"/>
      <c r="JM24" s="7"/>
      <c r="JN24" s="7"/>
      <c r="JO24" s="7">
        <v>2798324</v>
      </c>
      <c r="JP24" s="7"/>
      <c r="JQ24" s="7"/>
      <c r="JR24" s="7"/>
      <c r="JS24" s="7"/>
      <c r="JT24" s="7"/>
      <c r="JU24" s="7"/>
      <c r="JV24" s="7"/>
      <c r="JW24" s="7"/>
      <c r="JX24" s="7">
        <v>38604433</v>
      </c>
      <c r="JY24" s="7"/>
      <c r="JZ24" s="7"/>
      <c r="KA24" s="7"/>
      <c r="KB24" s="7"/>
      <c r="KC24" s="7">
        <v>4143983</v>
      </c>
      <c r="KD24" s="7"/>
      <c r="KE24" s="7"/>
      <c r="KF24" s="7"/>
      <c r="KG24" s="7"/>
      <c r="KH24" s="7"/>
      <c r="KI24" s="7"/>
      <c r="KJ24" s="7"/>
      <c r="KK24" s="7"/>
      <c r="KL24" s="7"/>
      <c r="KM24" s="7"/>
      <c r="KN24" s="7"/>
      <c r="KO24" s="7">
        <v>22131780</v>
      </c>
      <c r="KP24" s="7"/>
      <c r="KQ24" s="7"/>
      <c r="KR24" s="7"/>
      <c r="KS24" s="7"/>
      <c r="KT24" s="7"/>
      <c r="KU24" s="7"/>
      <c r="KV24" s="7">
        <v>2693752</v>
      </c>
      <c r="KW24" s="7"/>
      <c r="KX24" s="7"/>
      <c r="KY24" s="7"/>
      <c r="KZ24" s="7"/>
      <c r="LA24" s="7">
        <v>1354579</v>
      </c>
      <c r="LB24" s="7"/>
      <c r="LC24" s="7"/>
      <c r="LD24" s="7"/>
      <c r="LE24" s="7"/>
      <c r="LF24" s="7">
        <v>2489057</v>
      </c>
      <c r="LG24" s="7"/>
      <c r="LH24" s="7">
        <v>1214906</v>
      </c>
      <c r="LI24" s="7"/>
      <c r="LJ24" s="7"/>
      <c r="LK24" s="7"/>
      <c r="LL24" s="7"/>
      <c r="LM24" s="7"/>
      <c r="LN24" s="7"/>
      <c r="LO24" s="7">
        <v>3500396</v>
      </c>
      <c r="LP24" s="7"/>
      <c r="LQ24" s="7"/>
      <c r="LR24" s="7"/>
      <c r="LS24" s="7">
        <v>1741094</v>
      </c>
      <c r="LT24" s="7"/>
      <c r="LU24" s="7"/>
      <c r="LV24" s="7"/>
      <c r="LW24" s="7"/>
      <c r="LX24" s="7"/>
      <c r="LY24" s="7"/>
      <c r="LZ24" s="7"/>
      <c r="MA24" s="7"/>
      <c r="MB24" s="7"/>
      <c r="MC24" s="7">
        <v>2491976</v>
      </c>
      <c r="MD24" s="7"/>
      <c r="ME24" s="7">
        <v>5441907</v>
      </c>
      <c r="MF24" s="7"/>
      <c r="MG24" s="7"/>
      <c r="MH24" s="7"/>
      <c r="MI24" s="7"/>
      <c r="MJ24" s="7"/>
      <c r="MK24" s="7"/>
      <c r="ML24" s="7"/>
      <c r="MM24" s="7">
        <v>5290247</v>
      </c>
      <c r="MN24" s="7"/>
      <c r="MO24" s="7"/>
      <c r="MP24" s="7"/>
      <c r="MQ24" s="7"/>
      <c r="MR24" s="7"/>
      <c r="MS24" s="7"/>
      <c r="MT24" s="7"/>
      <c r="MU24" s="7"/>
      <c r="MV24" s="7"/>
      <c r="MW24" s="7">
        <v>1173773</v>
      </c>
      <c r="MX24" s="7"/>
      <c r="MY24" s="7"/>
      <c r="MZ24" s="7"/>
      <c r="NA24" s="7">
        <v>1409449</v>
      </c>
      <c r="NB24" s="7"/>
      <c r="NC24" s="7"/>
      <c r="ND24" s="7"/>
      <c r="NE24" s="7"/>
      <c r="NF24" s="7"/>
      <c r="NG24" s="7"/>
      <c r="NH24" s="7"/>
      <c r="NI24" s="7">
        <v>1903399</v>
      </c>
      <c r="NJ24" s="7"/>
      <c r="NK24" s="7"/>
      <c r="NL24" s="7"/>
      <c r="NM24" s="7"/>
      <c r="NN24" s="7"/>
      <c r="NO24" s="7"/>
      <c r="NP24" s="7"/>
      <c r="NQ24" s="7"/>
      <c r="NR24" s="7">
        <v>1085073</v>
      </c>
      <c r="NS24" s="7"/>
      <c r="NT24" s="7"/>
      <c r="NU24" s="7"/>
      <c r="NV24" s="7"/>
      <c r="NW24" s="7"/>
      <c r="NX24" s="7"/>
      <c r="NY24" s="7"/>
      <c r="NZ24" s="7"/>
      <c r="OA24" s="7"/>
      <c r="OB24" s="7"/>
      <c r="OC24" s="7"/>
      <c r="OD24" s="7"/>
      <c r="OE24" s="7"/>
      <c r="OF24" s="7"/>
      <c r="OG24" s="7"/>
      <c r="OH24" s="7"/>
      <c r="OI24" s="7"/>
      <c r="OJ24" s="7"/>
      <c r="OK24" s="7"/>
      <c r="OL24" s="7">
        <v>1242295</v>
      </c>
      <c r="OM24" s="7"/>
      <c r="ON24" s="7"/>
      <c r="OO24" s="7"/>
      <c r="OP24" s="7"/>
      <c r="OQ24" s="7">
        <v>35450024</v>
      </c>
      <c r="OR24" s="7"/>
      <c r="OS24" s="7"/>
      <c r="OT24" s="7"/>
      <c r="OU24" s="7">
        <v>2116246</v>
      </c>
      <c r="OV24" s="7"/>
      <c r="OW24" s="7"/>
      <c r="OX24" s="7"/>
      <c r="OY24" s="7">
        <v>1435593</v>
      </c>
      <c r="OZ24" s="7">
        <v>5885225</v>
      </c>
      <c r="PA24" s="7">
        <v>13440083</v>
      </c>
      <c r="PB24" s="7"/>
      <c r="PC24" s="7">
        <v>100662253</v>
      </c>
      <c r="PD24" s="7">
        <v>1452417</v>
      </c>
      <c r="PE24" s="7"/>
      <c r="PF24" s="7"/>
      <c r="PG24" s="7">
        <v>3433406</v>
      </c>
      <c r="PH24" s="7"/>
      <c r="PI24" s="7"/>
      <c r="PJ24" s="7"/>
      <c r="PK24" s="7">
        <v>1947017</v>
      </c>
      <c r="PL24" s="7"/>
      <c r="PM24" s="7"/>
      <c r="PN24" s="7">
        <v>2372656</v>
      </c>
      <c r="PO24" s="7"/>
      <c r="PP24" s="7">
        <v>1016613</v>
      </c>
      <c r="PQ24" s="7"/>
      <c r="PR24" s="7">
        <v>1042158</v>
      </c>
      <c r="PS24" s="7">
        <v>1099343</v>
      </c>
      <c r="PT24" s="7"/>
      <c r="PU24" s="7">
        <v>7100192</v>
      </c>
      <c r="PV24" s="7"/>
      <c r="PW24" s="7">
        <v>1160823</v>
      </c>
      <c r="PX24" s="7"/>
      <c r="PY24" s="7"/>
      <c r="PZ24" s="7"/>
      <c r="QA24" s="7">
        <v>7634415</v>
      </c>
      <c r="QB24" s="7"/>
      <c r="QC24" s="7"/>
      <c r="QD24" s="7"/>
      <c r="QE24" s="7"/>
      <c r="QF24" s="7"/>
      <c r="QG24" s="7"/>
      <c r="QH24" s="7"/>
      <c r="QI24" s="7">
        <v>1548642</v>
      </c>
      <c r="QJ24" s="7"/>
      <c r="QK24" s="7"/>
      <c r="QL24" s="7"/>
      <c r="QM24" s="7"/>
      <c r="QN24" s="7"/>
      <c r="QO24" s="7"/>
      <c r="QP24" s="7"/>
      <c r="QQ24" s="7"/>
      <c r="QR24" s="7"/>
      <c r="QS24" s="7"/>
      <c r="QT24" s="7"/>
      <c r="QU24" s="7"/>
      <c r="QV24" s="7"/>
      <c r="QW24" s="7"/>
      <c r="QX24" s="7"/>
      <c r="QY24" s="7"/>
      <c r="QZ24" s="7"/>
      <c r="RA24" s="7"/>
      <c r="RB24" s="7"/>
      <c r="RC24" s="7"/>
      <c r="RD24" s="7">
        <v>1252329</v>
      </c>
      <c r="RE24" s="7"/>
      <c r="RF24" s="7"/>
      <c r="RG24" s="7"/>
      <c r="RH24" s="7"/>
      <c r="RI24" s="7"/>
      <c r="RJ24" s="7"/>
      <c r="RK24" s="7"/>
      <c r="RL24" s="7"/>
      <c r="RM24" s="7"/>
      <c r="RN24" s="7"/>
      <c r="RO24" s="7"/>
      <c r="RP24" s="7"/>
      <c r="RQ24" s="7"/>
      <c r="RR24" s="7"/>
      <c r="RS24" s="7"/>
      <c r="RT24" s="7"/>
      <c r="RU24" s="7"/>
      <c r="RV24" s="7"/>
      <c r="RW24" s="7">
        <v>7835323</v>
      </c>
      <c r="RX24" s="7"/>
      <c r="RY24" s="7"/>
      <c r="RZ24" s="7"/>
      <c r="SA24" s="7"/>
      <c r="SB24" s="7"/>
      <c r="SC24" s="7"/>
      <c r="SD24" s="7"/>
      <c r="SE24" s="7">
        <v>3018358</v>
      </c>
      <c r="SF24" s="7"/>
      <c r="SG24" s="7"/>
      <c r="SH24" s="7"/>
      <c r="SI24" s="7"/>
      <c r="SJ24" s="7"/>
      <c r="SK24" s="7">
        <v>9384532</v>
      </c>
      <c r="SL24" s="7"/>
      <c r="SM24" s="7"/>
      <c r="SN24" s="7"/>
      <c r="SO24" s="7"/>
      <c r="SP24" s="7"/>
      <c r="SQ24" s="7"/>
      <c r="SR24" s="7"/>
      <c r="SS24" s="7"/>
      <c r="ST24" s="7">
        <v>1080662</v>
      </c>
      <c r="SU24" s="7"/>
      <c r="SV24" s="7"/>
      <c r="SW24" s="7">
        <v>34745818</v>
      </c>
      <c r="SX24" s="7"/>
      <c r="SY24" s="7"/>
      <c r="SZ24" s="7"/>
      <c r="TA24" s="7">
        <v>35377665</v>
      </c>
      <c r="TB24" s="7"/>
      <c r="TC24" s="7"/>
      <c r="TD24" s="7"/>
      <c r="TE24" s="7"/>
      <c r="TF24" s="7"/>
      <c r="TG24" s="7"/>
      <c r="TH24" s="7"/>
      <c r="TI24" s="7">
        <v>2127766</v>
      </c>
      <c r="TJ24" s="7"/>
      <c r="TK24" s="7"/>
      <c r="TL24" s="7"/>
      <c r="TM24" s="7">
        <v>2091977</v>
      </c>
      <c r="TN24" s="7"/>
      <c r="TO24" s="7">
        <v>554260088</v>
      </c>
    </row>
    <row r="25" spans="1:535" x14ac:dyDescent="0.25">
      <c r="A25" s="5" t="s">
        <v>1432</v>
      </c>
      <c r="B25" s="7">
        <v>2196332</v>
      </c>
      <c r="C25" s="7">
        <v>7755415</v>
      </c>
      <c r="D25" s="7">
        <v>2532050</v>
      </c>
      <c r="E25" s="7">
        <v>4034238</v>
      </c>
      <c r="F25" s="7">
        <v>1171272</v>
      </c>
      <c r="G25" s="7">
        <v>4985987</v>
      </c>
      <c r="H25" s="7">
        <v>1139074</v>
      </c>
      <c r="I25" s="7">
        <v>2169372</v>
      </c>
      <c r="J25" s="7">
        <v>3168743</v>
      </c>
      <c r="K25" s="7">
        <v>2907032</v>
      </c>
      <c r="L25" s="7">
        <v>2812269</v>
      </c>
      <c r="M25" s="7">
        <v>2767943</v>
      </c>
      <c r="N25" s="7">
        <v>1003169</v>
      </c>
      <c r="O25" s="7">
        <v>12555303</v>
      </c>
      <c r="P25" s="7">
        <v>162179512</v>
      </c>
      <c r="Q25" s="7">
        <v>64129051</v>
      </c>
      <c r="R25" s="7">
        <v>6488780</v>
      </c>
      <c r="S25" s="7">
        <v>12537118</v>
      </c>
      <c r="T25" s="7">
        <v>2361354</v>
      </c>
      <c r="U25" s="7">
        <v>4751910</v>
      </c>
      <c r="V25" s="7">
        <v>1057492</v>
      </c>
      <c r="W25" s="7">
        <v>3537043</v>
      </c>
      <c r="X25" s="7">
        <v>1114781</v>
      </c>
      <c r="Y25" s="7">
        <v>220366289</v>
      </c>
      <c r="Z25" s="7">
        <v>99840857</v>
      </c>
      <c r="AA25" s="7">
        <v>2638687</v>
      </c>
      <c r="AB25" s="7">
        <v>2629211</v>
      </c>
      <c r="AC25" s="7">
        <v>1844920</v>
      </c>
      <c r="AD25" s="7">
        <v>2535878</v>
      </c>
      <c r="AE25" s="7">
        <v>5190217</v>
      </c>
      <c r="AF25" s="7">
        <v>1221381</v>
      </c>
      <c r="AG25" s="7">
        <v>1510222</v>
      </c>
      <c r="AH25" s="7">
        <v>6972375</v>
      </c>
      <c r="AI25" s="7">
        <v>2789593</v>
      </c>
      <c r="AJ25" s="7">
        <v>1700745</v>
      </c>
      <c r="AK25" s="7">
        <v>2101442</v>
      </c>
      <c r="AL25" s="7">
        <v>8178728</v>
      </c>
      <c r="AM25" s="7">
        <v>1701957</v>
      </c>
      <c r="AN25" s="7">
        <v>6929984</v>
      </c>
      <c r="AO25" s="7">
        <v>1515949</v>
      </c>
      <c r="AP25" s="7">
        <v>10623253</v>
      </c>
      <c r="AQ25" s="7">
        <v>1176314</v>
      </c>
      <c r="AR25" s="7">
        <v>3974896</v>
      </c>
      <c r="AS25" s="7">
        <v>4215352</v>
      </c>
      <c r="AT25" s="7">
        <v>1258202</v>
      </c>
      <c r="AU25" s="7">
        <v>2764599</v>
      </c>
      <c r="AV25" s="7">
        <v>6759695</v>
      </c>
      <c r="AW25" s="7">
        <v>15071153</v>
      </c>
      <c r="AX25" s="7">
        <v>4506091</v>
      </c>
      <c r="AY25" s="7">
        <v>16234016</v>
      </c>
      <c r="AZ25" s="7">
        <v>6707168</v>
      </c>
      <c r="BA25" s="7">
        <v>11824308</v>
      </c>
      <c r="BB25" s="7">
        <v>1219971</v>
      </c>
      <c r="BC25" s="7">
        <v>1635913</v>
      </c>
      <c r="BD25" s="7">
        <v>1802467</v>
      </c>
      <c r="BE25" s="7">
        <v>2210570</v>
      </c>
      <c r="BF25" s="7">
        <v>81845186</v>
      </c>
      <c r="BG25" s="7">
        <v>22986810</v>
      </c>
      <c r="BH25" s="7">
        <v>1189262</v>
      </c>
      <c r="BI25" s="7">
        <v>1190419</v>
      </c>
      <c r="BJ25" s="7">
        <v>8215718</v>
      </c>
      <c r="BK25" s="7">
        <v>3189120</v>
      </c>
      <c r="BL25" s="7">
        <v>4020827</v>
      </c>
      <c r="BM25" s="7">
        <v>3206232</v>
      </c>
      <c r="BN25" s="7">
        <v>1138311</v>
      </c>
      <c r="BO25" s="7">
        <v>2120734</v>
      </c>
      <c r="BP25" s="7">
        <v>1156677</v>
      </c>
      <c r="BQ25" s="7">
        <v>20377220</v>
      </c>
      <c r="BR25" s="7">
        <v>5507733</v>
      </c>
      <c r="BS25" s="7">
        <v>3455384</v>
      </c>
      <c r="BT25" s="7">
        <v>3341688</v>
      </c>
      <c r="BU25" s="7">
        <v>10476570</v>
      </c>
      <c r="BV25" s="7">
        <v>1834875</v>
      </c>
      <c r="BW25" s="7">
        <v>22416159</v>
      </c>
      <c r="BX25" s="7">
        <v>29129854</v>
      </c>
      <c r="BY25" s="7">
        <v>4571158</v>
      </c>
      <c r="BZ25" s="7">
        <v>5940771</v>
      </c>
      <c r="CA25" s="7">
        <v>5589124</v>
      </c>
      <c r="CB25" s="7">
        <v>3263083</v>
      </c>
      <c r="CC25" s="7">
        <v>1090601</v>
      </c>
      <c r="CD25" s="7">
        <v>17307812</v>
      </c>
      <c r="CE25" s="7">
        <v>3923370</v>
      </c>
      <c r="CF25" s="7">
        <v>2340638</v>
      </c>
      <c r="CG25" s="7">
        <v>1098814</v>
      </c>
      <c r="CH25" s="7">
        <v>9911819</v>
      </c>
      <c r="CI25" s="7">
        <v>7143581</v>
      </c>
      <c r="CJ25" s="7">
        <v>5480976</v>
      </c>
      <c r="CK25" s="7">
        <v>4804341</v>
      </c>
      <c r="CL25" s="7">
        <v>4876240</v>
      </c>
      <c r="CM25" s="7">
        <v>2259096</v>
      </c>
      <c r="CN25" s="7">
        <v>8253762</v>
      </c>
      <c r="CO25" s="7">
        <v>8975803</v>
      </c>
      <c r="CP25" s="7">
        <v>1005631</v>
      </c>
      <c r="CQ25" s="7">
        <v>20351977</v>
      </c>
      <c r="CR25" s="7">
        <v>33554145</v>
      </c>
      <c r="CS25" s="7">
        <v>24702201</v>
      </c>
      <c r="CT25" s="7">
        <v>24617119</v>
      </c>
      <c r="CU25" s="7">
        <v>44879519</v>
      </c>
      <c r="CV25" s="7">
        <v>1194421</v>
      </c>
      <c r="CW25" s="7">
        <v>7565477</v>
      </c>
      <c r="CX25" s="7">
        <v>2082081</v>
      </c>
      <c r="CY25" s="7">
        <v>1746148</v>
      </c>
      <c r="CZ25" s="7">
        <v>15684577</v>
      </c>
      <c r="DA25" s="7">
        <v>3298210</v>
      </c>
      <c r="DB25" s="7">
        <v>2741039</v>
      </c>
      <c r="DC25" s="7">
        <v>174520758</v>
      </c>
      <c r="DD25" s="7">
        <v>161545050</v>
      </c>
      <c r="DE25" s="7">
        <v>8307885</v>
      </c>
      <c r="DF25" s="7">
        <v>261390215</v>
      </c>
      <c r="DG25" s="7">
        <v>23853277</v>
      </c>
      <c r="DH25" s="7">
        <v>9306879</v>
      </c>
      <c r="DI25" s="7">
        <v>3031035</v>
      </c>
      <c r="DJ25" s="7">
        <v>1383276</v>
      </c>
      <c r="DK25" s="7">
        <v>4210143</v>
      </c>
      <c r="DL25" s="7">
        <v>6075028</v>
      </c>
      <c r="DM25" s="7">
        <v>1244220</v>
      </c>
      <c r="DN25" s="7">
        <v>46706296</v>
      </c>
      <c r="DO25" s="7">
        <v>2764042</v>
      </c>
      <c r="DP25" s="7">
        <v>23776847</v>
      </c>
      <c r="DQ25" s="7">
        <v>10699196</v>
      </c>
      <c r="DR25" s="7">
        <v>2780367</v>
      </c>
      <c r="DS25" s="7">
        <v>1634419</v>
      </c>
      <c r="DT25" s="7">
        <v>36542927</v>
      </c>
      <c r="DU25" s="7">
        <v>1416036</v>
      </c>
      <c r="DV25" s="7">
        <v>135736328</v>
      </c>
      <c r="DW25" s="7">
        <v>2586963</v>
      </c>
      <c r="DX25" s="7">
        <v>141384389</v>
      </c>
      <c r="DY25" s="7">
        <v>2991190</v>
      </c>
      <c r="DZ25" s="7">
        <v>52994703</v>
      </c>
      <c r="EA25" s="7">
        <v>6840069</v>
      </c>
      <c r="EB25" s="7">
        <v>18537162</v>
      </c>
      <c r="EC25" s="7">
        <v>1516583</v>
      </c>
      <c r="ED25" s="7">
        <v>13925411</v>
      </c>
      <c r="EE25" s="7">
        <v>14805883</v>
      </c>
      <c r="EF25" s="7">
        <v>2071064</v>
      </c>
      <c r="EG25" s="7">
        <v>8581362</v>
      </c>
      <c r="EH25" s="7">
        <v>32304372</v>
      </c>
      <c r="EI25" s="7">
        <v>5890494</v>
      </c>
      <c r="EJ25" s="7">
        <v>1047275</v>
      </c>
      <c r="EK25" s="7">
        <v>2582419</v>
      </c>
      <c r="EL25" s="7">
        <v>14458387</v>
      </c>
      <c r="EM25" s="7">
        <v>8303235</v>
      </c>
      <c r="EN25" s="7">
        <v>59271856</v>
      </c>
      <c r="EO25" s="7">
        <v>34737914</v>
      </c>
      <c r="EP25" s="7">
        <v>6598332</v>
      </c>
      <c r="EQ25" s="7">
        <v>1574514</v>
      </c>
      <c r="ER25" s="7">
        <v>5724823</v>
      </c>
      <c r="ES25" s="7">
        <v>1294624</v>
      </c>
      <c r="ET25" s="7">
        <v>15053968</v>
      </c>
      <c r="EU25" s="7">
        <v>12738223</v>
      </c>
      <c r="EV25" s="7">
        <v>1076031</v>
      </c>
      <c r="EW25" s="7">
        <v>10572167</v>
      </c>
      <c r="EX25" s="7">
        <v>1239558</v>
      </c>
      <c r="EY25" s="7">
        <v>32928851</v>
      </c>
      <c r="EZ25" s="7">
        <v>7202315</v>
      </c>
      <c r="FA25" s="7">
        <v>31936566</v>
      </c>
      <c r="FB25" s="7">
        <v>14159713</v>
      </c>
      <c r="FC25" s="7">
        <v>4502259</v>
      </c>
      <c r="FD25" s="7">
        <v>6857765</v>
      </c>
      <c r="FE25" s="7">
        <v>3929260</v>
      </c>
      <c r="FF25" s="7">
        <v>9403669</v>
      </c>
      <c r="FG25" s="7">
        <v>16413387</v>
      </c>
      <c r="FH25" s="7">
        <v>1528692</v>
      </c>
      <c r="FI25" s="7">
        <v>36297820</v>
      </c>
      <c r="FJ25" s="7">
        <v>2301657</v>
      </c>
      <c r="FK25" s="7">
        <v>9567509</v>
      </c>
      <c r="FL25" s="7">
        <v>9176516</v>
      </c>
      <c r="FM25" s="7">
        <v>1756096</v>
      </c>
      <c r="FN25" s="7">
        <v>8820767</v>
      </c>
      <c r="FO25" s="7">
        <v>10634254</v>
      </c>
      <c r="FP25" s="7">
        <v>9380672</v>
      </c>
      <c r="FQ25" s="7">
        <v>1048601</v>
      </c>
      <c r="FR25" s="7">
        <v>94629211</v>
      </c>
      <c r="FS25" s="7">
        <v>24522374</v>
      </c>
      <c r="FT25" s="7">
        <v>3614227</v>
      </c>
      <c r="FU25" s="7">
        <v>3386778</v>
      </c>
      <c r="FV25" s="7">
        <v>6379321</v>
      </c>
      <c r="FW25" s="7">
        <v>1013647</v>
      </c>
      <c r="FX25" s="7">
        <v>3230692</v>
      </c>
      <c r="FY25" s="7">
        <v>5024395</v>
      </c>
      <c r="FZ25" s="7">
        <v>1755703</v>
      </c>
      <c r="GA25" s="7">
        <v>3023683</v>
      </c>
      <c r="GB25" s="7">
        <v>26076762</v>
      </c>
      <c r="GC25" s="7">
        <v>4917898</v>
      </c>
      <c r="GD25" s="7">
        <v>1072341</v>
      </c>
      <c r="GE25" s="7">
        <v>1630905</v>
      </c>
      <c r="GF25" s="7">
        <v>4948726</v>
      </c>
      <c r="GG25" s="7">
        <v>2533792</v>
      </c>
      <c r="GH25" s="7">
        <v>2528347</v>
      </c>
      <c r="GI25" s="7">
        <v>7531588</v>
      </c>
      <c r="GJ25" s="7">
        <v>1126622</v>
      </c>
      <c r="GK25" s="7">
        <v>44802231</v>
      </c>
      <c r="GL25" s="7">
        <v>19745360</v>
      </c>
      <c r="GM25" s="7">
        <v>705074802</v>
      </c>
      <c r="GN25" s="7">
        <v>273733670</v>
      </c>
      <c r="GO25" s="7">
        <v>1413044</v>
      </c>
      <c r="GP25" s="7">
        <v>1279091</v>
      </c>
      <c r="GQ25" s="7">
        <v>1727880</v>
      </c>
      <c r="GR25" s="7">
        <v>1736734</v>
      </c>
      <c r="GS25" s="7">
        <v>9430642</v>
      </c>
      <c r="GT25" s="7">
        <v>31376411</v>
      </c>
      <c r="GU25" s="7">
        <v>78709719</v>
      </c>
      <c r="GV25" s="7">
        <v>8176468</v>
      </c>
      <c r="GW25" s="7">
        <v>5931304</v>
      </c>
      <c r="GX25" s="7">
        <v>1320645</v>
      </c>
      <c r="GY25" s="7">
        <v>2281715</v>
      </c>
      <c r="GZ25" s="7">
        <v>11243542</v>
      </c>
      <c r="HA25" s="7">
        <v>9243640</v>
      </c>
      <c r="HB25" s="7">
        <v>1849123</v>
      </c>
      <c r="HC25" s="7">
        <v>7650097</v>
      </c>
      <c r="HD25" s="7">
        <v>5777696</v>
      </c>
      <c r="HE25" s="7">
        <v>4667134</v>
      </c>
      <c r="HF25" s="7">
        <v>1385670</v>
      </c>
      <c r="HG25" s="7">
        <v>10886758</v>
      </c>
      <c r="HH25" s="7">
        <v>4010569</v>
      </c>
      <c r="HI25" s="7">
        <v>1045817</v>
      </c>
      <c r="HJ25" s="7">
        <v>8014462</v>
      </c>
      <c r="HK25" s="7">
        <v>3940032</v>
      </c>
      <c r="HL25" s="7">
        <v>5315225</v>
      </c>
      <c r="HM25" s="7">
        <v>1169250</v>
      </c>
      <c r="HN25" s="7">
        <v>3786525</v>
      </c>
      <c r="HO25" s="7">
        <v>2529180</v>
      </c>
      <c r="HP25" s="7">
        <v>5796981</v>
      </c>
      <c r="HQ25" s="7">
        <v>4300977</v>
      </c>
      <c r="HR25" s="7">
        <v>1098310</v>
      </c>
      <c r="HS25" s="7">
        <v>4889079</v>
      </c>
      <c r="HT25" s="7">
        <v>2661954</v>
      </c>
      <c r="HU25" s="7">
        <v>13013097</v>
      </c>
      <c r="HV25" s="7">
        <v>3083369</v>
      </c>
      <c r="HW25" s="7">
        <v>4101076</v>
      </c>
      <c r="HX25" s="7">
        <v>31362840</v>
      </c>
      <c r="HY25" s="7">
        <v>21938992</v>
      </c>
      <c r="HZ25" s="7">
        <v>17958171</v>
      </c>
      <c r="IA25" s="7">
        <v>5751992</v>
      </c>
      <c r="IB25" s="7">
        <v>14057443</v>
      </c>
      <c r="IC25" s="7">
        <v>1289328</v>
      </c>
      <c r="ID25" s="7">
        <v>1038265</v>
      </c>
      <c r="IE25" s="7">
        <v>14292253</v>
      </c>
      <c r="IF25" s="7">
        <v>1038297</v>
      </c>
      <c r="IG25" s="7">
        <v>2793724</v>
      </c>
      <c r="IH25" s="7">
        <v>21883973</v>
      </c>
      <c r="II25" s="7">
        <v>1022941</v>
      </c>
      <c r="IJ25" s="7">
        <v>3522092</v>
      </c>
      <c r="IK25" s="7">
        <v>1046647</v>
      </c>
      <c r="IL25" s="7">
        <v>6279673</v>
      </c>
      <c r="IM25" s="7">
        <v>4231373</v>
      </c>
      <c r="IN25" s="7">
        <v>3005865</v>
      </c>
      <c r="IO25" s="7">
        <v>1615974</v>
      </c>
      <c r="IP25" s="7">
        <v>5124917</v>
      </c>
      <c r="IQ25" s="7">
        <v>7641209</v>
      </c>
      <c r="IR25" s="7">
        <v>51109952</v>
      </c>
      <c r="IS25" s="7">
        <v>3411261</v>
      </c>
      <c r="IT25" s="7">
        <v>2459585</v>
      </c>
      <c r="IU25" s="7">
        <v>3388912</v>
      </c>
      <c r="IV25" s="7">
        <v>7445992</v>
      </c>
      <c r="IW25" s="7">
        <v>6865326</v>
      </c>
      <c r="IX25" s="7">
        <v>22015732</v>
      </c>
      <c r="IY25" s="7">
        <v>10891812</v>
      </c>
      <c r="IZ25" s="7">
        <v>1447173</v>
      </c>
      <c r="JA25" s="7">
        <v>6160860</v>
      </c>
      <c r="JB25" s="7">
        <v>3821670</v>
      </c>
      <c r="JC25" s="7">
        <v>6916499</v>
      </c>
      <c r="JD25" s="7">
        <v>2129899</v>
      </c>
      <c r="JE25" s="7">
        <v>1163453</v>
      </c>
      <c r="JF25" s="7">
        <v>22383265</v>
      </c>
      <c r="JG25" s="7">
        <v>2463837</v>
      </c>
      <c r="JH25" s="7">
        <v>20533459</v>
      </c>
      <c r="JI25" s="7">
        <v>216566447</v>
      </c>
      <c r="JJ25" s="7">
        <v>1232909</v>
      </c>
      <c r="JK25" s="7">
        <v>5981343</v>
      </c>
      <c r="JL25" s="7">
        <v>1030352</v>
      </c>
      <c r="JM25" s="7">
        <v>1303463</v>
      </c>
      <c r="JN25" s="7">
        <v>1565749</v>
      </c>
      <c r="JO25" s="7">
        <v>51158772</v>
      </c>
      <c r="JP25" s="7">
        <v>11656185</v>
      </c>
      <c r="JQ25" s="7">
        <v>55085880</v>
      </c>
      <c r="JR25" s="7">
        <v>30469814</v>
      </c>
      <c r="JS25" s="7">
        <v>23729214</v>
      </c>
      <c r="JT25" s="7">
        <v>21454414</v>
      </c>
      <c r="JU25" s="7">
        <v>25695075</v>
      </c>
      <c r="JV25" s="7">
        <v>58269999</v>
      </c>
      <c r="JW25" s="7">
        <v>26623342</v>
      </c>
      <c r="JX25" s="7">
        <v>38604433</v>
      </c>
      <c r="JY25" s="7">
        <v>81624285</v>
      </c>
      <c r="JZ25" s="7">
        <v>59211121</v>
      </c>
      <c r="KA25" s="7">
        <v>168054803</v>
      </c>
      <c r="KB25" s="7">
        <v>91092378</v>
      </c>
      <c r="KC25" s="7">
        <v>9570126</v>
      </c>
      <c r="KD25" s="7">
        <v>107713998</v>
      </c>
      <c r="KE25" s="7">
        <v>268082028</v>
      </c>
      <c r="KF25" s="7">
        <v>154599816</v>
      </c>
      <c r="KG25" s="7">
        <v>163277385</v>
      </c>
      <c r="KH25" s="7">
        <v>237312184</v>
      </c>
      <c r="KI25" s="7">
        <v>1182295</v>
      </c>
      <c r="KJ25" s="7">
        <v>2812014</v>
      </c>
      <c r="KK25" s="7">
        <v>5715482</v>
      </c>
      <c r="KL25" s="7">
        <v>1744793</v>
      </c>
      <c r="KM25" s="7">
        <v>1203143</v>
      </c>
      <c r="KN25" s="7">
        <v>2016912</v>
      </c>
      <c r="KO25" s="7">
        <v>99259253</v>
      </c>
      <c r="KP25" s="7">
        <v>116401658</v>
      </c>
      <c r="KQ25" s="7">
        <v>12305847</v>
      </c>
      <c r="KR25" s="7">
        <v>2680946</v>
      </c>
      <c r="KS25" s="7">
        <v>1779976</v>
      </c>
      <c r="KT25" s="7">
        <v>1582349</v>
      </c>
      <c r="KU25" s="7">
        <v>2292853</v>
      </c>
      <c r="KV25" s="7">
        <v>6491167</v>
      </c>
      <c r="KW25" s="7">
        <v>6706465</v>
      </c>
      <c r="KX25" s="7">
        <v>2171602</v>
      </c>
      <c r="KY25" s="7">
        <v>3634939</v>
      </c>
      <c r="KZ25" s="7">
        <v>1527475</v>
      </c>
      <c r="LA25" s="7">
        <v>7237341</v>
      </c>
      <c r="LB25" s="7">
        <v>3426785</v>
      </c>
      <c r="LC25" s="7">
        <v>5169577</v>
      </c>
      <c r="LD25" s="7">
        <v>12681604</v>
      </c>
      <c r="LE25" s="7">
        <v>38172135</v>
      </c>
      <c r="LF25" s="7">
        <v>7798704</v>
      </c>
      <c r="LG25" s="7">
        <v>1914458</v>
      </c>
      <c r="LH25" s="7">
        <v>14216166</v>
      </c>
      <c r="LI25" s="7">
        <v>1925594</v>
      </c>
      <c r="LJ25" s="7">
        <v>1467508</v>
      </c>
      <c r="LK25" s="7">
        <v>2285040</v>
      </c>
      <c r="LL25" s="7">
        <v>1203650</v>
      </c>
      <c r="LM25" s="7">
        <v>1661490</v>
      </c>
      <c r="LN25" s="7">
        <v>11100510</v>
      </c>
      <c r="LO25" s="7">
        <v>18870932</v>
      </c>
      <c r="LP25" s="7">
        <v>1104369</v>
      </c>
      <c r="LQ25" s="7">
        <v>1153466</v>
      </c>
      <c r="LR25" s="7">
        <v>3244503</v>
      </c>
      <c r="LS25" s="7">
        <v>29666345</v>
      </c>
      <c r="LT25" s="7">
        <v>1317007</v>
      </c>
      <c r="LU25" s="7">
        <v>1029031</v>
      </c>
      <c r="LV25" s="7">
        <v>1147474</v>
      </c>
      <c r="LW25" s="7">
        <v>1091391</v>
      </c>
      <c r="LX25" s="7">
        <v>1506214</v>
      </c>
      <c r="LY25" s="7">
        <v>1646309</v>
      </c>
      <c r="LZ25" s="7">
        <v>6524088</v>
      </c>
      <c r="MA25" s="7">
        <v>6766489</v>
      </c>
      <c r="MB25" s="7">
        <v>2270308</v>
      </c>
      <c r="MC25" s="7">
        <v>32396191</v>
      </c>
      <c r="MD25" s="7">
        <v>8845186</v>
      </c>
      <c r="ME25" s="7">
        <v>88068125</v>
      </c>
      <c r="MF25" s="7">
        <v>9239632</v>
      </c>
      <c r="MG25" s="7">
        <v>1124172</v>
      </c>
      <c r="MH25" s="7">
        <v>4589860</v>
      </c>
      <c r="MI25" s="7">
        <v>3746249</v>
      </c>
      <c r="MJ25" s="7">
        <v>1148860</v>
      </c>
      <c r="MK25" s="7">
        <v>1068688</v>
      </c>
      <c r="ML25" s="7">
        <v>1369291</v>
      </c>
      <c r="MM25" s="7">
        <v>31537579</v>
      </c>
      <c r="MN25" s="7">
        <v>24898140</v>
      </c>
      <c r="MO25" s="7">
        <v>1071045</v>
      </c>
      <c r="MP25" s="7">
        <v>1806929</v>
      </c>
      <c r="MQ25" s="7">
        <v>1749896</v>
      </c>
      <c r="MR25" s="7">
        <v>2783990</v>
      </c>
      <c r="MS25" s="7">
        <v>3844968</v>
      </c>
      <c r="MT25" s="7">
        <v>2125647</v>
      </c>
      <c r="MU25" s="7">
        <v>1835049</v>
      </c>
      <c r="MV25" s="7">
        <v>2664832</v>
      </c>
      <c r="MW25" s="7">
        <v>22532303</v>
      </c>
      <c r="MX25" s="7">
        <v>7042225</v>
      </c>
      <c r="MY25" s="7">
        <v>8129407</v>
      </c>
      <c r="MZ25" s="7">
        <v>1592519</v>
      </c>
      <c r="NA25" s="7">
        <v>25690357</v>
      </c>
      <c r="NB25" s="7">
        <v>2005188</v>
      </c>
      <c r="NC25" s="7">
        <v>17840559</v>
      </c>
      <c r="ND25" s="7">
        <v>1256711</v>
      </c>
      <c r="NE25" s="7">
        <v>16226081</v>
      </c>
      <c r="NF25" s="7">
        <v>1276657</v>
      </c>
      <c r="NG25" s="7">
        <v>2628797</v>
      </c>
      <c r="NH25" s="7">
        <v>6795113</v>
      </c>
      <c r="NI25" s="7">
        <v>41776247</v>
      </c>
      <c r="NJ25" s="7">
        <v>15254434</v>
      </c>
      <c r="NK25" s="7">
        <v>9300809</v>
      </c>
      <c r="NL25" s="7">
        <v>1229022</v>
      </c>
      <c r="NM25" s="7">
        <v>4703149</v>
      </c>
      <c r="NN25" s="7">
        <v>10562942</v>
      </c>
      <c r="NO25" s="7">
        <v>4632733</v>
      </c>
      <c r="NP25" s="7">
        <v>10910775</v>
      </c>
      <c r="NQ25" s="7">
        <v>8128718</v>
      </c>
      <c r="NR25" s="7">
        <v>1085073</v>
      </c>
      <c r="NS25" s="7">
        <v>3434017</v>
      </c>
      <c r="NT25" s="7">
        <v>1132872</v>
      </c>
      <c r="NU25" s="7">
        <v>3459202</v>
      </c>
      <c r="NV25" s="7">
        <v>1279378</v>
      </c>
      <c r="NW25" s="7">
        <v>2249901</v>
      </c>
      <c r="NX25" s="7">
        <v>4547924</v>
      </c>
      <c r="NY25" s="7">
        <v>10868627</v>
      </c>
      <c r="NZ25" s="7">
        <v>14380983</v>
      </c>
      <c r="OA25" s="7">
        <v>2700271</v>
      </c>
      <c r="OB25" s="7">
        <v>4859696</v>
      </c>
      <c r="OC25" s="7">
        <v>5915811</v>
      </c>
      <c r="OD25" s="7">
        <v>6263086</v>
      </c>
      <c r="OE25" s="7">
        <v>1339848</v>
      </c>
      <c r="OF25" s="7">
        <v>1021621</v>
      </c>
      <c r="OG25" s="7">
        <v>1251975</v>
      </c>
      <c r="OH25" s="7">
        <v>2168087</v>
      </c>
      <c r="OI25" s="7">
        <v>4077870</v>
      </c>
      <c r="OJ25" s="7">
        <v>1292942</v>
      </c>
      <c r="OK25" s="7">
        <v>11539063</v>
      </c>
      <c r="OL25" s="7">
        <v>31026705</v>
      </c>
      <c r="OM25" s="7">
        <v>4367105</v>
      </c>
      <c r="ON25" s="7">
        <v>6379589</v>
      </c>
      <c r="OO25" s="7">
        <v>18126390</v>
      </c>
      <c r="OP25" s="7">
        <v>1083421</v>
      </c>
      <c r="OQ25" s="7">
        <v>577816482</v>
      </c>
      <c r="OR25" s="7">
        <v>13162591</v>
      </c>
      <c r="OS25" s="7">
        <v>7899307</v>
      </c>
      <c r="OT25" s="7">
        <v>3000589</v>
      </c>
      <c r="OU25" s="7">
        <v>22306609</v>
      </c>
      <c r="OV25" s="7">
        <v>7495456</v>
      </c>
      <c r="OW25" s="7">
        <v>1632560</v>
      </c>
      <c r="OX25" s="7">
        <v>14799174</v>
      </c>
      <c r="OY25" s="7">
        <v>1435593</v>
      </c>
      <c r="OZ25" s="7">
        <v>95316120</v>
      </c>
      <c r="PA25" s="7">
        <v>203297369</v>
      </c>
      <c r="PB25" s="7">
        <v>1025926</v>
      </c>
      <c r="PC25" s="7">
        <v>1678867772</v>
      </c>
      <c r="PD25" s="7">
        <v>14767809</v>
      </c>
      <c r="PE25" s="7">
        <v>1442002</v>
      </c>
      <c r="PF25" s="7">
        <v>1111020</v>
      </c>
      <c r="PG25" s="7">
        <v>41540015</v>
      </c>
      <c r="PH25" s="7">
        <v>1715073</v>
      </c>
      <c r="PI25" s="7">
        <v>5202358</v>
      </c>
      <c r="PJ25" s="7">
        <v>5714983</v>
      </c>
      <c r="PK25" s="7">
        <v>3216379</v>
      </c>
      <c r="PL25" s="7">
        <v>9685716</v>
      </c>
      <c r="PM25" s="7">
        <v>18402696</v>
      </c>
      <c r="PN25" s="7">
        <v>17510509</v>
      </c>
      <c r="PO25" s="7">
        <v>12179639</v>
      </c>
      <c r="PP25" s="7">
        <v>13414207</v>
      </c>
      <c r="PQ25" s="7">
        <v>9473475</v>
      </c>
      <c r="PR25" s="7">
        <v>7351628</v>
      </c>
      <c r="PS25" s="7">
        <v>6114493</v>
      </c>
      <c r="PT25" s="7">
        <v>1024825</v>
      </c>
      <c r="PU25" s="7">
        <v>209831446</v>
      </c>
      <c r="PV25" s="7">
        <v>8569053</v>
      </c>
      <c r="PW25" s="7">
        <v>13123272</v>
      </c>
      <c r="PX25" s="7">
        <v>39393181</v>
      </c>
      <c r="PY25" s="7">
        <v>45934545</v>
      </c>
      <c r="PZ25" s="7">
        <v>5878166</v>
      </c>
      <c r="QA25" s="7">
        <v>14239849</v>
      </c>
      <c r="QB25" s="7">
        <v>12894862</v>
      </c>
      <c r="QC25" s="7">
        <v>11458581</v>
      </c>
      <c r="QD25" s="7">
        <v>2153030</v>
      </c>
      <c r="QE25" s="7">
        <v>2507407</v>
      </c>
      <c r="QF25" s="7">
        <v>1197255</v>
      </c>
      <c r="QG25" s="7">
        <v>11071706</v>
      </c>
      <c r="QH25" s="7">
        <v>2022507</v>
      </c>
      <c r="QI25" s="7">
        <v>17416361</v>
      </c>
      <c r="QJ25" s="7">
        <v>2798728</v>
      </c>
      <c r="QK25" s="7">
        <v>2450309</v>
      </c>
      <c r="QL25" s="7">
        <v>1814235</v>
      </c>
      <c r="QM25" s="7">
        <v>22114429</v>
      </c>
      <c r="QN25" s="7">
        <v>1102621</v>
      </c>
      <c r="QO25" s="7">
        <v>2420838</v>
      </c>
      <c r="QP25" s="7">
        <v>3572787</v>
      </c>
      <c r="QQ25" s="7">
        <v>2690555</v>
      </c>
      <c r="QR25" s="7">
        <v>3465061</v>
      </c>
      <c r="QS25" s="7">
        <v>1629725</v>
      </c>
      <c r="QT25" s="7">
        <v>21764729</v>
      </c>
      <c r="QU25" s="7">
        <v>7123935</v>
      </c>
      <c r="QV25" s="7">
        <v>1302388</v>
      </c>
      <c r="QW25" s="7">
        <v>3472625</v>
      </c>
      <c r="QX25" s="7">
        <v>1241646</v>
      </c>
      <c r="QY25" s="7">
        <v>4368246</v>
      </c>
      <c r="QZ25" s="7">
        <v>13782698</v>
      </c>
      <c r="RA25" s="7">
        <v>6016644</v>
      </c>
      <c r="RB25" s="7">
        <v>1117548</v>
      </c>
      <c r="RC25" s="7">
        <v>1557145</v>
      </c>
      <c r="RD25" s="7">
        <v>1252329</v>
      </c>
      <c r="RE25" s="7">
        <v>37478754</v>
      </c>
      <c r="RF25" s="7">
        <v>2580045</v>
      </c>
      <c r="RG25" s="7">
        <v>3955366</v>
      </c>
      <c r="RH25" s="7">
        <v>1179128</v>
      </c>
      <c r="RI25" s="7">
        <v>1677300</v>
      </c>
      <c r="RJ25" s="7">
        <v>6730809</v>
      </c>
      <c r="RK25" s="7">
        <v>10021018</v>
      </c>
      <c r="RL25" s="7">
        <v>1068570</v>
      </c>
      <c r="RM25" s="7">
        <v>2717534</v>
      </c>
      <c r="RN25" s="7">
        <v>1476441</v>
      </c>
      <c r="RO25" s="7">
        <v>1116816</v>
      </c>
      <c r="RP25" s="7">
        <v>1160399</v>
      </c>
      <c r="RQ25" s="7">
        <v>1051557</v>
      </c>
      <c r="RR25" s="7">
        <v>1361678</v>
      </c>
      <c r="RS25" s="7">
        <v>1592399</v>
      </c>
      <c r="RT25" s="7">
        <v>10854775</v>
      </c>
      <c r="RU25" s="7">
        <v>3168553</v>
      </c>
      <c r="RV25" s="7">
        <v>1426111</v>
      </c>
      <c r="RW25" s="7">
        <v>18899689</v>
      </c>
      <c r="RX25" s="7">
        <v>5552848</v>
      </c>
      <c r="RY25" s="7">
        <v>2084179</v>
      </c>
      <c r="RZ25" s="7">
        <v>2673218</v>
      </c>
      <c r="SA25" s="7">
        <v>1098476</v>
      </c>
      <c r="SB25" s="7">
        <v>1053183</v>
      </c>
      <c r="SC25" s="7">
        <v>8607630</v>
      </c>
      <c r="SD25" s="7">
        <v>7247139</v>
      </c>
      <c r="SE25" s="7">
        <v>3018358</v>
      </c>
      <c r="SF25" s="7">
        <v>3256721</v>
      </c>
      <c r="SG25" s="7">
        <v>9796030</v>
      </c>
      <c r="SH25" s="7">
        <v>4205888</v>
      </c>
      <c r="SI25" s="7">
        <v>43861696</v>
      </c>
      <c r="SJ25" s="7">
        <v>1918939</v>
      </c>
      <c r="SK25" s="7">
        <v>321845293</v>
      </c>
      <c r="SL25" s="7">
        <v>2061069</v>
      </c>
      <c r="SM25" s="7">
        <v>3978783</v>
      </c>
      <c r="SN25" s="7">
        <v>3177210</v>
      </c>
      <c r="SO25" s="7">
        <v>4587587</v>
      </c>
      <c r="SP25" s="7">
        <v>6578848</v>
      </c>
      <c r="SQ25" s="7">
        <v>4383820</v>
      </c>
      <c r="SR25" s="7">
        <v>1379881</v>
      </c>
      <c r="SS25" s="7">
        <v>1116317</v>
      </c>
      <c r="ST25" s="7">
        <v>1080662</v>
      </c>
      <c r="SU25" s="7">
        <v>17304808</v>
      </c>
      <c r="SV25" s="7">
        <v>1166279</v>
      </c>
      <c r="SW25" s="7">
        <v>261781490</v>
      </c>
      <c r="SX25" s="7">
        <v>16877174</v>
      </c>
      <c r="SY25" s="7">
        <v>2127941</v>
      </c>
      <c r="SZ25" s="7">
        <v>4108546</v>
      </c>
      <c r="TA25" s="7">
        <v>321436446</v>
      </c>
      <c r="TB25" s="7">
        <v>5968957</v>
      </c>
      <c r="TC25" s="7">
        <v>3139873</v>
      </c>
      <c r="TD25" s="7">
        <v>1228987</v>
      </c>
      <c r="TE25" s="7">
        <v>1250586</v>
      </c>
      <c r="TF25" s="7">
        <v>112584708</v>
      </c>
      <c r="TG25" s="7">
        <v>197343616</v>
      </c>
      <c r="TH25" s="7">
        <v>1591861</v>
      </c>
      <c r="TI25" s="7">
        <v>3154266</v>
      </c>
      <c r="TJ25" s="7">
        <v>1280109</v>
      </c>
      <c r="TK25" s="7">
        <v>1035289</v>
      </c>
      <c r="TL25" s="7">
        <v>26273326</v>
      </c>
      <c r="TM25" s="7">
        <v>150616189</v>
      </c>
      <c r="TN25" s="7">
        <v>1430889</v>
      </c>
      <c r="TO25" s="7">
        <v>12691993045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89"/>
  <sheetViews>
    <sheetView workbookViewId="0">
      <selection activeCell="D9" sqref="D9"/>
    </sheetView>
  </sheetViews>
  <sheetFormatPr defaultRowHeight="15" x14ac:dyDescent="0.25"/>
  <cols>
    <col min="1" max="1" width="67.140625" bestFit="1" customWidth="1"/>
    <col min="4" max="4" width="9.140625" style="2"/>
    <col min="6" max="6" width="11.42578125" bestFit="1" customWidth="1"/>
  </cols>
  <sheetData>
    <row r="1" spans="1:8" x14ac:dyDescent="0.25">
      <c r="A1" t="s">
        <v>1406</v>
      </c>
      <c r="B1" t="s">
        <v>1407</v>
      </c>
      <c r="C1" t="s">
        <v>1408</v>
      </c>
      <c r="D1" s="3" t="s">
        <v>1430</v>
      </c>
      <c r="E1" t="s">
        <v>0</v>
      </c>
      <c r="F1" t="s">
        <v>1409</v>
      </c>
      <c r="G1" t="s">
        <v>2</v>
      </c>
      <c r="H1" t="s">
        <v>1</v>
      </c>
    </row>
    <row r="2" spans="1:8" x14ac:dyDescent="0.25">
      <c r="A2" t="s">
        <v>1410</v>
      </c>
      <c r="B2">
        <v>1</v>
      </c>
      <c r="C2">
        <v>4.4859999999999998</v>
      </c>
      <c r="D2" s="3">
        <v>4.49</v>
      </c>
      <c r="E2" t="s">
        <v>3</v>
      </c>
      <c r="F2">
        <v>3226285</v>
      </c>
      <c r="G2" s="1">
        <v>1.6199999999999999E-2</v>
      </c>
      <c r="H2" s="1">
        <v>2.7699999999999999E-3</v>
      </c>
    </row>
    <row r="3" spans="1:8" x14ac:dyDescent="0.25">
      <c r="A3" t="s">
        <v>1410</v>
      </c>
      <c r="B3">
        <v>2</v>
      </c>
      <c r="C3">
        <v>4.548</v>
      </c>
      <c r="D3" s="3">
        <v>4.55</v>
      </c>
      <c r="E3" t="s">
        <v>4</v>
      </c>
      <c r="F3">
        <v>1171272</v>
      </c>
      <c r="G3" s="1">
        <v>5.8999999999999999E-3</v>
      </c>
      <c r="H3" s="1">
        <v>1.01E-3</v>
      </c>
    </row>
    <row r="4" spans="1:8" x14ac:dyDescent="0.25">
      <c r="A4" t="s">
        <v>1410</v>
      </c>
      <c r="B4">
        <v>3</v>
      </c>
      <c r="C4">
        <v>4.7069999999999999</v>
      </c>
      <c r="D4" s="3">
        <v>4.71</v>
      </c>
      <c r="E4" t="s">
        <v>5</v>
      </c>
      <c r="F4">
        <v>2537097</v>
      </c>
      <c r="G4" s="1">
        <v>1.2699999999999999E-2</v>
      </c>
      <c r="H4" s="1">
        <v>2.1800000000000001E-3</v>
      </c>
    </row>
    <row r="5" spans="1:8" x14ac:dyDescent="0.25">
      <c r="A5" t="s">
        <v>1410</v>
      </c>
      <c r="B5">
        <v>4</v>
      </c>
      <c r="C5">
        <v>4.8049999999999997</v>
      </c>
      <c r="D5" s="3">
        <v>4.8099999999999996</v>
      </c>
      <c r="E5" t="s">
        <v>6</v>
      </c>
      <c r="F5">
        <v>2907032</v>
      </c>
      <c r="G5" s="1">
        <v>1.46E-2</v>
      </c>
      <c r="H5" s="1">
        <v>2.49E-3</v>
      </c>
    </row>
    <row r="6" spans="1:8" x14ac:dyDescent="0.25">
      <c r="A6" t="s">
        <v>1410</v>
      </c>
      <c r="B6">
        <v>5</v>
      </c>
      <c r="C6">
        <v>4.899</v>
      </c>
      <c r="D6" s="3">
        <v>4.9000000000000004</v>
      </c>
      <c r="E6" t="s">
        <v>7</v>
      </c>
      <c r="F6">
        <v>11405315</v>
      </c>
      <c r="G6" s="1">
        <v>5.7099999999999998E-2</v>
      </c>
      <c r="H6" s="1">
        <v>9.7900000000000001E-3</v>
      </c>
    </row>
    <row r="7" spans="1:8" x14ac:dyDescent="0.25">
      <c r="A7" t="s">
        <v>1410</v>
      </c>
      <c r="B7">
        <v>6</v>
      </c>
      <c r="C7">
        <v>4.9770000000000003</v>
      </c>
      <c r="D7" s="3">
        <v>4.9800000000000004</v>
      </c>
      <c r="E7" t="s">
        <v>8</v>
      </c>
      <c r="F7">
        <v>4879468</v>
      </c>
      <c r="G7" s="1">
        <v>2.4400000000000002E-2</v>
      </c>
      <c r="H7" s="1">
        <v>4.1900000000000001E-3</v>
      </c>
    </row>
    <row r="8" spans="1:8" x14ac:dyDescent="0.25">
      <c r="A8" t="s">
        <v>1410</v>
      </c>
      <c r="B8">
        <v>7</v>
      </c>
      <c r="C8">
        <v>5.1189999999999998</v>
      </c>
      <c r="D8" s="3">
        <v>5.12</v>
      </c>
      <c r="E8" t="s">
        <v>9</v>
      </c>
      <c r="F8">
        <v>1449851</v>
      </c>
      <c r="G8" s="1">
        <v>7.3000000000000001E-3</v>
      </c>
      <c r="H8" s="1">
        <v>1.24E-3</v>
      </c>
    </row>
    <row r="9" spans="1:8" x14ac:dyDescent="0.25">
      <c r="A9" t="s">
        <v>1410</v>
      </c>
      <c r="B9">
        <v>8</v>
      </c>
      <c r="C9">
        <v>5.2</v>
      </c>
      <c r="D9" s="3">
        <v>5.2</v>
      </c>
      <c r="E9" t="s">
        <v>10</v>
      </c>
      <c r="F9">
        <v>5460496</v>
      </c>
      <c r="G9" s="1">
        <v>2.7300000000000001E-2</v>
      </c>
      <c r="H9" s="1">
        <v>4.6899999999999997E-3</v>
      </c>
    </row>
    <row r="10" spans="1:8" x14ac:dyDescent="0.25">
      <c r="A10" t="s">
        <v>1410</v>
      </c>
      <c r="B10">
        <v>9</v>
      </c>
      <c r="C10">
        <v>5.2859999999999996</v>
      </c>
      <c r="D10" s="3">
        <v>5.29</v>
      </c>
      <c r="E10" t="s">
        <v>11</v>
      </c>
      <c r="F10">
        <v>2623491</v>
      </c>
      <c r="G10" s="1">
        <v>1.3100000000000001E-2</v>
      </c>
      <c r="H10" s="1">
        <v>2.2499999999999998E-3</v>
      </c>
    </row>
    <row r="11" spans="1:8" x14ac:dyDescent="0.25">
      <c r="A11" t="s">
        <v>1410</v>
      </c>
      <c r="B11">
        <v>10</v>
      </c>
      <c r="C11">
        <v>5.5049999999999999</v>
      </c>
      <c r="D11" s="3">
        <v>5.51</v>
      </c>
      <c r="E11" t="s">
        <v>12</v>
      </c>
      <c r="F11">
        <v>2103191</v>
      </c>
      <c r="G11" s="1">
        <v>1.0500000000000001E-2</v>
      </c>
      <c r="H11" s="1">
        <v>1.8E-3</v>
      </c>
    </row>
    <row r="12" spans="1:8" x14ac:dyDescent="0.25">
      <c r="A12" t="s">
        <v>1410</v>
      </c>
      <c r="B12">
        <v>11</v>
      </c>
      <c r="C12">
        <v>5.6580000000000004</v>
      </c>
      <c r="D12" s="3">
        <v>5.66</v>
      </c>
      <c r="E12" t="s">
        <v>13</v>
      </c>
      <c r="F12">
        <v>1761570</v>
      </c>
      <c r="G12" s="1">
        <v>8.8000000000000005E-3</v>
      </c>
      <c r="H12" s="1">
        <v>1.5100000000000001E-3</v>
      </c>
    </row>
    <row r="13" spans="1:8" x14ac:dyDescent="0.25">
      <c r="A13" t="s">
        <v>1410</v>
      </c>
      <c r="B13">
        <v>12</v>
      </c>
      <c r="C13">
        <v>6.0990000000000002</v>
      </c>
      <c r="D13" s="3">
        <v>6.1</v>
      </c>
      <c r="E13" t="s">
        <v>14</v>
      </c>
      <c r="F13">
        <v>3287093</v>
      </c>
      <c r="G13" s="1">
        <v>1.6500000000000001E-2</v>
      </c>
      <c r="H13" s="1">
        <v>2.82E-3</v>
      </c>
    </row>
    <row r="14" spans="1:8" x14ac:dyDescent="0.25">
      <c r="A14" t="s">
        <v>1410</v>
      </c>
      <c r="B14">
        <v>13</v>
      </c>
      <c r="C14">
        <v>6.2480000000000002</v>
      </c>
      <c r="D14" s="3">
        <v>6.25</v>
      </c>
      <c r="E14" t="s">
        <v>15</v>
      </c>
      <c r="F14">
        <v>11695827</v>
      </c>
      <c r="G14" s="1">
        <v>5.8599999999999999E-2</v>
      </c>
      <c r="H14" s="1">
        <v>1.004E-2</v>
      </c>
    </row>
    <row r="15" spans="1:8" x14ac:dyDescent="0.25">
      <c r="A15" t="s">
        <v>1410</v>
      </c>
      <c r="B15">
        <v>14</v>
      </c>
      <c r="C15">
        <v>6.4870000000000001</v>
      </c>
      <c r="D15" s="3">
        <v>6.49</v>
      </c>
      <c r="E15" t="s">
        <v>16</v>
      </c>
      <c r="F15">
        <v>10316133</v>
      </c>
      <c r="G15" s="1">
        <v>5.1700000000000003E-2</v>
      </c>
      <c r="H15" s="1">
        <v>8.8500000000000002E-3</v>
      </c>
    </row>
    <row r="16" spans="1:8" x14ac:dyDescent="0.25">
      <c r="A16" t="s">
        <v>1410</v>
      </c>
      <c r="B16">
        <v>15</v>
      </c>
      <c r="C16">
        <v>7.1180000000000003</v>
      </c>
      <c r="D16" s="3">
        <v>7.12</v>
      </c>
      <c r="E16" t="s">
        <v>17</v>
      </c>
      <c r="F16">
        <v>3523387</v>
      </c>
      <c r="G16" s="1">
        <v>1.7600000000000001E-2</v>
      </c>
      <c r="H16" s="1">
        <v>3.0200000000000001E-3</v>
      </c>
    </row>
    <row r="17" spans="1:8" x14ac:dyDescent="0.25">
      <c r="A17" t="s">
        <v>1410</v>
      </c>
      <c r="B17">
        <v>16</v>
      </c>
      <c r="C17">
        <v>7.351</v>
      </c>
      <c r="D17" s="3">
        <v>7.35</v>
      </c>
      <c r="E17" t="s">
        <v>18</v>
      </c>
      <c r="F17">
        <v>2810850</v>
      </c>
      <c r="G17" s="1">
        <v>1.41E-2</v>
      </c>
      <c r="H17" s="1">
        <v>2.4099999999999998E-3</v>
      </c>
    </row>
    <row r="18" spans="1:8" x14ac:dyDescent="0.25">
      <c r="A18" t="s">
        <v>1410</v>
      </c>
      <c r="B18">
        <v>17</v>
      </c>
      <c r="C18">
        <v>7.5819999999999999</v>
      </c>
      <c r="D18" s="3">
        <v>7.58</v>
      </c>
      <c r="E18" t="s">
        <v>19</v>
      </c>
      <c r="F18">
        <v>2120734</v>
      </c>
      <c r="G18" s="1">
        <v>1.06E-2</v>
      </c>
      <c r="H18" s="1">
        <v>1.82E-3</v>
      </c>
    </row>
    <row r="19" spans="1:8" x14ac:dyDescent="0.25">
      <c r="A19" t="s">
        <v>1410</v>
      </c>
      <c r="B19">
        <v>18</v>
      </c>
      <c r="C19">
        <v>8.1199999999999992</v>
      </c>
      <c r="D19" s="3">
        <v>8.1199999999999992</v>
      </c>
      <c r="E19" t="s">
        <v>20</v>
      </c>
      <c r="F19">
        <v>3242681</v>
      </c>
      <c r="G19" s="1">
        <v>1.6199999999999999E-2</v>
      </c>
      <c r="H19" s="1">
        <v>2.7799999999999999E-3</v>
      </c>
    </row>
    <row r="20" spans="1:8" x14ac:dyDescent="0.25">
      <c r="A20" t="s">
        <v>1410</v>
      </c>
      <c r="B20">
        <v>19</v>
      </c>
      <c r="C20">
        <v>8.26</v>
      </c>
      <c r="D20" s="3">
        <v>8.26</v>
      </c>
      <c r="E20" t="s">
        <v>21</v>
      </c>
      <c r="F20">
        <v>6009967</v>
      </c>
      <c r="G20" s="1">
        <v>3.0099999999999998E-2</v>
      </c>
      <c r="H20" s="1">
        <v>5.1599999999999997E-3</v>
      </c>
    </row>
    <row r="21" spans="1:8" x14ac:dyDescent="0.25">
      <c r="A21" t="s">
        <v>1410</v>
      </c>
      <c r="B21">
        <v>20</v>
      </c>
      <c r="C21">
        <v>8.57</v>
      </c>
      <c r="D21" s="3">
        <v>8.57</v>
      </c>
      <c r="E21" t="s">
        <v>22</v>
      </c>
      <c r="F21">
        <v>1090601</v>
      </c>
      <c r="G21" s="1">
        <v>5.4999999999999997E-3</v>
      </c>
      <c r="H21" s="1">
        <v>9.3999999999999997E-4</v>
      </c>
    </row>
    <row r="22" spans="1:8" x14ac:dyDescent="0.25">
      <c r="A22" t="s">
        <v>1410</v>
      </c>
      <c r="B22">
        <v>21</v>
      </c>
      <c r="C22">
        <v>8.6349999999999998</v>
      </c>
      <c r="D22" s="3">
        <v>8.64</v>
      </c>
      <c r="E22" t="s">
        <v>23</v>
      </c>
      <c r="F22">
        <v>2003183</v>
      </c>
      <c r="G22" s="1">
        <v>0.01</v>
      </c>
      <c r="H22" s="1">
        <v>1.72E-3</v>
      </c>
    </row>
    <row r="23" spans="1:8" x14ac:dyDescent="0.25">
      <c r="A23" t="s">
        <v>1410</v>
      </c>
      <c r="B23">
        <v>22</v>
      </c>
      <c r="C23">
        <v>8.9280000000000008</v>
      </c>
      <c r="D23" s="3">
        <v>8.93</v>
      </c>
      <c r="E23" t="s">
        <v>24</v>
      </c>
      <c r="F23">
        <v>1861560</v>
      </c>
      <c r="G23" s="1">
        <v>9.2999999999999992E-3</v>
      </c>
      <c r="H23" s="1">
        <v>1.6000000000000001E-3</v>
      </c>
    </row>
    <row r="24" spans="1:8" x14ac:dyDescent="0.25">
      <c r="A24" t="s">
        <v>1410</v>
      </c>
      <c r="B24">
        <v>23</v>
      </c>
      <c r="C24">
        <v>8.9649999999999999</v>
      </c>
      <c r="D24" s="3">
        <v>8.9700000000000006</v>
      </c>
      <c r="E24" t="s">
        <v>25</v>
      </c>
      <c r="F24">
        <v>2259096</v>
      </c>
      <c r="G24" s="1">
        <v>1.1299999999999999E-2</v>
      </c>
      <c r="H24" s="1">
        <v>1.9400000000000001E-3</v>
      </c>
    </row>
    <row r="25" spans="1:8" x14ac:dyDescent="0.25">
      <c r="A25" t="s">
        <v>1410</v>
      </c>
      <c r="B25">
        <v>24</v>
      </c>
      <c r="C25">
        <v>9.1839999999999993</v>
      </c>
      <c r="D25" s="3">
        <v>9.18</v>
      </c>
      <c r="E25" t="s">
        <v>26</v>
      </c>
      <c r="F25">
        <v>4360869</v>
      </c>
      <c r="G25" s="1">
        <v>2.18E-2</v>
      </c>
      <c r="H25" s="1">
        <v>3.7399999999999998E-3</v>
      </c>
    </row>
    <row r="26" spans="1:8" x14ac:dyDescent="0.25">
      <c r="A26" t="s">
        <v>1410</v>
      </c>
      <c r="B26">
        <v>25</v>
      </c>
      <c r="C26">
        <v>9.2560000000000002</v>
      </c>
      <c r="D26" s="3">
        <v>9.26</v>
      </c>
      <c r="E26" t="s">
        <v>27</v>
      </c>
      <c r="F26">
        <v>6276223</v>
      </c>
      <c r="G26" s="1">
        <v>3.1399999999999997E-2</v>
      </c>
      <c r="H26" s="1">
        <v>5.3899999999999998E-3</v>
      </c>
    </row>
    <row r="27" spans="1:8" x14ac:dyDescent="0.25">
      <c r="A27" t="s">
        <v>1410</v>
      </c>
      <c r="B27">
        <v>26</v>
      </c>
      <c r="C27">
        <v>9.3580000000000005</v>
      </c>
      <c r="D27" s="3">
        <v>9.36</v>
      </c>
      <c r="E27" t="s">
        <v>28</v>
      </c>
      <c r="F27">
        <v>1746148</v>
      </c>
      <c r="G27" s="1">
        <v>8.6999999999999994E-3</v>
      </c>
      <c r="H27" s="1">
        <v>1.5E-3</v>
      </c>
    </row>
    <row r="28" spans="1:8" x14ac:dyDescent="0.25">
      <c r="A28" t="s">
        <v>1410</v>
      </c>
      <c r="B28">
        <v>27</v>
      </c>
      <c r="C28">
        <v>9.5129999999999999</v>
      </c>
      <c r="D28" s="3">
        <v>9.51</v>
      </c>
      <c r="E28" t="s">
        <v>29</v>
      </c>
      <c r="F28">
        <v>1354485</v>
      </c>
      <c r="G28" s="1">
        <v>6.7999999999999996E-3</v>
      </c>
      <c r="H28" s="1">
        <v>1.16E-3</v>
      </c>
    </row>
    <row r="29" spans="1:8" x14ac:dyDescent="0.25">
      <c r="A29" t="s">
        <v>1410</v>
      </c>
      <c r="B29">
        <v>28</v>
      </c>
      <c r="C29">
        <v>9.6539999999999999</v>
      </c>
      <c r="D29" s="3">
        <v>9.65</v>
      </c>
      <c r="E29" t="s">
        <v>30</v>
      </c>
      <c r="F29">
        <v>23155984</v>
      </c>
      <c r="G29" s="1">
        <v>0.11600000000000001</v>
      </c>
      <c r="H29" s="1">
        <v>1.9869999999999999E-2</v>
      </c>
    </row>
    <row r="30" spans="1:8" x14ac:dyDescent="0.25">
      <c r="A30" t="s">
        <v>1410</v>
      </c>
      <c r="B30">
        <v>29</v>
      </c>
      <c r="C30">
        <v>9.8190000000000008</v>
      </c>
      <c r="D30" s="3">
        <v>9.82</v>
      </c>
      <c r="E30">
        <v>1294102</v>
      </c>
      <c r="F30">
        <v>42145956</v>
      </c>
      <c r="G30" s="1">
        <v>0.21099999999999999</v>
      </c>
      <c r="H30" s="1">
        <v>3.6159999999999998E-2</v>
      </c>
    </row>
    <row r="31" spans="1:8" x14ac:dyDescent="0.25">
      <c r="A31" t="s">
        <v>1410</v>
      </c>
      <c r="B31">
        <v>30</v>
      </c>
      <c r="C31">
        <v>10.042999999999999</v>
      </c>
      <c r="D31" s="3">
        <v>10.039999999999999</v>
      </c>
      <c r="E31">
        <v>41883</v>
      </c>
      <c r="F31">
        <v>1383276</v>
      </c>
      <c r="G31" s="1">
        <v>6.8999999999999999E-3</v>
      </c>
      <c r="H31" s="1">
        <v>1.1900000000000001E-3</v>
      </c>
    </row>
    <row r="32" spans="1:8" x14ac:dyDescent="0.25">
      <c r="A32" t="s">
        <v>1410</v>
      </c>
      <c r="B32">
        <v>31</v>
      </c>
      <c r="C32">
        <v>10.288</v>
      </c>
      <c r="D32" s="3">
        <v>10.29</v>
      </c>
      <c r="E32" t="s">
        <v>31</v>
      </c>
      <c r="F32">
        <v>2639163</v>
      </c>
      <c r="G32" s="1">
        <v>1.32E-2</v>
      </c>
      <c r="H32" s="1">
        <v>2.2599999999999999E-3</v>
      </c>
    </row>
    <row r="33" spans="1:8" x14ac:dyDescent="0.25">
      <c r="A33" t="s">
        <v>1410</v>
      </c>
      <c r="B33">
        <v>32</v>
      </c>
      <c r="C33">
        <v>10.398999999999999</v>
      </c>
      <c r="D33" s="3">
        <v>10.4</v>
      </c>
      <c r="E33" t="s">
        <v>32</v>
      </c>
      <c r="F33">
        <v>12555955</v>
      </c>
      <c r="G33" s="1">
        <v>6.2899999999999998E-2</v>
      </c>
      <c r="H33" s="1">
        <v>1.077E-2</v>
      </c>
    </row>
    <row r="34" spans="1:8" x14ac:dyDescent="0.25">
      <c r="A34" t="s">
        <v>1410</v>
      </c>
      <c r="B34">
        <v>33</v>
      </c>
      <c r="C34">
        <v>10.493</v>
      </c>
      <c r="D34" s="3">
        <v>10.49</v>
      </c>
      <c r="E34" t="s">
        <v>33</v>
      </c>
      <c r="F34">
        <v>1634419</v>
      </c>
      <c r="G34" s="1">
        <v>8.2000000000000007E-3</v>
      </c>
      <c r="H34" s="1">
        <v>1.4E-3</v>
      </c>
    </row>
    <row r="35" spans="1:8" x14ac:dyDescent="0.25">
      <c r="A35" t="s">
        <v>1410</v>
      </c>
      <c r="B35">
        <v>34</v>
      </c>
      <c r="C35">
        <v>10.586</v>
      </c>
      <c r="D35" s="3">
        <v>10.59</v>
      </c>
      <c r="E35" t="s">
        <v>34</v>
      </c>
      <c r="F35">
        <v>6877428</v>
      </c>
      <c r="G35" s="1">
        <v>3.44E-2</v>
      </c>
      <c r="H35" s="1">
        <v>5.8999999999999999E-3</v>
      </c>
    </row>
    <row r="36" spans="1:8" x14ac:dyDescent="0.25">
      <c r="A36" t="s">
        <v>1410</v>
      </c>
      <c r="B36">
        <v>35</v>
      </c>
      <c r="C36">
        <v>10.646000000000001</v>
      </c>
      <c r="D36" s="3">
        <v>10.65</v>
      </c>
      <c r="E36" t="s">
        <v>35</v>
      </c>
      <c r="F36">
        <v>2991190</v>
      </c>
      <c r="G36" s="1">
        <v>1.4999999999999999E-2</v>
      </c>
      <c r="H36" s="1">
        <v>2.5699999999999998E-3</v>
      </c>
    </row>
    <row r="37" spans="1:8" x14ac:dyDescent="0.25">
      <c r="A37" t="s">
        <v>1410</v>
      </c>
      <c r="B37">
        <v>36</v>
      </c>
      <c r="C37">
        <v>10.766</v>
      </c>
      <c r="D37" s="3">
        <v>10.77</v>
      </c>
      <c r="E37" t="s">
        <v>36</v>
      </c>
      <c r="F37">
        <v>13112741</v>
      </c>
      <c r="G37" s="1">
        <v>6.5699999999999995E-2</v>
      </c>
      <c r="H37" s="1">
        <v>1.125E-2</v>
      </c>
    </row>
    <row r="38" spans="1:8" x14ac:dyDescent="0.25">
      <c r="A38" t="s">
        <v>1410</v>
      </c>
      <c r="B38">
        <v>37</v>
      </c>
      <c r="C38">
        <v>11.09</v>
      </c>
      <c r="D38" s="3">
        <v>11.09</v>
      </c>
      <c r="E38" t="s">
        <v>37</v>
      </c>
      <c r="F38">
        <v>8774335</v>
      </c>
      <c r="G38" s="1">
        <v>4.3900000000000002E-2</v>
      </c>
      <c r="H38" s="1">
        <v>7.5300000000000002E-3</v>
      </c>
    </row>
    <row r="39" spans="1:8" x14ac:dyDescent="0.25">
      <c r="A39" t="s">
        <v>1410</v>
      </c>
      <c r="B39">
        <v>38</v>
      </c>
      <c r="C39">
        <v>11.218999999999999</v>
      </c>
      <c r="D39" s="3">
        <v>11.22</v>
      </c>
      <c r="E39" t="s">
        <v>38</v>
      </c>
      <c r="F39">
        <v>8766555</v>
      </c>
      <c r="G39" s="1">
        <v>4.3900000000000002E-2</v>
      </c>
      <c r="H39" s="1">
        <v>7.5199999999999998E-3</v>
      </c>
    </row>
    <row r="40" spans="1:8" x14ac:dyDescent="0.25">
      <c r="A40" t="s">
        <v>1410</v>
      </c>
      <c r="B40">
        <v>39</v>
      </c>
      <c r="C40">
        <v>11.409000000000001</v>
      </c>
      <c r="D40" s="3">
        <v>11.41</v>
      </c>
      <c r="E40" t="s">
        <v>39</v>
      </c>
      <c r="F40">
        <v>2375143</v>
      </c>
      <c r="G40" s="1">
        <v>1.1900000000000001E-2</v>
      </c>
      <c r="H40" s="1">
        <v>2.0400000000000001E-3</v>
      </c>
    </row>
    <row r="41" spans="1:8" x14ac:dyDescent="0.25">
      <c r="A41" t="s">
        <v>1410</v>
      </c>
      <c r="B41">
        <v>40</v>
      </c>
      <c r="C41">
        <v>11.555999999999999</v>
      </c>
      <c r="D41" s="3">
        <v>11.56</v>
      </c>
      <c r="E41" t="s">
        <v>40</v>
      </c>
      <c r="F41">
        <v>3485110</v>
      </c>
      <c r="G41" s="1">
        <v>1.7500000000000002E-2</v>
      </c>
      <c r="H41" s="1">
        <v>2.99E-3</v>
      </c>
    </row>
    <row r="42" spans="1:8" x14ac:dyDescent="0.25">
      <c r="A42" t="s">
        <v>1410</v>
      </c>
      <c r="B42">
        <v>41</v>
      </c>
      <c r="C42">
        <v>11.62</v>
      </c>
      <c r="D42" s="3">
        <v>11.62</v>
      </c>
      <c r="E42" t="s">
        <v>41</v>
      </c>
      <c r="F42">
        <v>4502259</v>
      </c>
      <c r="G42" s="1">
        <v>2.2499999999999999E-2</v>
      </c>
      <c r="H42" s="1">
        <v>3.8600000000000001E-3</v>
      </c>
    </row>
    <row r="43" spans="1:8" x14ac:dyDescent="0.25">
      <c r="A43" t="s">
        <v>1410</v>
      </c>
      <c r="B43">
        <v>42</v>
      </c>
      <c r="C43">
        <v>11.750999999999999</v>
      </c>
      <c r="D43" s="3">
        <v>11.75</v>
      </c>
      <c r="E43" t="s">
        <v>42</v>
      </c>
      <c r="F43">
        <v>1169418</v>
      </c>
      <c r="G43" s="1">
        <v>5.8999999999999999E-3</v>
      </c>
      <c r="H43" s="1">
        <v>1E-3</v>
      </c>
    </row>
    <row r="44" spans="1:8" x14ac:dyDescent="0.25">
      <c r="A44" t="s">
        <v>1410</v>
      </c>
      <c r="B44">
        <v>43</v>
      </c>
      <c r="C44">
        <v>11.913</v>
      </c>
      <c r="D44" s="3">
        <v>11.91</v>
      </c>
      <c r="E44" t="s">
        <v>43</v>
      </c>
      <c r="F44">
        <v>3182359</v>
      </c>
      <c r="G44" s="1">
        <v>1.5900000000000001E-2</v>
      </c>
      <c r="H44" s="1">
        <v>2.7299999999999998E-3</v>
      </c>
    </row>
    <row r="45" spans="1:8" x14ac:dyDescent="0.25">
      <c r="A45" t="s">
        <v>1410</v>
      </c>
      <c r="B45">
        <v>44</v>
      </c>
      <c r="C45">
        <v>11.973000000000001</v>
      </c>
      <c r="D45" s="3">
        <v>11.97</v>
      </c>
      <c r="E45" t="s">
        <v>44</v>
      </c>
      <c r="F45">
        <v>1747735</v>
      </c>
      <c r="G45" s="1">
        <v>8.8000000000000005E-3</v>
      </c>
      <c r="H45" s="1">
        <v>1.5E-3</v>
      </c>
    </row>
    <row r="46" spans="1:8" x14ac:dyDescent="0.25">
      <c r="A46" t="s">
        <v>1410</v>
      </c>
      <c r="B46">
        <v>45</v>
      </c>
      <c r="C46">
        <v>12.125999999999999</v>
      </c>
      <c r="D46" s="3">
        <v>12.13</v>
      </c>
      <c r="E46" t="s">
        <v>45</v>
      </c>
      <c r="F46">
        <v>2919522</v>
      </c>
      <c r="G46" s="1">
        <v>1.46E-2</v>
      </c>
      <c r="H46" s="1">
        <v>2.5100000000000001E-3</v>
      </c>
    </row>
    <row r="47" spans="1:8" x14ac:dyDescent="0.25">
      <c r="A47" t="s">
        <v>1410</v>
      </c>
      <c r="B47">
        <v>46</v>
      </c>
      <c r="C47">
        <v>12.222</v>
      </c>
      <c r="D47" s="3">
        <v>12.22</v>
      </c>
      <c r="E47" t="s">
        <v>46</v>
      </c>
      <c r="F47">
        <v>5610023</v>
      </c>
      <c r="G47" s="1">
        <v>2.81E-2</v>
      </c>
      <c r="H47" s="1">
        <v>4.81E-3</v>
      </c>
    </row>
    <row r="48" spans="1:8" x14ac:dyDescent="0.25">
      <c r="A48" t="s">
        <v>1410</v>
      </c>
      <c r="B48">
        <v>47</v>
      </c>
      <c r="C48">
        <v>12.32</v>
      </c>
      <c r="D48" s="3">
        <v>12.32</v>
      </c>
      <c r="E48" t="s">
        <v>47</v>
      </c>
      <c r="F48">
        <v>3386778</v>
      </c>
      <c r="G48" s="1">
        <v>1.7000000000000001E-2</v>
      </c>
      <c r="H48" s="1">
        <v>2.9099999999999998E-3</v>
      </c>
    </row>
    <row r="49" spans="1:8" x14ac:dyDescent="0.25">
      <c r="A49" t="s">
        <v>1410</v>
      </c>
      <c r="B49">
        <v>48</v>
      </c>
      <c r="C49">
        <v>12.435</v>
      </c>
      <c r="D49" s="3">
        <v>12.44</v>
      </c>
      <c r="E49" t="s">
        <v>48</v>
      </c>
      <c r="F49">
        <v>1104518</v>
      </c>
      <c r="G49" s="1">
        <v>5.4999999999999997E-3</v>
      </c>
      <c r="H49" s="1">
        <v>9.5E-4</v>
      </c>
    </row>
    <row r="50" spans="1:8" x14ac:dyDescent="0.25">
      <c r="A50" t="s">
        <v>1410</v>
      </c>
      <c r="B50">
        <v>49</v>
      </c>
      <c r="C50">
        <v>12.494999999999999</v>
      </c>
      <c r="D50" s="3">
        <v>12.5</v>
      </c>
      <c r="E50" t="s">
        <v>49</v>
      </c>
      <c r="F50">
        <v>1755703</v>
      </c>
      <c r="G50" s="1">
        <v>8.8000000000000005E-3</v>
      </c>
      <c r="H50" s="1">
        <v>1.5100000000000001E-3</v>
      </c>
    </row>
    <row r="51" spans="1:8" x14ac:dyDescent="0.25">
      <c r="A51" t="s">
        <v>1410</v>
      </c>
      <c r="B51">
        <v>50</v>
      </c>
      <c r="C51">
        <v>12.542999999999999</v>
      </c>
      <c r="D51" s="3">
        <v>12.54</v>
      </c>
      <c r="E51" t="s">
        <v>50</v>
      </c>
      <c r="F51">
        <v>2352896</v>
      </c>
      <c r="G51" s="1">
        <v>1.18E-2</v>
      </c>
      <c r="H51" s="1">
        <v>2.0200000000000001E-3</v>
      </c>
    </row>
    <row r="52" spans="1:8" x14ac:dyDescent="0.25">
      <c r="A52" t="s">
        <v>1410</v>
      </c>
      <c r="B52">
        <v>51</v>
      </c>
      <c r="C52">
        <v>12.586</v>
      </c>
      <c r="D52" s="3">
        <v>12.59</v>
      </c>
      <c r="E52" t="s">
        <v>51</v>
      </c>
      <c r="F52">
        <v>2810322</v>
      </c>
      <c r="G52" s="1">
        <v>1.41E-2</v>
      </c>
      <c r="H52" s="1">
        <v>2.4099999999999998E-3</v>
      </c>
    </row>
    <row r="53" spans="1:8" x14ac:dyDescent="0.25">
      <c r="A53" t="s">
        <v>1410</v>
      </c>
      <c r="B53">
        <v>52</v>
      </c>
      <c r="C53">
        <v>12.702</v>
      </c>
      <c r="D53" s="3">
        <v>12.7</v>
      </c>
      <c r="E53" t="s">
        <v>52</v>
      </c>
      <c r="F53">
        <v>4019828</v>
      </c>
      <c r="G53" s="1">
        <v>2.01E-2</v>
      </c>
      <c r="H53" s="1">
        <v>3.4499999999999999E-3</v>
      </c>
    </row>
    <row r="54" spans="1:8" x14ac:dyDescent="0.25">
      <c r="A54" t="s">
        <v>1410</v>
      </c>
      <c r="B54">
        <v>53</v>
      </c>
      <c r="C54">
        <v>12.843</v>
      </c>
      <c r="D54" s="3">
        <v>12.84</v>
      </c>
      <c r="E54" t="s">
        <v>53</v>
      </c>
      <c r="F54">
        <v>90006609</v>
      </c>
      <c r="G54" s="1">
        <v>0.45069999999999999</v>
      </c>
      <c r="H54" s="1">
        <v>7.7229999999999993E-2</v>
      </c>
    </row>
    <row r="55" spans="1:8" x14ac:dyDescent="0.25">
      <c r="A55" t="s">
        <v>1410</v>
      </c>
      <c r="B55">
        <v>54</v>
      </c>
      <c r="C55">
        <v>13.224</v>
      </c>
      <c r="D55" s="3">
        <v>13.22</v>
      </c>
      <c r="E55" t="s">
        <v>54</v>
      </c>
      <c r="F55">
        <v>29288258</v>
      </c>
      <c r="G55" s="1">
        <v>0.1467</v>
      </c>
      <c r="H55" s="1">
        <v>2.513E-2</v>
      </c>
    </row>
    <row r="56" spans="1:8" x14ac:dyDescent="0.25">
      <c r="A56" t="s">
        <v>1410</v>
      </c>
      <c r="B56">
        <v>55</v>
      </c>
      <c r="C56">
        <v>13.558</v>
      </c>
      <c r="D56" s="3">
        <v>13.56</v>
      </c>
      <c r="E56" t="s">
        <v>55</v>
      </c>
      <c r="F56">
        <v>1334477</v>
      </c>
      <c r="G56" s="1">
        <v>6.7000000000000002E-3</v>
      </c>
      <c r="H56" s="1">
        <v>1.15E-3</v>
      </c>
    </row>
    <row r="57" spans="1:8" x14ac:dyDescent="0.25">
      <c r="A57" t="s">
        <v>1410</v>
      </c>
      <c r="B57">
        <v>56</v>
      </c>
      <c r="C57">
        <v>13.618</v>
      </c>
      <c r="D57" s="3">
        <v>13.62</v>
      </c>
      <c r="E57" t="s">
        <v>56</v>
      </c>
      <c r="F57">
        <v>3013766</v>
      </c>
      <c r="G57" s="1">
        <v>1.5100000000000001E-2</v>
      </c>
      <c r="H57" s="1">
        <v>2.5899999999999999E-3</v>
      </c>
    </row>
    <row r="58" spans="1:8" x14ac:dyDescent="0.25">
      <c r="A58" t="s">
        <v>1410</v>
      </c>
      <c r="B58">
        <v>57</v>
      </c>
      <c r="C58">
        <v>13.696</v>
      </c>
      <c r="D58" s="3">
        <v>13.7</v>
      </c>
      <c r="E58" t="s">
        <v>57</v>
      </c>
      <c r="F58">
        <v>1129272</v>
      </c>
      <c r="G58" s="1">
        <v>5.7000000000000002E-3</v>
      </c>
      <c r="H58" s="1">
        <v>9.7000000000000005E-4</v>
      </c>
    </row>
    <row r="59" spans="1:8" x14ac:dyDescent="0.25">
      <c r="A59" t="s">
        <v>1410</v>
      </c>
      <c r="B59">
        <v>58</v>
      </c>
      <c r="C59">
        <v>13.835000000000001</v>
      </c>
      <c r="D59" s="3">
        <v>13.84</v>
      </c>
      <c r="E59" t="s">
        <v>58</v>
      </c>
      <c r="F59">
        <v>1215061</v>
      </c>
      <c r="G59" s="1">
        <v>6.1000000000000004E-3</v>
      </c>
      <c r="H59" s="1">
        <v>1.0399999999999999E-3</v>
      </c>
    </row>
    <row r="60" spans="1:8" x14ac:dyDescent="0.25">
      <c r="A60" t="s">
        <v>1410</v>
      </c>
      <c r="B60">
        <v>59</v>
      </c>
      <c r="C60">
        <v>14.007</v>
      </c>
      <c r="D60" s="3">
        <v>14.01</v>
      </c>
      <c r="E60" t="s">
        <v>59</v>
      </c>
      <c r="F60">
        <v>1357867</v>
      </c>
      <c r="G60" s="1">
        <v>6.7999999999999996E-3</v>
      </c>
      <c r="H60" s="1">
        <v>1.17E-3</v>
      </c>
    </row>
    <row r="61" spans="1:8" x14ac:dyDescent="0.25">
      <c r="A61" t="s">
        <v>1410</v>
      </c>
      <c r="B61">
        <v>60</v>
      </c>
      <c r="C61">
        <v>14.148999999999999</v>
      </c>
      <c r="D61" s="3">
        <v>14.15</v>
      </c>
      <c r="E61" t="s">
        <v>60</v>
      </c>
      <c r="F61">
        <v>1098310</v>
      </c>
      <c r="G61" s="1">
        <v>5.4999999999999997E-3</v>
      </c>
      <c r="H61" s="1">
        <v>9.3999999999999997E-4</v>
      </c>
    </row>
    <row r="62" spans="1:8" x14ac:dyDescent="0.25">
      <c r="A62" t="s">
        <v>1410</v>
      </c>
      <c r="B62">
        <v>61</v>
      </c>
      <c r="C62">
        <v>14.425000000000001</v>
      </c>
      <c r="D62" s="3">
        <v>14.43</v>
      </c>
      <c r="E62" t="s">
        <v>61</v>
      </c>
      <c r="F62">
        <v>1509409</v>
      </c>
      <c r="G62" s="1">
        <v>7.6E-3</v>
      </c>
      <c r="H62" s="1">
        <v>1.2999999999999999E-3</v>
      </c>
    </row>
    <row r="63" spans="1:8" x14ac:dyDescent="0.25">
      <c r="A63" t="s">
        <v>1410</v>
      </c>
      <c r="B63">
        <v>62</v>
      </c>
      <c r="C63">
        <v>14.521000000000001</v>
      </c>
      <c r="D63" s="3">
        <v>14.52</v>
      </c>
      <c r="E63" t="s">
        <v>62</v>
      </c>
      <c r="F63">
        <v>3343216</v>
      </c>
      <c r="G63" s="1">
        <v>1.67E-2</v>
      </c>
      <c r="H63" s="1">
        <v>2.8700000000000002E-3</v>
      </c>
    </row>
    <row r="64" spans="1:8" x14ac:dyDescent="0.25">
      <c r="A64" t="s">
        <v>1410</v>
      </c>
      <c r="B64">
        <v>63</v>
      </c>
      <c r="C64">
        <v>14.586</v>
      </c>
      <c r="D64" s="3">
        <v>14.59</v>
      </c>
      <c r="E64" t="s">
        <v>63</v>
      </c>
      <c r="F64">
        <v>4563416</v>
      </c>
      <c r="G64" s="1">
        <v>2.29E-2</v>
      </c>
      <c r="H64" s="1">
        <v>3.9199999999999999E-3</v>
      </c>
    </row>
    <row r="65" spans="1:8" x14ac:dyDescent="0.25">
      <c r="A65" t="s">
        <v>1410</v>
      </c>
      <c r="B65">
        <v>64</v>
      </c>
      <c r="C65">
        <v>14.824999999999999</v>
      </c>
      <c r="D65" s="3">
        <v>14.83</v>
      </c>
      <c r="E65" t="s">
        <v>64</v>
      </c>
      <c r="F65">
        <v>1357864</v>
      </c>
      <c r="G65" s="1">
        <v>6.7999999999999996E-3</v>
      </c>
      <c r="H65" s="1">
        <v>1.17E-3</v>
      </c>
    </row>
    <row r="66" spans="1:8" x14ac:dyDescent="0.25">
      <c r="A66" t="s">
        <v>1410</v>
      </c>
      <c r="B66">
        <v>65</v>
      </c>
      <c r="C66">
        <v>15.034000000000001</v>
      </c>
      <c r="D66" s="3">
        <v>15.03</v>
      </c>
      <c r="E66" t="s">
        <v>65</v>
      </c>
      <c r="F66">
        <v>1969155</v>
      </c>
      <c r="G66" s="1">
        <v>9.9000000000000008E-3</v>
      </c>
      <c r="H66" s="1">
        <v>1.6900000000000001E-3</v>
      </c>
    </row>
    <row r="67" spans="1:8" x14ac:dyDescent="0.25">
      <c r="A67" t="s">
        <v>1410</v>
      </c>
      <c r="B67">
        <v>66</v>
      </c>
      <c r="C67">
        <v>15.273</v>
      </c>
      <c r="D67" s="3">
        <v>15.27</v>
      </c>
      <c r="E67" t="s">
        <v>66</v>
      </c>
      <c r="F67">
        <v>1673229</v>
      </c>
      <c r="G67" s="1">
        <v>8.3999999999999995E-3</v>
      </c>
      <c r="H67" s="1">
        <v>1.4400000000000001E-3</v>
      </c>
    </row>
    <row r="68" spans="1:8" x14ac:dyDescent="0.25">
      <c r="A68" t="s">
        <v>1410</v>
      </c>
      <c r="B68">
        <v>67</v>
      </c>
      <c r="C68">
        <v>15.34</v>
      </c>
      <c r="D68" s="3">
        <v>15.34</v>
      </c>
      <c r="E68" t="s">
        <v>67</v>
      </c>
      <c r="F68">
        <v>3663122</v>
      </c>
      <c r="G68" s="1">
        <v>1.83E-2</v>
      </c>
      <c r="H68" s="1">
        <v>3.14E-3</v>
      </c>
    </row>
    <row r="69" spans="1:8" x14ac:dyDescent="0.25">
      <c r="A69" t="s">
        <v>1410</v>
      </c>
      <c r="B69">
        <v>68</v>
      </c>
      <c r="C69">
        <v>15.523</v>
      </c>
      <c r="D69" s="3">
        <v>15.52</v>
      </c>
      <c r="E69" t="s">
        <v>68</v>
      </c>
      <c r="F69">
        <v>6696801</v>
      </c>
      <c r="G69" s="1">
        <v>3.3500000000000002E-2</v>
      </c>
      <c r="H69" s="1">
        <v>5.7499999999999999E-3</v>
      </c>
    </row>
    <row r="70" spans="1:8" x14ac:dyDescent="0.25">
      <c r="A70" t="s">
        <v>1410</v>
      </c>
      <c r="B70">
        <v>69</v>
      </c>
      <c r="C70">
        <v>15.641</v>
      </c>
      <c r="D70" s="3">
        <v>15.64</v>
      </c>
      <c r="E70" t="s">
        <v>69</v>
      </c>
      <c r="F70">
        <v>1163453</v>
      </c>
      <c r="G70" s="1">
        <v>5.7999999999999996E-3</v>
      </c>
      <c r="H70" s="1">
        <v>1E-3</v>
      </c>
    </row>
    <row r="71" spans="1:8" x14ac:dyDescent="0.25">
      <c r="A71" t="s">
        <v>1410</v>
      </c>
      <c r="B71">
        <v>70</v>
      </c>
      <c r="C71">
        <v>15.875999999999999</v>
      </c>
      <c r="D71" s="3">
        <v>15.88</v>
      </c>
      <c r="E71" t="s">
        <v>70</v>
      </c>
      <c r="F71">
        <v>11743405</v>
      </c>
      <c r="G71" s="1">
        <v>5.8799999999999998E-2</v>
      </c>
      <c r="H71" s="1">
        <v>1.008E-2</v>
      </c>
    </row>
    <row r="72" spans="1:8" x14ac:dyDescent="0.25">
      <c r="A72" t="s">
        <v>1410</v>
      </c>
      <c r="B72">
        <v>71</v>
      </c>
      <c r="C72">
        <v>16.347999999999999</v>
      </c>
      <c r="D72" s="3">
        <v>16.350000000000001</v>
      </c>
      <c r="E72" t="s">
        <v>71</v>
      </c>
      <c r="F72">
        <v>1565749</v>
      </c>
      <c r="G72" s="1">
        <v>7.7999999999999996E-3</v>
      </c>
      <c r="H72" s="1">
        <v>1.34E-3</v>
      </c>
    </row>
    <row r="73" spans="1:8" x14ac:dyDescent="0.25">
      <c r="A73" t="s">
        <v>1410</v>
      </c>
      <c r="B73">
        <v>72</v>
      </c>
      <c r="C73">
        <v>16.661999999999999</v>
      </c>
      <c r="D73" s="3">
        <v>16.66</v>
      </c>
      <c r="E73" t="s">
        <v>72</v>
      </c>
      <c r="F73">
        <v>3682547</v>
      </c>
      <c r="G73" s="1">
        <v>1.84E-2</v>
      </c>
      <c r="H73" s="1">
        <v>3.16E-3</v>
      </c>
    </row>
    <row r="74" spans="1:8" x14ac:dyDescent="0.25">
      <c r="A74" t="s">
        <v>1410</v>
      </c>
      <c r="B74">
        <v>73</v>
      </c>
      <c r="C74">
        <v>16.763000000000002</v>
      </c>
      <c r="D74" s="3">
        <v>16.760000000000002</v>
      </c>
      <c r="E74" t="s">
        <v>73</v>
      </c>
      <c r="F74">
        <v>1280595</v>
      </c>
      <c r="G74" s="1">
        <v>6.4000000000000003E-3</v>
      </c>
      <c r="H74" s="1">
        <v>1.1000000000000001E-3</v>
      </c>
    </row>
    <row r="75" spans="1:8" x14ac:dyDescent="0.25">
      <c r="A75" t="s">
        <v>1410</v>
      </c>
      <c r="B75">
        <v>74</v>
      </c>
      <c r="C75">
        <v>17.138999999999999</v>
      </c>
      <c r="D75" s="3">
        <v>17.14</v>
      </c>
      <c r="E75" t="s">
        <v>74</v>
      </c>
      <c r="F75">
        <v>154599816</v>
      </c>
      <c r="G75" s="1">
        <v>0.7742</v>
      </c>
      <c r="H75" s="1">
        <v>0.13266</v>
      </c>
    </row>
    <row r="76" spans="1:8" x14ac:dyDescent="0.25">
      <c r="A76" t="s">
        <v>1410</v>
      </c>
      <c r="B76">
        <v>75</v>
      </c>
      <c r="C76">
        <v>17.280999999999999</v>
      </c>
      <c r="D76" s="3">
        <v>17.28</v>
      </c>
      <c r="E76" t="s">
        <v>75</v>
      </c>
      <c r="F76">
        <v>1055313</v>
      </c>
      <c r="G76" s="1">
        <v>5.3E-3</v>
      </c>
      <c r="H76" s="1">
        <v>9.1E-4</v>
      </c>
    </row>
    <row r="77" spans="1:8" x14ac:dyDescent="0.25">
      <c r="A77" t="s">
        <v>1410</v>
      </c>
      <c r="B77">
        <v>76</v>
      </c>
      <c r="C77">
        <v>17.363</v>
      </c>
      <c r="D77" s="3">
        <v>17.36</v>
      </c>
      <c r="E77" t="s">
        <v>76</v>
      </c>
      <c r="F77">
        <v>1744793</v>
      </c>
      <c r="G77" s="1">
        <v>8.6999999999999994E-3</v>
      </c>
      <c r="H77" s="1">
        <v>1.5E-3</v>
      </c>
    </row>
    <row r="78" spans="1:8" x14ac:dyDescent="0.25">
      <c r="A78" t="s">
        <v>1410</v>
      </c>
      <c r="B78">
        <v>77</v>
      </c>
      <c r="C78">
        <v>17.456</v>
      </c>
      <c r="D78" s="3">
        <v>17.46</v>
      </c>
      <c r="E78" t="s">
        <v>77</v>
      </c>
      <c r="F78">
        <v>14378002</v>
      </c>
      <c r="G78" s="1">
        <v>7.1999999999999995E-2</v>
      </c>
      <c r="H78" s="1">
        <v>1.234E-2</v>
      </c>
    </row>
    <row r="79" spans="1:8" x14ac:dyDescent="0.25">
      <c r="A79" t="s">
        <v>1410</v>
      </c>
      <c r="B79">
        <v>78</v>
      </c>
      <c r="C79">
        <v>17.542000000000002</v>
      </c>
      <c r="D79" s="3">
        <v>17.54</v>
      </c>
      <c r="E79" t="s">
        <v>78</v>
      </c>
      <c r="F79">
        <v>2292853</v>
      </c>
      <c r="G79" s="1">
        <v>1.15E-2</v>
      </c>
      <c r="H79" s="1">
        <v>1.97E-3</v>
      </c>
    </row>
    <row r="80" spans="1:8" x14ac:dyDescent="0.25">
      <c r="A80" t="s">
        <v>1410</v>
      </c>
      <c r="B80">
        <v>79</v>
      </c>
      <c r="C80">
        <v>17.725999999999999</v>
      </c>
      <c r="D80" s="3">
        <v>17.73</v>
      </c>
      <c r="E80" t="s">
        <v>79</v>
      </c>
      <c r="F80">
        <v>3740265</v>
      </c>
      <c r="G80" s="1">
        <v>1.8700000000000001E-2</v>
      </c>
      <c r="H80" s="1">
        <v>3.2100000000000002E-3</v>
      </c>
    </row>
    <row r="81" spans="1:8" x14ac:dyDescent="0.25">
      <c r="A81" t="s">
        <v>1410</v>
      </c>
      <c r="B81">
        <v>80</v>
      </c>
      <c r="C81">
        <v>17.806999999999999</v>
      </c>
      <c r="D81" s="3">
        <v>17.809999999999999</v>
      </c>
      <c r="E81" t="s">
        <v>80</v>
      </c>
      <c r="F81">
        <v>2748416</v>
      </c>
      <c r="G81" s="1">
        <v>1.38E-2</v>
      </c>
      <c r="H81" s="1">
        <v>2.3600000000000001E-3</v>
      </c>
    </row>
    <row r="82" spans="1:8" x14ac:dyDescent="0.25">
      <c r="A82" t="s">
        <v>1410</v>
      </c>
      <c r="B82">
        <v>81</v>
      </c>
      <c r="C82">
        <v>17.919</v>
      </c>
      <c r="D82" s="3">
        <v>17.920000000000002</v>
      </c>
      <c r="E82" t="s">
        <v>81</v>
      </c>
      <c r="F82">
        <v>1290126</v>
      </c>
      <c r="G82" s="1">
        <v>6.4999999999999997E-3</v>
      </c>
      <c r="H82" s="1">
        <v>1.1100000000000001E-3</v>
      </c>
    </row>
    <row r="83" spans="1:8" x14ac:dyDescent="0.25">
      <c r="A83" t="s">
        <v>1410</v>
      </c>
      <c r="B83">
        <v>82</v>
      </c>
      <c r="C83">
        <v>18.053000000000001</v>
      </c>
      <c r="D83" s="3">
        <v>18.05</v>
      </c>
      <c r="E83" t="s">
        <v>82</v>
      </c>
      <c r="F83">
        <v>5638893</v>
      </c>
      <c r="G83" s="1">
        <v>2.8199999999999999E-2</v>
      </c>
      <c r="H83" s="1">
        <v>4.8399999999999997E-3</v>
      </c>
    </row>
    <row r="84" spans="1:8" x14ac:dyDescent="0.25">
      <c r="A84" t="s">
        <v>1410</v>
      </c>
      <c r="B84">
        <v>83</v>
      </c>
      <c r="C84">
        <v>18.305</v>
      </c>
      <c r="D84" s="3">
        <v>18.309999999999999</v>
      </c>
      <c r="E84" t="s">
        <v>83</v>
      </c>
      <c r="F84">
        <v>2476864</v>
      </c>
      <c r="G84" s="1">
        <v>1.24E-2</v>
      </c>
      <c r="H84" s="1">
        <v>2.1299999999999999E-3</v>
      </c>
    </row>
    <row r="85" spans="1:8" x14ac:dyDescent="0.25">
      <c r="A85" t="s">
        <v>1410</v>
      </c>
      <c r="B85">
        <v>84</v>
      </c>
      <c r="C85">
        <v>18.452000000000002</v>
      </c>
      <c r="D85" s="3">
        <v>18.45</v>
      </c>
      <c r="E85" t="s">
        <v>84</v>
      </c>
      <c r="F85">
        <v>1506214</v>
      </c>
      <c r="G85" s="1">
        <v>7.4999999999999997E-3</v>
      </c>
      <c r="H85" s="1">
        <v>1.2899999999999999E-3</v>
      </c>
    </row>
    <row r="86" spans="1:8" x14ac:dyDescent="0.25">
      <c r="A86" t="s">
        <v>1410</v>
      </c>
      <c r="B86">
        <v>85</v>
      </c>
      <c r="C86">
        <v>18.736000000000001</v>
      </c>
      <c r="D86" s="3">
        <v>18.739999999999998</v>
      </c>
      <c r="E86" t="s">
        <v>85</v>
      </c>
      <c r="F86">
        <v>3211310</v>
      </c>
      <c r="G86" s="1">
        <v>1.61E-2</v>
      </c>
      <c r="H86" s="1">
        <v>2.7599999999999999E-3</v>
      </c>
    </row>
    <row r="87" spans="1:8" x14ac:dyDescent="0.25">
      <c r="A87" t="s">
        <v>1410</v>
      </c>
      <c r="B87">
        <v>86</v>
      </c>
      <c r="C87">
        <v>18.843</v>
      </c>
      <c r="D87" s="3">
        <v>18.84</v>
      </c>
      <c r="E87" t="s">
        <v>86</v>
      </c>
      <c r="F87">
        <v>5317156</v>
      </c>
      <c r="G87" s="1">
        <v>2.6599999999999999E-2</v>
      </c>
      <c r="H87" s="1">
        <v>4.5599999999999998E-3</v>
      </c>
    </row>
    <row r="88" spans="1:8" x14ac:dyDescent="0.25">
      <c r="A88" t="s">
        <v>1410</v>
      </c>
      <c r="B88">
        <v>87</v>
      </c>
      <c r="C88">
        <v>19.634</v>
      </c>
      <c r="D88" s="3">
        <v>19.63</v>
      </c>
      <c r="E88" t="s">
        <v>87</v>
      </c>
      <c r="F88">
        <v>1369291</v>
      </c>
      <c r="G88" s="1">
        <v>6.8999999999999999E-3</v>
      </c>
      <c r="H88" s="1">
        <v>1.17E-3</v>
      </c>
    </row>
    <row r="89" spans="1:8" x14ac:dyDescent="0.25">
      <c r="A89" t="s">
        <v>1410</v>
      </c>
      <c r="B89">
        <v>88</v>
      </c>
      <c r="C89">
        <v>20.222999999999999</v>
      </c>
      <c r="D89" s="3">
        <v>20.22</v>
      </c>
      <c r="E89" t="s">
        <v>88</v>
      </c>
      <c r="F89">
        <v>3534593</v>
      </c>
      <c r="G89" s="1">
        <v>1.77E-2</v>
      </c>
      <c r="H89" s="1">
        <v>3.0300000000000001E-3</v>
      </c>
    </row>
    <row r="90" spans="1:8" x14ac:dyDescent="0.25">
      <c r="A90" t="s">
        <v>1410</v>
      </c>
      <c r="B90">
        <v>89</v>
      </c>
      <c r="C90">
        <v>20.963000000000001</v>
      </c>
      <c r="D90" s="3">
        <v>20.96</v>
      </c>
      <c r="E90" t="s">
        <v>89</v>
      </c>
      <c r="F90">
        <v>1588893</v>
      </c>
      <c r="G90" s="1">
        <v>8.0000000000000002E-3</v>
      </c>
      <c r="H90" s="1">
        <v>1.3600000000000001E-3</v>
      </c>
    </row>
    <row r="91" spans="1:8" x14ac:dyDescent="0.25">
      <c r="A91" t="s">
        <v>1410</v>
      </c>
      <c r="B91">
        <v>90</v>
      </c>
      <c r="C91">
        <v>21.399000000000001</v>
      </c>
      <c r="D91" s="3">
        <v>21.4</v>
      </c>
      <c r="E91" t="s">
        <v>90</v>
      </c>
      <c r="F91">
        <v>1548206</v>
      </c>
      <c r="G91" s="1">
        <v>7.7999999999999996E-3</v>
      </c>
      <c r="H91" s="1">
        <v>1.33E-3</v>
      </c>
    </row>
    <row r="92" spans="1:8" x14ac:dyDescent="0.25">
      <c r="A92" t="s">
        <v>1410</v>
      </c>
      <c r="B92">
        <v>91</v>
      </c>
      <c r="C92">
        <v>22.51</v>
      </c>
      <c r="D92" s="3">
        <v>22.51</v>
      </c>
      <c r="E92" t="s">
        <v>91</v>
      </c>
      <c r="F92">
        <v>1200170</v>
      </c>
      <c r="G92" s="1">
        <v>6.0000000000000001E-3</v>
      </c>
      <c r="H92" s="1">
        <v>1.0300000000000001E-3</v>
      </c>
    </row>
    <row r="93" spans="1:8" x14ac:dyDescent="0.25">
      <c r="A93" t="s">
        <v>1410</v>
      </c>
      <c r="B93">
        <v>92</v>
      </c>
      <c r="C93">
        <v>22.73</v>
      </c>
      <c r="D93" s="3">
        <v>22.73</v>
      </c>
      <c r="E93" t="s">
        <v>92</v>
      </c>
      <c r="F93">
        <v>1276657</v>
      </c>
      <c r="G93" s="1">
        <v>6.4000000000000003E-3</v>
      </c>
      <c r="H93" s="1">
        <v>1.1000000000000001E-3</v>
      </c>
    </row>
    <row r="94" spans="1:8" x14ac:dyDescent="0.25">
      <c r="A94" t="s">
        <v>1410</v>
      </c>
      <c r="B94">
        <v>93</v>
      </c>
      <c r="C94">
        <v>23.007999999999999</v>
      </c>
      <c r="D94" s="3">
        <v>23.01</v>
      </c>
      <c r="E94" t="s">
        <v>93</v>
      </c>
      <c r="F94">
        <v>1103169</v>
      </c>
      <c r="G94" s="1">
        <v>5.4999999999999997E-3</v>
      </c>
      <c r="H94" s="1">
        <v>9.5E-4</v>
      </c>
    </row>
    <row r="95" spans="1:8" x14ac:dyDescent="0.25">
      <c r="A95" t="s">
        <v>1410</v>
      </c>
      <c r="B95">
        <v>94</v>
      </c>
      <c r="C95">
        <v>23.475999999999999</v>
      </c>
      <c r="D95" s="3">
        <v>23.48</v>
      </c>
      <c r="E95" t="s">
        <v>94</v>
      </c>
      <c r="F95">
        <v>2686515</v>
      </c>
      <c r="G95" s="1">
        <v>1.35E-2</v>
      </c>
      <c r="H95" s="1">
        <v>2.31E-3</v>
      </c>
    </row>
    <row r="96" spans="1:8" x14ac:dyDescent="0.25">
      <c r="A96" t="s">
        <v>1410</v>
      </c>
      <c r="B96">
        <v>95</v>
      </c>
      <c r="C96">
        <v>23.667000000000002</v>
      </c>
      <c r="D96" s="3">
        <v>23.67</v>
      </c>
      <c r="E96" t="s">
        <v>95</v>
      </c>
      <c r="F96">
        <v>1541910</v>
      </c>
      <c r="G96" s="1">
        <v>7.7000000000000002E-3</v>
      </c>
      <c r="H96" s="1">
        <v>1.32E-3</v>
      </c>
    </row>
    <row r="97" spans="1:8" x14ac:dyDescent="0.25">
      <c r="A97" t="s">
        <v>1410</v>
      </c>
      <c r="B97">
        <v>96</v>
      </c>
      <c r="C97">
        <v>23.927</v>
      </c>
      <c r="D97" s="3">
        <v>23.93</v>
      </c>
      <c r="E97" t="s">
        <v>96</v>
      </c>
      <c r="F97">
        <v>1088138</v>
      </c>
      <c r="G97" s="1">
        <v>5.4000000000000003E-3</v>
      </c>
      <c r="H97" s="1">
        <v>9.3000000000000005E-4</v>
      </c>
    </row>
    <row r="98" spans="1:8" x14ac:dyDescent="0.25">
      <c r="A98" t="s">
        <v>1410</v>
      </c>
      <c r="B98">
        <v>97</v>
      </c>
      <c r="C98">
        <v>24.039000000000001</v>
      </c>
      <c r="D98" s="3">
        <v>24.04</v>
      </c>
      <c r="E98" t="s">
        <v>97</v>
      </c>
      <c r="F98">
        <v>3199936</v>
      </c>
      <c r="G98" s="1">
        <v>1.6E-2</v>
      </c>
      <c r="H98" s="1">
        <v>2.7499999999999998E-3</v>
      </c>
    </row>
    <row r="99" spans="1:8" x14ac:dyDescent="0.25">
      <c r="A99" t="s">
        <v>1410</v>
      </c>
      <c r="B99">
        <v>98</v>
      </c>
      <c r="C99">
        <v>24.263999999999999</v>
      </c>
      <c r="D99" s="3">
        <v>24.26</v>
      </c>
      <c r="E99" t="s">
        <v>98</v>
      </c>
      <c r="F99">
        <v>2070361</v>
      </c>
      <c r="G99" s="1">
        <v>1.04E-2</v>
      </c>
      <c r="H99" s="1">
        <v>1.7799999999999999E-3</v>
      </c>
    </row>
    <row r="100" spans="1:8" x14ac:dyDescent="0.25">
      <c r="A100" t="s">
        <v>1410</v>
      </c>
      <c r="B100">
        <v>99</v>
      </c>
      <c r="C100">
        <v>25.916</v>
      </c>
      <c r="D100" s="3">
        <v>25.92</v>
      </c>
      <c r="E100" t="s">
        <v>99</v>
      </c>
      <c r="F100">
        <v>1489713</v>
      </c>
      <c r="G100" s="1">
        <v>7.4999999999999997E-3</v>
      </c>
      <c r="H100" s="1">
        <v>1.2800000000000001E-3</v>
      </c>
    </row>
    <row r="101" spans="1:8" x14ac:dyDescent="0.25">
      <c r="A101" t="s">
        <v>1410</v>
      </c>
      <c r="B101">
        <v>100</v>
      </c>
      <c r="C101">
        <v>27.43</v>
      </c>
      <c r="D101" s="3">
        <v>27.43</v>
      </c>
      <c r="E101" t="s">
        <v>100</v>
      </c>
      <c r="F101">
        <v>1012709</v>
      </c>
      <c r="G101" s="1">
        <v>5.1000000000000004E-3</v>
      </c>
      <c r="H101" s="1">
        <v>8.7000000000000001E-4</v>
      </c>
    </row>
    <row r="102" spans="1:8" x14ac:dyDescent="0.25">
      <c r="A102" t="s">
        <v>1410</v>
      </c>
      <c r="B102">
        <v>101</v>
      </c>
      <c r="C102">
        <v>27.507000000000001</v>
      </c>
      <c r="D102" s="3">
        <v>27.51</v>
      </c>
      <c r="E102" t="s">
        <v>101</v>
      </c>
      <c r="F102">
        <v>2134971</v>
      </c>
      <c r="G102" s="1">
        <v>1.0699999999999999E-2</v>
      </c>
      <c r="H102" s="1">
        <v>1.83E-3</v>
      </c>
    </row>
    <row r="103" spans="1:8" x14ac:dyDescent="0.25">
      <c r="A103" t="s">
        <v>1410</v>
      </c>
      <c r="B103">
        <v>102</v>
      </c>
      <c r="C103">
        <v>28.481999999999999</v>
      </c>
      <c r="D103" s="3">
        <v>28.48</v>
      </c>
      <c r="E103">
        <v>6284148</v>
      </c>
      <c r="F103">
        <v>80147608</v>
      </c>
      <c r="G103" s="1">
        <v>0.40129999999999999</v>
      </c>
      <c r="H103" s="1">
        <v>6.8769999999999998E-2</v>
      </c>
    </row>
    <row r="104" spans="1:8" x14ac:dyDescent="0.25">
      <c r="A104" t="s">
        <v>1410</v>
      </c>
      <c r="B104">
        <v>103</v>
      </c>
      <c r="C104">
        <v>28.594000000000001</v>
      </c>
      <c r="D104" s="3">
        <v>28.59</v>
      </c>
      <c r="E104" t="s">
        <v>102</v>
      </c>
      <c r="F104">
        <v>3036868</v>
      </c>
      <c r="G104" s="1">
        <v>1.52E-2</v>
      </c>
      <c r="H104" s="1">
        <v>2.6099999999999999E-3</v>
      </c>
    </row>
    <row r="105" spans="1:8" x14ac:dyDescent="0.25">
      <c r="A105" t="s">
        <v>1410</v>
      </c>
      <c r="B105">
        <v>104</v>
      </c>
      <c r="C105">
        <v>28.638000000000002</v>
      </c>
      <c r="D105" s="3">
        <v>28.64</v>
      </c>
      <c r="E105" t="s">
        <v>103</v>
      </c>
      <c r="F105">
        <v>2686343</v>
      </c>
      <c r="G105" s="1">
        <v>1.35E-2</v>
      </c>
      <c r="H105" s="1">
        <v>2.31E-3</v>
      </c>
    </row>
    <row r="106" spans="1:8" x14ac:dyDescent="0.25">
      <c r="A106" t="s">
        <v>1410</v>
      </c>
      <c r="B106">
        <v>105</v>
      </c>
      <c r="C106">
        <v>28.734000000000002</v>
      </c>
      <c r="D106" s="3">
        <v>28.73</v>
      </c>
      <c r="E106" t="s">
        <v>104</v>
      </c>
      <c r="F106">
        <v>6769438</v>
      </c>
      <c r="G106" s="1">
        <v>3.39E-2</v>
      </c>
      <c r="H106" s="1">
        <v>5.8100000000000001E-3</v>
      </c>
    </row>
    <row r="107" spans="1:8" x14ac:dyDescent="0.25">
      <c r="A107" t="s">
        <v>1410</v>
      </c>
      <c r="B107">
        <v>106</v>
      </c>
      <c r="C107">
        <v>28.891999999999999</v>
      </c>
      <c r="D107" s="3">
        <v>28.89</v>
      </c>
      <c r="E107">
        <v>2062798</v>
      </c>
      <c r="F107">
        <v>24638196</v>
      </c>
      <c r="G107" s="1">
        <v>0.1234</v>
      </c>
      <c r="H107" s="1">
        <v>2.1139999999999999E-2</v>
      </c>
    </row>
    <row r="108" spans="1:8" x14ac:dyDescent="0.25">
      <c r="A108" t="s">
        <v>1410</v>
      </c>
      <c r="B108">
        <v>107</v>
      </c>
      <c r="C108">
        <v>29.052</v>
      </c>
      <c r="D108" s="3">
        <v>29.05</v>
      </c>
      <c r="E108">
        <v>17292201</v>
      </c>
      <c r="F108">
        <v>199698610</v>
      </c>
      <c r="G108" s="1">
        <v>1</v>
      </c>
      <c r="H108" s="1">
        <v>0.17135</v>
      </c>
    </row>
    <row r="109" spans="1:8" x14ac:dyDescent="0.25">
      <c r="A109" t="s">
        <v>1410</v>
      </c>
      <c r="B109">
        <v>108</v>
      </c>
      <c r="C109">
        <v>29.190999999999999</v>
      </c>
      <c r="D109" s="3">
        <v>29.19</v>
      </c>
      <c r="E109" t="s">
        <v>105</v>
      </c>
      <c r="F109">
        <v>1442002</v>
      </c>
      <c r="G109" s="1">
        <v>7.1999999999999998E-3</v>
      </c>
      <c r="H109" s="1">
        <v>1.24E-3</v>
      </c>
    </row>
    <row r="110" spans="1:8" x14ac:dyDescent="0.25">
      <c r="A110" t="s">
        <v>1410</v>
      </c>
      <c r="B110">
        <v>109</v>
      </c>
      <c r="C110">
        <v>29.23</v>
      </c>
      <c r="D110" s="3">
        <v>29.23</v>
      </c>
      <c r="E110" t="s">
        <v>106</v>
      </c>
      <c r="F110">
        <v>2909876</v>
      </c>
      <c r="G110" s="1">
        <v>1.46E-2</v>
      </c>
      <c r="H110" s="1">
        <v>2.5000000000000001E-3</v>
      </c>
    </row>
    <row r="111" spans="1:8" x14ac:dyDescent="0.25">
      <c r="A111" t="s">
        <v>1410</v>
      </c>
      <c r="B111">
        <v>110</v>
      </c>
      <c r="C111">
        <v>29.282</v>
      </c>
      <c r="D111" s="3">
        <v>29.28</v>
      </c>
      <c r="E111" t="s">
        <v>107</v>
      </c>
      <c r="F111">
        <v>1715073</v>
      </c>
      <c r="G111" s="1">
        <v>8.6E-3</v>
      </c>
      <c r="H111" s="1">
        <v>1.47E-3</v>
      </c>
    </row>
    <row r="112" spans="1:8" x14ac:dyDescent="0.25">
      <c r="A112" t="s">
        <v>1410</v>
      </c>
      <c r="B112">
        <v>111</v>
      </c>
      <c r="C112">
        <v>29.434000000000001</v>
      </c>
      <c r="D112" s="3">
        <v>29.43</v>
      </c>
      <c r="E112" t="s">
        <v>108</v>
      </c>
      <c r="F112">
        <v>1926219</v>
      </c>
      <c r="G112" s="1">
        <v>9.5999999999999992E-3</v>
      </c>
      <c r="H112" s="1">
        <v>1.65E-3</v>
      </c>
    </row>
    <row r="113" spans="1:8" x14ac:dyDescent="0.25">
      <c r="A113" t="s">
        <v>1410</v>
      </c>
      <c r="B113">
        <v>112</v>
      </c>
      <c r="C113">
        <v>29.463999999999999</v>
      </c>
      <c r="D113" s="3">
        <v>29.46</v>
      </c>
      <c r="E113" t="s">
        <v>109</v>
      </c>
      <c r="F113">
        <v>2625380</v>
      </c>
      <c r="G113" s="1">
        <v>1.3100000000000001E-2</v>
      </c>
      <c r="H113" s="1">
        <v>2.2499999999999998E-3</v>
      </c>
    </row>
    <row r="114" spans="1:8" x14ac:dyDescent="0.25">
      <c r="A114" t="s">
        <v>1410</v>
      </c>
      <c r="B114">
        <v>113</v>
      </c>
      <c r="C114">
        <v>29.538</v>
      </c>
      <c r="D114" s="3">
        <v>29.54</v>
      </c>
      <c r="E114" t="s">
        <v>110</v>
      </c>
      <c r="F114">
        <v>2144661</v>
      </c>
      <c r="G114" s="1">
        <v>1.0699999999999999E-2</v>
      </c>
      <c r="H114" s="1">
        <v>1.8400000000000001E-3</v>
      </c>
    </row>
    <row r="115" spans="1:8" x14ac:dyDescent="0.25">
      <c r="A115" t="s">
        <v>1410</v>
      </c>
      <c r="B115">
        <v>114</v>
      </c>
      <c r="C115">
        <v>29.62</v>
      </c>
      <c r="D115" s="3">
        <v>29.62</v>
      </c>
      <c r="E115" t="s">
        <v>111</v>
      </c>
      <c r="F115">
        <v>1177895</v>
      </c>
      <c r="G115" s="1">
        <v>5.8999999999999999E-3</v>
      </c>
      <c r="H115" s="1">
        <v>1.01E-3</v>
      </c>
    </row>
    <row r="116" spans="1:8" x14ac:dyDescent="0.25">
      <c r="A116" t="s">
        <v>1410</v>
      </c>
      <c r="B116">
        <v>115</v>
      </c>
      <c r="C116">
        <v>29.664999999999999</v>
      </c>
      <c r="D116" s="3">
        <v>29.67</v>
      </c>
      <c r="E116" t="s">
        <v>112</v>
      </c>
      <c r="F116">
        <v>1302473</v>
      </c>
      <c r="G116" s="1">
        <v>6.4999999999999997E-3</v>
      </c>
      <c r="H116" s="1">
        <v>1.1199999999999999E-3</v>
      </c>
    </row>
    <row r="117" spans="1:8" x14ac:dyDescent="0.25">
      <c r="A117" t="s">
        <v>1410</v>
      </c>
      <c r="B117">
        <v>116</v>
      </c>
      <c r="C117">
        <v>29.74</v>
      </c>
      <c r="D117" s="3">
        <v>29.74</v>
      </c>
      <c r="E117">
        <v>3274352</v>
      </c>
      <c r="F117">
        <v>37313207</v>
      </c>
      <c r="G117" s="1">
        <v>0.18679999999999999</v>
      </c>
      <c r="H117" s="1">
        <v>3.202E-2</v>
      </c>
    </row>
    <row r="118" spans="1:8" x14ac:dyDescent="0.25">
      <c r="A118" t="s">
        <v>1410</v>
      </c>
      <c r="B118">
        <v>117</v>
      </c>
      <c r="C118">
        <v>29.837</v>
      </c>
      <c r="D118" s="3">
        <v>29.84</v>
      </c>
      <c r="E118" t="s">
        <v>113</v>
      </c>
      <c r="F118">
        <v>2166912</v>
      </c>
      <c r="G118" s="1">
        <v>1.09E-2</v>
      </c>
      <c r="H118" s="1">
        <v>1.8600000000000001E-3</v>
      </c>
    </row>
    <row r="119" spans="1:8" x14ac:dyDescent="0.25">
      <c r="A119" t="s">
        <v>1410</v>
      </c>
      <c r="B119">
        <v>118</v>
      </c>
      <c r="C119">
        <v>29.885999999999999</v>
      </c>
      <c r="D119" s="3">
        <v>29.89</v>
      </c>
      <c r="E119" t="s">
        <v>114</v>
      </c>
      <c r="F119">
        <v>3946685</v>
      </c>
      <c r="G119" s="1">
        <v>1.9800000000000002E-2</v>
      </c>
      <c r="H119" s="1">
        <v>3.3899999999999998E-3</v>
      </c>
    </row>
    <row r="120" spans="1:8" x14ac:dyDescent="0.25">
      <c r="A120" t="s">
        <v>1410</v>
      </c>
      <c r="B120">
        <v>119</v>
      </c>
      <c r="C120">
        <v>30.013000000000002</v>
      </c>
      <c r="D120" s="3">
        <v>30.01</v>
      </c>
      <c r="E120">
        <v>146710</v>
      </c>
      <c r="F120">
        <v>3062458</v>
      </c>
      <c r="G120" s="1">
        <v>1.5299999999999999E-2</v>
      </c>
      <c r="H120" s="1">
        <v>2.63E-3</v>
      </c>
    </row>
    <row r="121" spans="1:8" x14ac:dyDescent="0.25">
      <c r="A121" t="s">
        <v>1410</v>
      </c>
      <c r="B121">
        <v>120</v>
      </c>
      <c r="C121">
        <v>30.106999999999999</v>
      </c>
      <c r="D121" s="3">
        <v>30.11</v>
      </c>
      <c r="E121" t="s">
        <v>115</v>
      </c>
      <c r="F121">
        <v>1074060</v>
      </c>
      <c r="G121" s="1">
        <v>5.4000000000000003E-3</v>
      </c>
      <c r="H121" s="1">
        <v>9.2000000000000003E-4</v>
      </c>
    </row>
    <row r="122" spans="1:8" x14ac:dyDescent="0.25">
      <c r="A122" t="s">
        <v>1410</v>
      </c>
      <c r="B122">
        <v>121</v>
      </c>
      <c r="C122">
        <v>30.175000000000001</v>
      </c>
      <c r="D122" s="3">
        <v>30.18</v>
      </c>
      <c r="E122" t="s">
        <v>116</v>
      </c>
      <c r="F122">
        <v>1745419</v>
      </c>
      <c r="G122" s="1">
        <v>8.6999999999999994E-3</v>
      </c>
      <c r="H122" s="1">
        <v>1.5E-3</v>
      </c>
    </row>
    <row r="123" spans="1:8" x14ac:dyDescent="0.25">
      <c r="A123" t="s">
        <v>1410</v>
      </c>
      <c r="B123">
        <v>122</v>
      </c>
      <c r="C123">
        <v>30.253</v>
      </c>
      <c r="D123" s="3">
        <v>30.25</v>
      </c>
      <c r="E123" t="s">
        <v>117</v>
      </c>
      <c r="F123">
        <v>2391237</v>
      </c>
      <c r="G123" s="1">
        <v>1.2E-2</v>
      </c>
      <c r="H123" s="1">
        <v>2.0500000000000002E-3</v>
      </c>
    </row>
    <row r="124" spans="1:8" x14ac:dyDescent="0.25">
      <c r="A124" t="s">
        <v>1410</v>
      </c>
      <c r="B124">
        <v>123</v>
      </c>
      <c r="C124">
        <v>30.817</v>
      </c>
      <c r="D124" s="3">
        <v>30.82</v>
      </c>
      <c r="E124" t="s">
        <v>118</v>
      </c>
      <c r="F124">
        <v>1302388</v>
      </c>
      <c r="G124" s="1">
        <v>6.4999999999999997E-3</v>
      </c>
      <c r="H124" s="1">
        <v>1.1199999999999999E-3</v>
      </c>
    </row>
    <row r="125" spans="1:8" x14ac:dyDescent="0.25">
      <c r="A125" t="s">
        <v>1410</v>
      </c>
      <c r="B125">
        <v>124</v>
      </c>
      <c r="C125">
        <v>30.963000000000001</v>
      </c>
      <c r="D125" s="3">
        <v>30.96</v>
      </c>
      <c r="E125" t="s">
        <v>119</v>
      </c>
      <c r="F125">
        <v>1555408</v>
      </c>
      <c r="G125" s="1">
        <v>7.7999999999999996E-3</v>
      </c>
      <c r="H125" s="1">
        <v>1.33E-3</v>
      </c>
    </row>
    <row r="126" spans="1:8" x14ac:dyDescent="0.25">
      <c r="A126" t="s">
        <v>1410</v>
      </c>
      <c r="B126">
        <v>125</v>
      </c>
      <c r="C126">
        <v>31.012</v>
      </c>
      <c r="D126" s="3">
        <v>31.01</v>
      </c>
      <c r="E126" t="s">
        <v>120</v>
      </c>
      <c r="F126">
        <v>1204711</v>
      </c>
      <c r="G126" s="1">
        <v>6.0000000000000001E-3</v>
      </c>
      <c r="H126" s="1">
        <v>1.0300000000000001E-3</v>
      </c>
    </row>
    <row r="127" spans="1:8" x14ac:dyDescent="0.25">
      <c r="A127" t="s">
        <v>1410</v>
      </c>
      <c r="B127">
        <v>126</v>
      </c>
      <c r="C127">
        <v>31.292000000000002</v>
      </c>
      <c r="D127" s="3">
        <v>31.29</v>
      </c>
      <c r="E127" t="s">
        <v>121</v>
      </c>
      <c r="F127">
        <v>1156102</v>
      </c>
      <c r="G127" s="1">
        <v>5.7999999999999996E-3</v>
      </c>
      <c r="H127" s="1">
        <v>9.8999999999999999E-4</v>
      </c>
    </row>
    <row r="128" spans="1:8" x14ac:dyDescent="0.25">
      <c r="A128" t="s">
        <v>1410</v>
      </c>
      <c r="B128">
        <v>127</v>
      </c>
      <c r="C128">
        <v>31.69</v>
      </c>
      <c r="D128" s="3">
        <v>31.69</v>
      </c>
      <c r="E128" t="s">
        <v>122</v>
      </c>
      <c r="F128">
        <v>10002620</v>
      </c>
      <c r="G128" s="1">
        <v>5.0099999999999999E-2</v>
      </c>
      <c r="H128" s="1">
        <v>8.5800000000000008E-3</v>
      </c>
    </row>
    <row r="129" spans="1:8" x14ac:dyDescent="0.25">
      <c r="A129" t="s">
        <v>1410</v>
      </c>
      <c r="B129">
        <v>128</v>
      </c>
      <c r="C129">
        <v>31.782</v>
      </c>
      <c r="D129" s="3">
        <v>31.78</v>
      </c>
      <c r="E129" t="s">
        <v>123</v>
      </c>
      <c r="F129">
        <v>5644201</v>
      </c>
      <c r="G129" s="1">
        <v>2.8299999999999999E-2</v>
      </c>
      <c r="H129" s="1">
        <v>4.8399999999999997E-3</v>
      </c>
    </row>
    <row r="130" spans="1:8" x14ac:dyDescent="0.25">
      <c r="A130" t="s">
        <v>1410</v>
      </c>
      <c r="B130">
        <v>129</v>
      </c>
      <c r="C130">
        <v>31.986000000000001</v>
      </c>
      <c r="D130" s="3">
        <v>31.99</v>
      </c>
      <c r="E130">
        <v>722913</v>
      </c>
      <c r="F130">
        <v>14560703</v>
      </c>
      <c r="G130" s="1">
        <v>7.2900000000000006E-2</v>
      </c>
      <c r="H130" s="1">
        <v>1.2489999999999999E-2</v>
      </c>
    </row>
    <row r="131" spans="1:8" x14ac:dyDescent="0.25">
      <c r="A131" t="s">
        <v>1410</v>
      </c>
      <c r="B131">
        <v>130</v>
      </c>
      <c r="C131">
        <v>32.234999999999999</v>
      </c>
      <c r="D131" s="3">
        <v>32.24</v>
      </c>
      <c r="E131">
        <v>81228</v>
      </c>
      <c r="F131">
        <v>4587587</v>
      </c>
      <c r="G131" s="1">
        <v>2.3E-2</v>
      </c>
      <c r="H131" s="1">
        <v>3.9399999999999999E-3</v>
      </c>
    </row>
    <row r="132" spans="1:8" x14ac:dyDescent="0.25">
      <c r="A132" t="s">
        <v>1410</v>
      </c>
      <c r="B132">
        <v>131</v>
      </c>
      <c r="C132">
        <v>32.36</v>
      </c>
      <c r="D132" s="3">
        <v>32.36</v>
      </c>
      <c r="E132" t="s">
        <v>124</v>
      </c>
      <c r="F132">
        <v>1116317</v>
      </c>
      <c r="G132" s="1">
        <v>5.5999999999999999E-3</v>
      </c>
      <c r="H132" s="1">
        <v>9.6000000000000002E-4</v>
      </c>
    </row>
    <row r="133" spans="1:8" x14ac:dyDescent="0.25">
      <c r="A133" t="s">
        <v>1410</v>
      </c>
      <c r="B133">
        <v>132</v>
      </c>
      <c r="C133">
        <v>32.726999999999997</v>
      </c>
      <c r="D133" s="3">
        <v>32.729999999999997</v>
      </c>
      <c r="E133" t="s">
        <v>125</v>
      </c>
      <c r="F133">
        <v>7887047</v>
      </c>
      <c r="G133" s="1">
        <v>3.95E-2</v>
      </c>
      <c r="H133" s="1">
        <v>6.77E-3</v>
      </c>
    </row>
    <row r="134" spans="1:8" x14ac:dyDescent="0.25">
      <c r="A134" t="s">
        <v>1410</v>
      </c>
      <c r="B134">
        <v>133</v>
      </c>
      <c r="C134">
        <v>33.097000000000001</v>
      </c>
      <c r="D134" s="3">
        <v>33.1</v>
      </c>
      <c r="E134">
        <v>2904227</v>
      </c>
      <c r="F134">
        <v>65045589</v>
      </c>
      <c r="G134" s="1">
        <v>0.32569999999999999</v>
      </c>
      <c r="H134" s="1">
        <v>5.5809999999999998E-2</v>
      </c>
    </row>
    <row r="135" spans="1:8" x14ac:dyDescent="0.25">
      <c r="A135" t="s">
        <v>1411</v>
      </c>
      <c r="B135">
        <v>1</v>
      </c>
      <c r="C135">
        <v>4.8940000000000001</v>
      </c>
      <c r="D135" s="3">
        <v>4.8899999999999997</v>
      </c>
      <c r="E135" t="s">
        <v>126</v>
      </c>
      <c r="F135">
        <v>11689784</v>
      </c>
      <c r="G135" s="1">
        <v>8.0500000000000002E-2</v>
      </c>
      <c r="H135" s="1">
        <v>1.6310000000000002E-2</v>
      </c>
    </row>
    <row r="136" spans="1:8" x14ac:dyDescent="0.25">
      <c r="A136" t="s">
        <v>1411</v>
      </c>
      <c r="B136">
        <v>2</v>
      </c>
      <c r="C136">
        <v>5.1890000000000001</v>
      </c>
      <c r="D136" s="3">
        <v>5.19</v>
      </c>
      <c r="E136" t="s">
        <v>127</v>
      </c>
      <c r="F136">
        <v>19574533</v>
      </c>
      <c r="G136" s="1">
        <v>0.1348</v>
      </c>
      <c r="H136" s="1">
        <v>2.7310000000000001E-2</v>
      </c>
    </row>
    <row r="137" spans="1:8" x14ac:dyDescent="0.25">
      <c r="A137" t="s">
        <v>1411</v>
      </c>
      <c r="B137">
        <v>3</v>
      </c>
      <c r="C137">
        <v>5.2919999999999998</v>
      </c>
      <c r="D137" s="3">
        <v>5.29</v>
      </c>
      <c r="E137" t="s">
        <v>128</v>
      </c>
      <c r="F137">
        <v>2566726</v>
      </c>
      <c r="G137" s="1">
        <v>1.77E-2</v>
      </c>
      <c r="H137" s="1">
        <v>3.5799999999999998E-3</v>
      </c>
    </row>
    <row r="138" spans="1:8" x14ac:dyDescent="0.25">
      <c r="A138" t="s">
        <v>1411</v>
      </c>
      <c r="B138">
        <v>4</v>
      </c>
      <c r="C138">
        <v>5.3529999999999998</v>
      </c>
      <c r="D138" s="3">
        <v>5.35</v>
      </c>
      <c r="E138" t="s">
        <v>129</v>
      </c>
      <c r="F138">
        <v>3684548</v>
      </c>
      <c r="G138" s="1">
        <v>2.5399999999999999E-2</v>
      </c>
      <c r="H138" s="1">
        <v>5.1399999999999996E-3</v>
      </c>
    </row>
    <row r="139" spans="1:8" x14ac:dyDescent="0.25">
      <c r="A139" t="s">
        <v>1411</v>
      </c>
      <c r="B139">
        <v>5</v>
      </c>
      <c r="C139">
        <v>5.524</v>
      </c>
      <c r="D139" s="3">
        <v>5.52</v>
      </c>
      <c r="E139" t="s">
        <v>130</v>
      </c>
      <c r="F139">
        <v>1515949</v>
      </c>
      <c r="G139" s="1">
        <v>1.04E-2</v>
      </c>
      <c r="H139" s="1">
        <v>2.1199999999999999E-3</v>
      </c>
    </row>
    <row r="140" spans="1:8" x14ac:dyDescent="0.25">
      <c r="A140" t="s">
        <v>1411</v>
      </c>
      <c r="B140">
        <v>6</v>
      </c>
      <c r="C140">
        <v>5.6660000000000004</v>
      </c>
      <c r="D140" s="3">
        <v>5.67</v>
      </c>
      <c r="E140" t="s">
        <v>131</v>
      </c>
      <c r="F140">
        <v>1258202</v>
      </c>
      <c r="G140" s="1">
        <v>8.6999999999999994E-3</v>
      </c>
      <c r="H140" s="1">
        <v>1.7600000000000001E-3</v>
      </c>
    </row>
    <row r="141" spans="1:8" x14ac:dyDescent="0.25">
      <c r="A141" t="s">
        <v>1411</v>
      </c>
      <c r="B141">
        <v>7</v>
      </c>
      <c r="C141">
        <v>6.1130000000000004</v>
      </c>
      <c r="D141" s="3">
        <v>6.11</v>
      </c>
      <c r="E141" t="s">
        <v>132</v>
      </c>
      <c r="F141">
        <v>1481391</v>
      </c>
      <c r="G141" s="1">
        <v>1.0200000000000001E-2</v>
      </c>
      <c r="H141" s="1">
        <v>2.0699999999999998E-3</v>
      </c>
    </row>
    <row r="142" spans="1:8" x14ac:dyDescent="0.25">
      <c r="A142" t="s">
        <v>1411</v>
      </c>
      <c r="B142">
        <v>8</v>
      </c>
      <c r="C142">
        <v>6.4909999999999997</v>
      </c>
      <c r="D142" s="3">
        <v>6.49</v>
      </c>
      <c r="E142" t="s">
        <v>133</v>
      </c>
      <c r="F142">
        <v>8332358</v>
      </c>
      <c r="G142" s="1">
        <v>5.74E-2</v>
      </c>
      <c r="H142" s="1">
        <v>1.163E-2</v>
      </c>
    </row>
    <row r="143" spans="1:8" x14ac:dyDescent="0.25">
      <c r="A143" t="s">
        <v>1411</v>
      </c>
      <c r="B143">
        <v>9</v>
      </c>
      <c r="C143">
        <v>7.3529999999999998</v>
      </c>
      <c r="D143" s="3">
        <v>7.35</v>
      </c>
      <c r="E143" t="s">
        <v>134</v>
      </c>
      <c r="F143">
        <v>1209977</v>
      </c>
      <c r="G143" s="1">
        <v>8.3000000000000001E-3</v>
      </c>
      <c r="H143" s="1">
        <v>1.6900000000000001E-3</v>
      </c>
    </row>
    <row r="144" spans="1:8" x14ac:dyDescent="0.25">
      <c r="A144" t="s">
        <v>1411</v>
      </c>
      <c r="B144">
        <v>10</v>
      </c>
      <c r="C144">
        <v>8.2149999999999999</v>
      </c>
      <c r="D144" s="3">
        <v>8.2200000000000006</v>
      </c>
      <c r="E144" t="s">
        <v>135</v>
      </c>
      <c r="F144">
        <v>1064185</v>
      </c>
      <c r="G144" s="1">
        <v>7.3000000000000001E-3</v>
      </c>
      <c r="H144" s="1">
        <v>1.48E-3</v>
      </c>
    </row>
    <row r="145" spans="1:8" x14ac:dyDescent="0.25">
      <c r="A145" t="s">
        <v>1411</v>
      </c>
      <c r="B145">
        <v>11</v>
      </c>
      <c r="C145">
        <v>8.2680000000000007</v>
      </c>
      <c r="D145" s="3">
        <v>8.27</v>
      </c>
      <c r="E145" t="s">
        <v>136</v>
      </c>
      <c r="F145">
        <v>4021382</v>
      </c>
      <c r="G145" s="1">
        <v>2.7699999999999999E-2</v>
      </c>
      <c r="H145" s="1">
        <v>5.6100000000000004E-3</v>
      </c>
    </row>
    <row r="146" spans="1:8" x14ac:dyDescent="0.25">
      <c r="A146" t="s">
        <v>1411</v>
      </c>
      <c r="B146">
        <v>12</v>
      </c>
      <c r="C146">
        <v>8.641</v>
      </c>
      <c r="D146" s="3">
        <v>8.64</v>
      </c>
      <c r="E146" t="s">
        <v>137</v>
      </c>
      <c r="F146">
        <v>2099313</v>
      </c>
      <c r="G146" s="1">
        <v>1.4500000000000001E-2</v>
      </c>
      <c r="H146" s="1">
        <v>2.9299999999999999E-3</v>
      </c>
    </row>
    <row r="147" spans="1:8" x14ac:dyDescent="0.25">
      <c r="A147" t="s">
        <v>1411</v>
      </c>
      <c r="B147">
        <v>13</v>
      </c>
      <c r="C147">
        <v>8.9139999999999997</v>
      </c>
      <c r="D147" s="3">
        <v>8.91</v>
      </c>
      <c r="E147" t="s">
        <v>138</v>
      </c>
      <c r="F147">
        <v>1098814</v>
      </c>
      <c r="G147" s="1">
        <v>7.6E-3</v>
      </c>
      <c r="H147" s="1">
        <v>1.5299999999999999E-3</v>
      </c>
    </row>
    <row r="148" spans="1:8" x14ac:dyDescent="0.25">
      <c r="A148" t="s">
        <v>1411</v>
      </c>
      <c r="B148">
        <v>14</v>
      </c>
      <c r="C148">
        <v>9.1920000000000002</v>
      </c>
      <c r="D148" s="3">
        <v>9.19</v>
      </c>
      <c r="E148" t="s">
        <v>139</v>
      </c>
      <c r="F148">
        <v>1115348</v>
      </c>
      <c r="G148" s="1">
        <v>7.7000000000000002E-3</v>
      </c>
      <c r="H148" s="1">
        <v>1.56E-3</v>
      </c>
    </row>
    <row r="149" spans="1:8" x14ac:dyDescent="0.25">
      <c r="A149" t="s">
        <v>1411</v>
      </c>
      <c r="B149">
        <v>15</v>
      </c>
      <c r="C149">
        <v>9.2539999999999996</v>
      </c>
      <c r="D149" s="3">
        <v>9.25</v>
      </c>
      <c r="E149" t="s">
        <v>140</v>
      </c>
      <c r="F149">
        <v>7299107</v>
      </c>
      <c r="G149" s="1">
        <v>5.0299999999999997E-2</v>
      </c>
      <c r="H149" s="1">
        <v>1.018E-2</v>
      </c>
    </row>
    <row r="150" spans="1:8" x14ac:dyDescent="0.25">
      <c r="A150" t="s">
        <v>1411</v>
      </c>
      <c r="B150">
        <v>16</v>
      </c>
      <c r="C150">
        <v>9.6539999999999999</v>
      </c>
      <c r="D150" s="3">
        <v>9.65</v>
      </c>
      <c r="E150" t="s">
        <v>141</v>
      </c>
      <c r="F150">
        <v>27606870</v>
      </c>
      <c r="G150" s="1">
        <v>0.19009999999999999</v>
      </c>
      <c r="H150" s="1">
        <v>3.8519999999999999E-2</v>
      </c>
    </row>
    <row r="151" spans="1:8" x14ac:dyDescent="0.25">
      <c r="A151" t="s">
        <v>1411</v>
      </c>
      <c r="B151">
        <v>17</v>
      </c>
      <c r="C151">
        <v>9.82</v>
      </c>
      <c r="D151" s="3">
        <v>9.82</v>
      </c>
      <c r="E151">
        <v>1611641</v>
      </c>
      <c r="F151">
        <v>50850409</v>
      </c>
      <c r="G151" s="1">
        <v>0.35010000000000002</v>
      </c>
      <c r="H151" s="1">
        <v>7.0949999999999999E-2</v>
      </c>
    </row>
    <row r="152" spans="1:8" x14ac:dyDescent="0.25">
      <c r="A152" t="s">
        <v>1411</v>
      </c>
      <c r="B152">
        <v>18</v>
      </c>
      <c r="C152">
        <v>10.401</v>
      </c>
      <c r="D152" s="3">
        <v>10.4</v>
      </c>
      <c r="E152" t="s">
        <v>142</v>
      </c>
      <c r="F152">
        <v>2114866</v>
      </c>
      <c r="G152" s="1">
        <v>1.46E-2</v>
      </c>
      <c r="H152" s="1">
        <v>2.9499999999999999E-3</v>
      </c>
    </row>
    <row r="153" spans="1:8" x14ac:dyDescent="0.25">
      <c r="A153" t="s">
        <v>1411</v>
      </c>
      <c r="B153">
        <v>19</v>
      </c>
      <c r="C153">
        <v>11.106999999999999</v>
      </c>
      <c r="D153" s="3">
        <v>11.11</v>
      </c>
      <c r="E153" t="s">
        <v>143</v>
      </c>
      <c r="F153">
        <v>1047275</v>
      </c>
      <c r="G153" s="1">
        <v>7.1999999999999998E-3</v>
      </c>
      <c r="H153" s="1">
        <v>1.4599999999999999E-3</v>
      </c>
    </row>
    <row r="154" spans="1:8" x14ac:dyDescent="0.25">
      <c r="A154" t="s">
        <v>1411</v>
      </c>
      <c r="B154">
        <v>20</v>
      </c>
      <c r="C154">
        <v>11.221</v>
      </c>
      <c r="D154" s="3">
        <v>11.22</v>
      </c>
      <c r="E154" t="s">
        <v>144</v>
      </c>
      <c r="F154">
        <v>2114795</v>
      </c>
      <c r="G154" s="1">
        <v>1.46E-2</v>
      </c>
      <c r="H154" s="1">
        <v>2.9499999999999999E-3</v>
      </c>
    </row>
    <row r="155" spans="1:8" x14ac:dyDescent="0.25">
      <c r="A155" t="s">
        <v>1411</v>
      </c>
      <c r="B155">
        <v>21</v>
      </c>
      <c r="C155">
        <v>12.548</v>
      </c>
      <c r="D155" s="3">
        <v>12.55</v>
      </c>
      <c r="E155" t="s">
        <v>145</v>
      </c>
      <c r="F155">
        <v>2798116</v>
      </c>
      <c r="G155" s="1">
        <v>1.9300000000000001E-2</v>
      </c>
      <c r="H155" s="1">
        <v>3.8999999999999998E-3</v>
      </c>
    </row>
    <row r="156" spans="1:8" x14ac:dyDescent="0.25">
      <c r="A156" t="s">
        <v>1411</v>
      </c>
      <c r="B156">
        <v>22</v>
      </c>
      <c r="C156">
        <v>12.712999999999999</v>
      </c>
      <c r="D156" s="3">
        <v>12.71</v>
      </c>
      <c r="E156" t="s">
        <v>146</v>
      </c>
      <c r="F156">
        <v>1581438</v>
      </c>
      <c r="G156" s="1">
        <v>1.09E-2</v>
      </c>
      <c r="H156" s="1">
        <v>2.2100000000000002E-3</v>
      </c>
    </row>
    <row r="157" spans="1:8" x14ac:dyDescent="0.25">
      <c r="A157" t="s">
        <v>1411</v>
      </c>
      <c r="B157">
        <v>23</v>
      </c>
      <c r="C157">
        <v>12.843999999999999</v>
      </c>
      <c r="D157" s="3">
        <v>12.84</v>
      </c>
      <c r="E157" t="s">
        <v>147</v>
      </c>
      <c r="F157">
        <v>50196305</v>
      </c>
      <c r="G157" s="1">
        <v>0.34560000000000002</v>
      </c>
      <c r="H157" s="1">
        <v>7.0029999999999995E-2</v>
      </c>
    </row>
    <row r="158" spans="1:8" x14ac:dyDescent="0.25">
      <c r="A158" t="s">
        <v>1411</v>
      </c>
      <c r="B158">
        <v>24</v>
      </c>
      <c r="C158">
        <v>13.226000000000001</v>
      </c>
      <c r="D158" s="3">
        <v>13.23</v>
      </c>
      <c r="E158" t="s">
        <v>148</v>
      </c>
      <c r="F158">
        <v>10039301</v>
      </c>
      <c r="G158" s="1">
        <v>6.9099999999999995E-2</v>
      </c>
      <c r="H158" s="1">
        <v>1.401E-2</v>
      </c>
    </row>
    <row r="159" spans="1:8" x14ac:dyDescent="0.25">
      <c r="A159" t="s">
        <v>1411</v>
      </c>
      <c r="B159">
        <v>25</v>
      </c>
      <c r="C159">
        <v>13.563000000000001</v>
      </c>
      <c r="D159" s="3">
        <v>13.56</v>
      </c>
      <c r="E159" t="s">
        <v>149</v>
      </c>
      <c r="F159">
        <v>1291803</v>
      </c>
      <c r="G159" s="1">
        <v>8.8999999999999999E-3</v>
      </c>
      <c r="H159" s="1">
        <v>1.8E-3</v>
      </c>
    </row>
    <row r="160" spans="1:8" x14ac:dyDescent="0.25">
      <c r="A160" t="s">
        <v>1411</v>
      </c>
      <c r="B160">
        <v>26</v>
      </c>
      <c r="C160">
        <v>13.617000000000001</v>
      </c>
      <c r="D160" s="3">
        <v>13.62</v>
      </c>
      <c r="E160" t="s">
        <v>150</v>
      </c>
      <c r="F160">
        <v>1450253</v>
      </c>
      <c r="G160" s="1">
        <v>0.01</v>
      </c>
      <c r="H160" s="1">
        <v>2.0200000000000001E-3</v>
      </c>
    </row>
    <row r="161" spans="1:8" x14ac:dyDescent="0.25">
      <c r="A161" t="s">
        <v>1411</v>
      </c>
      <c r="B161">
        <v>27</v>
      </c>
      <c r="C161">
        <v>14.52</v>
      </c>
      <c r="D161" s="3">
        <v>14.52</v>
      </c>
      <c r="E161" t="s">
        <v>151</v>
      </c>
      <c r="F161">
        <v>3701125</v>
      </c>
      <c r="G161" s="1">
        <v>2.5499999999999998E-2</v>
      </c>
      <c r="H161" s="1">
        <v>5.1599999999999997E-3</v>
      </c>
    </row>
    <row r="162" spans="1:8" x14ac:dyDescent="0.25">
      <c r="A162" t="s">
        <v>1411</v>
      </c>
      <c r="B162">
        <v>28</v>
      </c>
      <c r="C162">
        <v>14.593999999999999</v>
      </c>
      <c r="D162" s="3">
        <v>14.59</v>
      </c>
      <c r="E162" t="s">
        <v>152</v>
      </c>
      <c r="F162">
        <v>1749381</v>
      </c>
      <c r="G162" s="1">
        <v>1.2E-2</v>
      </c>
      <c r="H162" s="1">
        <v>2.4399999999999999E-3</v>
      </c>
    </row>
    <row r="163" spans="1:8" x14ac:dyDescent="0.25">
      <c r="A163" t="s">
        <v>1411</v>
      </c>
      <c r="B163">
        <v>29</v>
      </c>
      <c r="C163">
        <v>15.342000000000001</v>
      </c>
      <c r="D163" s="3">
        <v>15.34</v>
      </c>
      <c r="E163" t="s">
        <v>153</v>
      </c>
      <c r="F163">
        <v>4472816</v>
      </c>
      <c r="G163" s="1">
        <v>3.0800000000000001E-2</v>
      </c>
      <c r="H163" s="1">
        <v>6.2399999999999999E-3</v>
      </c>
    </row>
    <row r="164" spans="1:8" x14ac:dyDescent="0.25">
      <c r="A164" t="s">
        <v>1411</v>
      </c>
      <c r="B164">
        <v>30</v>
      </c>
      <c r="C164">
        <v>15.414999999999999</v>
      </c>
      <c r="D164" s="3">
        <v>15.42</v>
      </c>
      <c r="E164" t="s">
        <v>154</v>
      </c>
      <c r="F164">
        <v>1365799</v>
      </c>
      <c r="G164" s="1">
        <v>9.4000000000000004E-3</v>
      </c>
      <c r="H164" s="1">
        <v>1.91E-3</v>
      </c>
    </row>
    <row r="165" spans="1:8" x14ac:dyDescent="0.25">
      <c r="A165" t="s">
        <v>1411</v>
      </c>
      <c r="B165">
        <v>31</v>
      </c>
      <c r="C165">
        <v>15.525</v>
      </c>
      <c r="D165" s="3">
        <v>15.53</v>
      </c>
      <c r="E165" t="s">
        <v>155</v>
      </c>
      <c r="F165">
        <v>3474030</v>
      </c>
      <c r="G165" s="1">
        <v>2.3900000000000001E-2</v>
      </c>
      <c r="H165" s="1">
        <v>4.8500000000000001E-3</v>
      </c>
    </row>
    <row r="166" spans="1:8" x14ac:dyDescent="0.25">
      <c r="A166" t="s">
        <v>1411</v>
      </c>
      <c r="B166">
        <v>32</v>
      </c>
      <c r="C166">
        <v>15.567</v>
      </c>
      <c r="D166" s="3">
        <v>15.57</v>
      </c>
      <c r="E166" t="s">
        <v>156</v>
      </c>
      <c r="F166">
        <v>2209025</v>
      </c>
      <c r="G166" s="1">
        <v>1.52E-2</v>
      </c>
      <c r="H166" s="1">
        <v>3.0799999999999998E-3</v>
      </c>
    </row>
    <row r="167" spans="1:8" x14ac:dyDescent="0.25">
      <c r="A167" t="s">
        <v>1411</v>
      </c>
      <c r="B167">
        <v>33</v>
      </c>
      <c r="C167">
        <v>15.711</v>
      </c>
      <c r="D167" s="3">
        <v>15.71</v>
      </c>
      <c r="E167" t="s">
        <v>157</v>
      </c>
      <c r="F167">
        <v>1013511</v>
      </c>
      <c r="G167" s="1">
        <v>7.0000000000000001E-3</v>
      </c>
      <c r="H167" s="1">
        <v>1.41E-3</v>
      </c>
    </row>
    <row r="168" spans="1:8" x14ac:dyDescent="0.25">
      <c r="A168" t="s">
        <v>1411</v>
      </c>
      <c r="B168">
        <v>34</v>
      </c>
      <c r="C168">
        <v>15.875999999999999</v>
      </c>
      <c r="D168" s="3">
        <v>15.88</v>
      </c>
      <c r="E168" t="s">
        <v>158</v>
      </c>
      <c r="F168">
        <v>8708004</v>
      </c>
      <c r="G168" s="1">
        <v>0.06</v>
      </c>
      <c r="H168" s="1">
        <v>1.2149999999999999E-2</v>
      </c>
    </row>
    <row r="169" spans="1:8" x14ac:dyDescent="0.25">
      <c r="A169" t="s">
        <v>1411</v>
      </c>
      <c r="B169">
        <v>35</v>
      </c>
      <c r="C169">
        <v>16.664000000000001</v>
      </c>
      <c r="D169" s="3">
        <v>16.66</v>
      </c>
      <c r="E169" t="s">
        <v>159</v>
      </c>
      <c r="F169">
        <v>5624773</v>
      </c>
      <c r="G169" s="1">
        <v>3.8699999999999998E-2</v>
      </c>
      <c r="H169" s="1">
        <v>7.8499999999999993E-3</v>
      </c>
    </row>
    <row r="170" spans="1:8" x14ac:dyDescent="0.25">
      <c r="A170" t="s">
        <v>1411</v>
      </c>
      <c r="B170">
        <v>36</v>
      </c>
      <c r="C170">
        <v>16.763999999999999</v>
      </c>
      <c r="D170" s="3">
        <v>16.760000000000002</v>
      </c>
      <c r="E170" t="s">
        <v>160</v>
      </c>
      <c r="F170">
        <v>5396693</v>
      </c>
      <c r="G170" s="1">
        <v>3.7199999999999997E-2</v>
      </c>
      <c r="H170" s="1">
        <v>7.5300000000000002E-3</v>
      </c>
    </row>
    <row r="171" spans="1:8" x14ac:dyDescent="0.25">
      <c r="A171" t="s">
        <v>1411</v>
      </c>
      <c r="B171">
        <v>37</v>
      </c>
      <c r="C171">
        <v>17.087</v>
      </c>
      <c r="D171" s="3">
        <v>17.09</v>
      </c>
      <c r="E171" t="s">
        <v>161</v>
      </c>
      <c r="F171">
        <v>105022285</v>
      </c>
      <c r="G171" s="1">
        <v>0.72309999999999997</v>
      </c>
      <c r="H171" s="1">
        <v>0.14652999999999999</v>
      </c>
    </row>
    <row r="172" spans="1:8" x14ac:dyDescent="0.25">
      <c r="A172" t="s">
        <v>1411</v>
      </c>
      <c r="B172">
        <v>38</v>
      </c>
      <c r="C172">
        <v>17.454000000000001</v>
      </c>
      <c r="D172" s="3">
        <v>17.45</v>
      </c>
      <c r="E172" t="s">
        <v>162</v>
      </c>
      <c r="F172">
        <v>21033370</v>
      </c>
      <c r="G172" s="1">
        <v>0.14480000000000001</v>
      </c>
      <c r="H172" s="1">
        <v>2.9350000000000001E-2</v>
      </c>
    </row>
    <row r="173" spans="1:8" x14ac:dyDescent="0.25">
      <c r="A173" t="s">
        <v>1411</v>
      </c>
      <c r="B173">
        <v>39</v>
      </c>
      <c r="C173">
        <v>17.707999999999998</v>
      </c>
      <c r="D173" s="3">
        <v>17.71</v>
      </c>
      <c r="E173" t="s">
        <v>163</v>
      </c>
      <c r="F173">
        <v>1737139</v>
      </c>
      <c r="G173" s="1">
        <v>1.2E-2</v>
      </c>
      <c r="H173" s="1">
        <v>2.4199999999999998E-3</v>
      </c>
    </row>
    <row r="174" spans="1:8" x14ac:dyDescent="0.25">
      <c r="A174" t="s">
        <v>1411</v>
      </c>
      <c r="B174">
        <v>40</v>
      </c>
      <c r="C174">
        <v>17.803999999999998</v>
      </c>
      <c r="D174" s="3">
        <v>17.8</v>
      </c>
      <c r="E174" t="s">
        <v>164</v>
      </c>
      <c r="F174">
        <v>1923604</v>
      </c>
      <c r="G174" s="1">
        <v>1.32E-2</v>
      </c>
      <c r="H174" s="1">
        <v>2.6800000000000001E-3</v>
      </c>
    </row>
    <row r="175" spans="1:8" x14ac:dyDescent="0.25">
      <c r="A175" t="s">
        <v>1411</v>
      </c>
      <c r="B175">
        <v>41</v>
      </c>
      <c r="C175">
        <v>17.922000000000001</v>
      </c>
      <c r="D175" s="3">
        <v>17.920000000000002</v>
      </c>
      <c r="E175" t="s">
        <v>165</v>
      </c>
      <c r="F175">
        <v>1094583</v>
      </c>
      <c r="G175" s="1">
        <v>7.4999999999999997E-3</v>
      </c>
      <c r="H175" s="1">
        <v>1.5299999999999999E-3</v>
      </c>
    </row>
    <row r="176" spans="1:8" x14ac:dyDescent="0.25">
      <c r="A176" t="s">
        <v>1411</v>
      </c>
      <c r="B176">
        <v>42</v>
      </c>
      <c r="C176">
        <v>18.012</v>
      </c>
      <c r="D176" s="3">
        <v>18.010000000000002</v>
      </c>
      <c r="E176" t="s">
        <v>166</v>
      </c>
      <c r="F176">
        <v>1131700</v>
      </c>
      <c r="G176" s="1">
        <v>7.7999999999999996E-3</v>
      </c>
      <c r="H176" s="1">
        <v>1.58E-3</v>
      </c>
    </row>
    <row r="177" spans="1:8" x14ac:dyDescent="0.25">
      <c r="A177" t="s">
        <v>1411</v>
      </c>
      <c r="B177">
        <v>43</v>
      </c>
      <c r="C177">
        <v>18.044</v>
      </c>
      <c r="D177" s="3">
        <v>18.04</v>
      </c>
      <c r="E177" t="s">
        <v>167</v>
      </c>
      <c r="F177">
        <v>1661490</v>
      </c>
      <c r="G177" s="1">
        <v>1.14E-2</v>
      </c>
      <c r="H177" s="1">
        <v>2.32E-3</v>
      </c>
    </row>
    <row r="178" spans="1:8" x14ac:dyDescent="0.25">
      <c r="A178" t="s">
        <v>1411</v>
      </c>
      <c r="B178">
        <v>44</v>
      </c>
      <c r="C178">
        <v>18.305</v>
      </c>
      <c r="D178" s="3">
        <v>18.309999999999999</v>
      </c>
      <c r="E178" t="s">
        <v>168</v>
      </c>
      <c r="F178">
        <v>2702807</v>
      </c>
      <c r="G178" s="1">
        <v>1.8599999999999998E-2</v>
      </c>
      <c r="H178" s="1">
        <v>3.7699999999999999E-3</v>
      </c>
    </row>
    <row r="179" spans="1:8" x14ac:dyDescent="0.25">
      <c r="A179" t="s">
        <v>1411</v>
      </c>
      <c r="B179">
        <v>45</v>
      </c>
      <c r="C179">
        <v>18.439</v>
      </c>
      <c r="D179" s="3">
        <v>18.440000000000001</v>
      </c>
      <c r="E179" t="s">
        <v>169</v>
      </c>
      <c r="F179">
        <v>1091391</v>
      </c>
      <c r="G179" s="1">
        <v>7.4999999999999997E-3</v>
      </c>
      <c r="H179" s="1">
        <v>1.5200000000000001E-3</v>
      </c>
    </row>
    <row r="180" spans="1:8" x14ac:dyDescent="0.25">
      <c r="A180" t="s">
        <v>1411</v>
      </c>
      <c r="B180">
        <v>46</v>
      </c>
      <c r="C180">
        <v>18.53</v>
      </c>
      <c r="D180" s="3">
        <v>18.53</v>
      </c>
      <c r="E180" t="s">
        <v>170</v>
      </c>
      <c r="F180">
        <v>1022831</v>
      </c>
      <c r="G180" s="1">
        <v>7.0000000000000001E-3</v>
      </c>
      <c r="H180" s="1">
        <v>1.4300000000000001E-3</v>
      </c>
    </row>
    <row r="181" spans="1:8" x14ac:dyDescent="0.25">
      <c r="A181" t="s">
        <v>1411</v>
      </c>
      <c r="B181">
        <v>47</v>
      </c>
      <c r="C181">
        <v>18.734000000000002</v>
      </c>
      <c r="D181" s="3">
        <v>18.73</v>
      </c>
      <c r="E181" t="s">
        <v>171</v>
      </c>
      <c r="F181">
        <v>3356154</v>
      </c>
      <c r="G181" s="1">
        <v>2.3099999999999999E-2</v>
      </c>
      <c r="H181" s="1">
        <v>4.6800000000000001E-3</v>
      </c>
    </row>
    <row r="182" spans="1:8" x14ac:dyDescent="0.25">
      <c r="A182" t="s">
        <v>1411</v>
      </c>
      <c r="B182">
        <v>48</v>
      </c>
      <c r="C182">
        <v>18.841999999999999</v>
      </c>
      <c r="D182" s="3">
        <v>18.84</v>
      </c>
      <c r="E182" t="s">
        <v>172</v>
      </c>
      <c r="F182">
        <v>5142710</v>
      </c>
      <c r="G182" s="1">
        <v>3.5400000000000001E-2</v>
      </c>
      <c r="H182" s="1">
        <v>7.1799999999999998E-3</v>
      </c>
    </row>
    <row r="183" spans="1:8" x14ac:dyDescent="0.25">
      <c r="A183" t="s">
        <v>1411</v>
      </c>
      <c r="B183">
        <v>49</v>
      </c>
      <c r="C183">
        <v>19.209</v>
      </c>
      <c r="D183" s="3">
        <v>19.21</v>
      </c>
      <c r="E183" t="s">
        <v>173</v>
      </c>
      <c r="F183">
        <v>1525879</v>
      </c>
      <c r="G183" s="1">
        <v>1.0500000000000001E-2</v>
      </c>
      <c r="H183" s="1">
        <v>2.1299999999999999E-3</v>
      </c>
    </row>
    <row r="184" spans="1:8" x14ac:dyDescent="0.25">
      <c r="A184" t="s">
        <v>1411</v>
      </c>
      <c r="B184">
        <v>50</v>
      </c>
      <c r="C184">
        <v>20.222999999999999</v>
      </c>
      <c r="D184" s="3">
        <v>20.22</v>
      </c>
      <c r="E184" t="s">
        <v>174</v>
      </c>
      <c r="F184">
        <v>4719482</v>
      </c>
      <c r="G184" s="1">
        <v>3.2500000000000001E-2</v>
      </c>
      <c r="H184" s="1">
        <v>6.5799999999999999E-3</v>
      </c>
    </row>
    <row r="185" spans="1:8" x14ac:dyDescent="0.25">
      <c r="A185" t="s">
        <v>1411</v>
      </c>
      <c r="B185">
        <v>51</v>
      </c>
      <c r="C185">
        <v>20.966000000000001</v>
      </c>
      <c r="D185" s="3">
        <v>20.97</v>
      </c>
      <c r="E185" t="s">
        <v>175</v>
      </c>
      <c r="F185">
        <v>2235392</v>
      </c>
      <c r="G185" s="1">
        <v>1.54E-2</v>
      </c>
      <c r="H185" s="1">
        <v>3.1199999999999999E-3</v>
      </c>
    </row>
    <row r="186" spans="1:8" x14ac:dyDescent="0.25">
      <c r="A186" t="s">
        <v>1411</v>
      </c>
      <c r="B186">
        <v>52</v>
      </c>
      <c r="C186">
        <v>21.402999999999999</v>
      </c>
      <c r="D186" s="3">
        <v>21.4</v>
      </c>
      <c r="E186" t="s">
        <v>176</v>
      </c>
      <c r="F186">
        <v>1664378</v>
      </c>
      <c r="G186" s="1">
        <v>1.15E-2</v>
      </c>
      <c r="H186" s="1">
        <v>2.32E-3</v>
      </c>
    </row>
    <row r="187" spans="1:8" x14ac:dyDescent="0.25">
      <c r="A187" t="s">
        <v>1411</v>
      </c>
      <c r="B187">
        <v>53</v>
      </c>
      <c r="C187">
        <v>23.475999999999999</v>
      </c>
      <c r="D187" s="3">
        <v>23.48</v>
      </c>
      <c r="E187" t="s">
        <v>177</v>
      </c>
      <c r="F187">
        <v>3925572</v>
      </c>
      <c r="G187" s="1">
        <v>2.7E-2</v>
      </c>
      <c r="H187" s="1">
        <v>5.4799999999999996E-3</v>
      </c>
    </row>
    <row r="188" spans="1:8" x14ac:dyDescent="0.25">
      <c r="A188" t="s">
        <v>1411</v>
      </c>
      <c r="B188">
        <v>54</v>
      </c>
      <c r="C188">
        <v>23.669</v>
      </c>
      <c r="D188" s="3">
        <v>23.67</v>
      </c>
      <c r="E188" t="s">
        <v>178</v>
      </c>
      <c r="F188">
        <v>1660695</v>
      </c>
      <c r="G188" s="1">
        <v>1.14E-2</v>
      </c>
      <c r="H188" s="1">
        <v>2.32E-3</v>
      </c>
    </row>
    <row r="189" spans="1:8" x14ac:dyDescent="0.25">
      <c r="A189" t="s">
        <v>1411</v>
      </c>
      <c r="B189">
        <v>55</v>
      </c>
      <c r="C189">
        <v>25.846</v>
      </c>
      <c r="D189" s="3">
        <v>25.85</v>
      </c>
      <c r="E189" t="s">
        <v>179</v>
      </c>
      <c r="F189">
        <v>1281918</v>
      </c>
      <c r="G189" s="1">
        <v>8.8000000000000005E-3</v>
      </c>
      <c r="H189" s="1">
        <v>1.7899999999999999E-3</v>
      </c>
    </row>
    <row r="190" spans="1:8" x14ac:dyDescent="0.25">
      <c r="A190" t="s">
        <v>1411</v>
      </c>
      <c r="B190">
        <v>56</v>
      </c>
      <c r="C190">
        <v>27.428000000000001</v>
      </c>
      <c r="D190" s="3">
        <v>27.43</v>
      </c>
      <c r="E190" t="s">
        <v>180</v>
      </c>
      <c r="F190">
        <v>1294721</v>
      </c>
      <c r="G190" s="1">
        <v>8.8999999999999999E-3</v>
      </c>
      <c r="H190" s="1">
        <v>1.81E-3</v>
      </c>
    </row>
    <row r="191" spans="1:8" x14ac:dyDescent="0.25">
      <c r="A191" t="s">
        <v>1411</v>
      </c>
      <c r="B191">
        <v>57</v>
      </c>
      <c r="C191">
        <v>27.504999999999999</v>
      </c>
      <c r="D191" s="3">
        <v>27.51</v>
      </c>
      <c r="E191" t="s">
        <v>181</v>
      </c>
      <c r="F191">
        <v>2649072</v>
      </c>
      <c r="G191" s="1">
        <v>1.8200000000000001E-2</v>
      </c>
      <c r="H191" s="1">
        <v>3.7000000000000002E-3</v>
      </c>
    </row>
    <row r="192" spans="1:8" x14ac:dyDescent="0.25">
      <c r="A192" t="s">
        <v>1411</v>
      </c>
      <c r="B192">
        <v>58</v>
      </c>
      <c r="C192">
        <v>27.971</v>
      </c>
      <c r="D192" s="3">
        <v>27.97</v>
      </c>
      <c r="E192" t="s">
        <v>182</v>
      </c>
      <c r="F192">
        <v>1017971</v>
      </c>
      <c r="G192" s="1">
        <v>7.0000000000000001E-3</v>
      </c>
      <c r="H192" s="1">
        <v>1.42E-3</v>
      </c>
    </row>
    <row r="193" spans="1:8" x14ac:dyDescent="0.25">
      <c r="A193" t="s">
        <v>1411</v>
      </c>
      <c r="B193">
        <v>59</v>
      </c>
      <c r="C193">
        <v>28.481999999999999</v>
      </c>
      <c r="D193" s="3">
        <v>28.48</v>
      </c>
      <c r="E193">
        <v>3817889</v>
      </c>
      <c r="F193">
        <v>52221337</v>
      </c>
      <c r="G193" s="1">
        <v>0.35959999999999998</v>
      </c>
      <c r="H193" s="1">
        <v>7.2859999999999994E-2</v>
      </c>
    </row>
    <row r="194" spans="1:8" x14ac:dyDescent="0.25">
      <c r="A194" t="s">
        <v>1411</v>
      </c>
      <c r="B194">
        <v>60</v>
      </c>
      <c r="C194">
        <v>28.594000000000001</v>
      </c>
      <c r="D194" s="3">
        <v>28.59</v>
      </c>
      <c r="E194" t="s">
        <v>183</v>
      </c>
      <c r="F194">
        <v>2654118</v>
      </c>
      <c r="G194" s="1">
        <v>1.83E-2</v>
      </c>
      <c r="H194" s="1">
        <v>3.7000000000000002E-3</v>
      </c>
    </row>
    <row r="195" spans="1:8" x14ac:dyDescent="0.25">
      <c r="A195" t="s">
        <v>1411</v>
      </c>
      <c r="B195">
        <v>61</v>
      </c>
      <c r="C195">
        <v>28.637</v>
      </c>
      <c r="D195" s="3">
        <v>28.64</v>
      </c>
      <c r="E195" t="s">
        <v>184</v>
      </c>
      <c r="F195">
        <v>1744020</v>
      </c>
      <c r="G195" s="1">
        <v>1.2E-2</v>
      </c>
      <c r="H195" s="1">
        <v>2.4299999999999999E-3</v>
      </c>
    </row>
    <row r="196" spans="1:8" x14ac:dyDescent="0.25">
      <c r="A196" t="s">
        <v>1411</v>
      </c>
      <c r="B196">
        <v>62</v>
      </c>
      <c r="C196">
        <v>28.731999999999999</v>
      </c>
      <c r="D196" s="3">
        <v>28.73</v>
      </c>
      <c r="E196" t="s">
        <v>185</v>
      </c>
      <c r="F196">
        <v>6371028</v>
      </c>
      <c r="G196" s="1">
        <v>4.3900000000000002E-2</v>
      </c>
      <c r="H196" s="1">
        <v>8.8900000000000003E-3</v>
      </c>
    </row>
    <row r="197" spans="1:8" x14ac:dyDescent="0.25">
      <c r="A197" t="s">
        <v>1411</v>
      </c>
      <c r="B197">
        <v>63</v>
      </c>
      <c r="C197">
        <v>28.890999999999998</v>
      </c>
      <c r="D197" s="3">
        <v>28.89</v>
      </c>
      <c r="E197">
        <v>1415190</v>
      </c>
      <c r="F197">
        <v>17342162</v>
      </c>
      <c r="G197" s="1">
        <v>0.11940000000000001</v>
      </c>
      <c r="H197" s="1">
        <v>2.4199999999999999E-2</v>
      </c>
    </row>
    <row r="198" spans="1:8" x14ac:dyDescent="0.25">
      <c r="A198" t="s">
        <v>1411</v>
      </c>
      <c r="B198">
        <v>64</v>
      </c>
      <c r="C198">
        <v>29.05</v>
      </c>
      <c r="D198" s="3">
        <v>29.05</v>
      </c>
      <c r="E198">
        <v>12599476</v>
      </c>
      <c r="F198">
        <v>145233841</v>
      </c>
      <c r="G198" s="1">
        <v>1</v>
      </c>
      <c r="H198" s="1">
        <v>0.20263</v>
      </c>
    </row>
    <row r="199" spans="1:8" x14ac:dyDescent="0.25">
      <c r="A199" t="s">
        <v>1411</v>
      </c>
      <c r="B199">
        <v>65</v>
      </c>
      <c r="C199">
        <v>29.231999999999999</v>
      </c>
      <c r="D199" s="3">
        <v>29.23</v>
      </c>
      <c r="E199">
        <v>75971</v>
      </c>
      <c r="F199">
        <v>3196754</v>
      </c>
      <c r="G199" s="1">
        <v>2.1999999999999999E-2</v>
      </c>
      <c r="H199" s="1">
        <v>4.4600000000000004E-3</v>
      </c>
    </row>
    <row r="200" spans="1:8" x14ac:dyDescent="0.25">
      <c r="A200" t="s">
        <v>1411</v>
      </c>
      <c r="B200">
        <v>66</v>
      </c>
      <c r="C200">
        <v>29.286999999999999</v>
      </c>
      <c r="D200" s="3">
        <v>29.29</v>
      </c>
      <c r="E200">
        <v>49327</v>
      </c>
      <c r="F200">
        <v>2530587</v>
      </c>
      <c r="G200" s="1">
        <v>1.7399999999999999E-2</v>
      </c>
      <c r="H200" s="1">
        <v>3.5300000000000002E-3</v>
      </c>
    </row>
    <row r="201" spans="1:8" x14ac:dyDescent="0.25">
      <c r="A201" t="s">
        <v>1411</v>
      </c>
      <c r="B201">
        <v>67</v>
      </c>
      <c r="C201">
        <v>29.414999999999999</v>
      </c>
      <c r="D201" s="3">
        <v>29.42</v>
      </c>
      <c r="E201">
        <v>68779</v>
      </c>
      <c r="F201">
        <v>1858092</v>
      </c>
      <c r="G201" s="1">
        <v>1.2800000000000001E-2</v>
      </c>
      <c r="H201" s="1">
        <v>2.5899999999999999E-3</v>
      </c>
    </row>
    <row r="202" spans="1:8" x14ac:dyDescent="0.25">
      <c r="A202" t="s">
        <v>1411</v>
      </c>
      <c r="B202">
        <v>68</v>
      </c>
      <c r="C202">
        <v>29.466000000000001</v>
      </c>
      <c r="D202" s="3">
        <v>29.47</v>
      </c>
      <c r="E202" t="s">
        <v>186</v>
      </c>
      <c r="F202">
        <v>2035845</v>
      </c>
      <c r="G202" s="1">
        <v>1.4E-2</v>
      </c>
      <c r="H202" s="1">
        <v>2.8400000000000001E-3</v>
      </c>
    </row>
    <row r="203" spans="1:8" x14ac:dyDescent="0.25">
      <c r="A203" t="s">
        <v>1411</v>
      </c>
      <c r="B203">
        <v>69</v>
      </c>
      <c r="C203">
        <v>29.54</v>
      </c>
      <c r="D203" s="3">
        <v>29.54</v>
      </c>
      <c r="E203" t="s">
        <v>187</v>
      </c>
      <c r="F203">
        <v>1583498</v>
      </c>
      <c r="G203" s="1">
        <v>1.09E-2</v>
      </c>
      <c r="H203" s="1">
        <v>2.2100000000000002E-3</v>
      </c>
    </row>
    <row r="204" spans="1:8" x14ac:dyDescent="0.25">
      <c r="A204" t="s">
        <v>1411</v>
      </c>
      <c r="B204">
        <v>70</v>
      </c>
      <c r="C204">
        <v>29.741</v>
      </c>
      <c r="D204" s="3">
        <v>29.74</v>
      </c>
      <c r="E204">
        <v>865322</v>
      </c>
      <c r="F204">
        <v>11278032</v>
      </c>
      <c r="G204" s="1">
        <v>7.7700000000000005E-2</v>
      </c>
      <c r="H204" s="1">
        <v>1.5740000000000001E-2</v>
      </c>
    </row>
    <row r="205" spans="1:8" x14ac:dyDescent="0.25">
      <c r="A205" t="s">
        <v>1411</v>
      </c>
      <c r="B205">
        <v>71</v>
      </c>
      <c r="C205">
        <v>29.837</v>
      </c>
      <c r="D205" s="3">
        <v>29.84</v>
      </c>
      <c r="E205" t="s">
        <v>188</v>
      </c>
      <c r="F205">
        <v>2004903</v>
      </c>
      <c r="G205" s="1">
        <v>1.38E-2</v>
      </c>
      <c r="H205" s="1">
        <v>2.8E-3</v>
      </c>
    </row>
    <row r="206" spans="1:8" x14ac:dyDescent="0.25">
      <c r="A206" t="s">
        <v>1411</v>
      </c>
      <c r="B206">
        <v>72</v>
      </c>
      <c r="C206">
        <v>29.899000000000001</v>
      </c>
      <c r="D206" s="3">
        <v>29.9</v>
      </c>
      <c r="E206" t="s">
        <v>189</v>
      </c>
      <c r="F206">
        <v>2877171</v>
      </c>
      <c r="G206" s="1">
        <v>1.9800000000000002E-2</v>
      </c>
      <c r="H206" s="1">
        <v>4.0099999999999997E-3</v>
      </c>
    </row>
    <row r="207" spans="1:8" x14ac:dyDescent="0.25">
      <c r="A207" t="s">
        <v>1411</v>
      </c>
      <c r="B207">
        <v>73</v>
      </c>
      <c r="C207">
        <v>30.013999999999999</v>
      </c>
      <c r="D207" s="3">
        <v>30.01</v>
      </c>
      <c r="E207">
        <v>63356</v>
      </c>
      <c r="F207">
        <v>1380331</v>
      </c>
      <c r="G207" s="1">
        <v>9.4999999999999998E-3</v>
      </c>
      <c r="H207" s="1">
        <v>1.9300000000000001E-3</v>
      </c>
    </row>
    <row r="208" spans="1:8" x14ac:dyDescent="0.25">
      <c r="A208" t="s">
        <v>1411</v>
      </c>
      <c r="B208">
        <v>74</v>
      </c>
      <c r="C208">
        <v>30.175000000000001</v>
      </c>
      <c r="D208" s="3">
        <v>30.18</v>
      </c>
      <c r="E208">
        <v>192444</v>
      </c>
      <c r="F208">
        <v>2028152</v>
      </c>
      <c r="G208" s="1">
        <v>1.4E-2</v>
      </c>
      <c r="H208" s="1">
        <v>2.8300000000000001E-3</v>
      </c>
    </row>
    <row r="209" spans="1:8" x14ac:dyDescent="0.25">
      <c r="A209" t="s">
        <v>1411</v>
      </c>
      <c r="B209">
        <v>75</v>
      </c>
      <c r="C209">
        <v>30.234999999999999</v>
      </c>
      <c r="D209" s="3">
        <v>30.24</v>
      </c>
      <c r="E209" t="s">
        <v>190</v>
      </c>
      <c r="F209">
        <v>1030887</v>
      </c>
      <c r="G209" s="1">
        <v>7.1000000000000004E-3</v>
      </c>
      <c r="H209" s="1">
        <v>1.4400000000000001E-3</v>
      </c>
    </row>
    <row r="210" spans="1:8" x14ac:dyDescent="0.25">
      <c r="A210" t="s">
        <v>1411</v>
      </c>
      <c r="B210">
        <v>76</v>
      </c>
      <c r="C210">
        <v>30.811</v>
      </c>
      <c r="D210" s="3">
        <v>30.81</v>
      </c>
      <c r="E210" t="s">
        <v>191</v>
      </c>
      <c r="F210">
        <v>1317280</v>
      </c>
      <c r="G210" s="1">
        <v>9.1000000000000004E-3</v>
      </c>
      <c r="H210" s="1">
        <v>1.8400000000000001E-3</v>
      </c>
    </row>
    <row r="211" spans="1:8" x14ac:dyDescent="0.25">
      <c r="A211" t="s">
        <v>1411</v>
      </c>
      <c r="B211">
        <v>77</v>
      </c>
      <c r="C211">
        <v>31.125</v>
      </c>
      <c r="D211" s="3">
        <v>31.13</v>
      </c>
      <c r="E211" t="s">
        <v>192</v>
      </c>
      <c r="F211">
        <v>1117548</v>
      </c>
      <c r="G211" s="1">
        <v>7.7000000000000002E-3</v>
      </c>
      <c r="H211" s="1">
        <v>1.56E-3</v>
      </c>
    </row>
    <row r="212" spans="1:8" x14ac:dyDescent="0.25">
      <c r="A212" t="s">
        <v>1411</v>
      </c>
      <c r="B212">
        <v>78</v>
      </c>
      <c r="C212">
        <v>31.361000000000001</v>
      </c>
      <c r="D212" s="3">
        <v>31.36</v>
      </c>
      <c r="E212" t="s">
        <v>193</v>
      </c>
      <c r="F212">
        <v>1447665</v>
      </c>
      <c r="G212" s="1">
        <v>0.01</v>
      </c>
      <c r="H212" s="1">
        <v>2.0200000000000001E-3</v>
      </c>
    </row>
    <row r="213" spans="1:8" x14ac:dyDescent="0.25">
      <c r="A213" t="s">
        <v>1411</v>
      </c>
      <c r="B213">
        <v>79</v>
      </c>
      <c r="C213">
        <v>31.988</v>
      </c>
      <c r="D213" s="3">
        <v>31.99</v>
      </c>
      <c r="E213">
        <v>356719</v>
      </c>
      <c r="F213">
        <v>7854176</v>
      </c>
      <c r="G213" s="1">
        <v>5.4100000000000002E-2</v>
      </c>
      <c r="H213" s="1">
        <v>1.0959999999999999E-2</v>
      </c>
    </row>
    <row r="214" spans="1:8" x14ac:dyDescent="0.25">
      <c r="A214" t="s">
        <v>1411</v>
      </c>
      <c r="B214">
        <v>80</v>
      </c>
      <c r="C214">
        <v>32.735999999999997</v>
      </c>
      <c r="D214" s="3">
        <v>32.74</v>
      </c>
      <c r="E214" t="s">
        <v>194</v>
      </c>
      <c r="F214">
        <v>2414713</v>
      </c>
      <c r="G214" s="1">
        <v>1.66E-2</v>
      </c>
      <c r="H214" s="1">
        <v>3.3700000000000002E-3</v>
      </c>
    </row>
    <row r="215" spans="1:8" x14ac:dyDescent="0.25">
      <c r="A215" t="s">
        <v>1411</v>
      </c>
      <c r="B215">
        <v>81</v>
      </c>
      <c r="C215">
        <v>33.097999999999999</v>
      </c>
      <c r="D215" s="3">
        <v>33.1</v>
      </c>
      <c r="E215">
        <v>321803</v>
      </c>
      <c r="F215">
        <v>10461171</v>
      </c>
      <c r="G215" s="1">
        <v>7.1999999999999995E-2</v>
      </c>
      <c r="H215" s="1">
        <v>1.46E-2</v>
      </c>
    </row>
    <row r="216" spans="1:8" x14ac:dyDescent="0.25">
      <c r="A216" t="s">
        <v>1411</v>
      </c>
      <c r="B216">
        <v>82</v>
      </c>
      <c r="C216">
        <v>33.343000000000004</v>
      </c>
      <c r="D216" s="3">
        <v>33.340000000000003</v>
      </c>
      <c r="E216">
        <v>82422</v>
      </c>
      <c r="F216">
        <v>5452221</v>
      </c>
      <c r="G216" s="1">
        <v>3.7499999999999999E-2</v>
      </c>
      <c r="H216" s="1">
        <v>7.6099999999999996E-3</v>
      </c>
    </row>
    <row r="217" spans="1:8" x14ac:dyDescent="0.25">
      <c r="A217" t="s">
        <v>1411</v>
      </c>
      <c r="B217">
        <v>83</v>
      </c>
      <c r="C217">
        <v>33.484000000000002</v>
      </c>
      <c r="D217" s="3">
        <v>33.479999999999997</v>
      </c>
      <c r="E217">
        <v>34374</v>
      </c>
      <c r="F217">
        <v>1035289</v>
      </c>
      <c r="G217" s="1">
        <v>7.1000000000000004E-3</v>
      </c>
      <c r="H217" s="1">
        <v>1.4400000000000001E-3</v>
      </c>
    </row>
    <row r="218" spans="1:8" x14ac:dyDescent="0.25">
      <c r="A218" t="s">
        <v>1411</v>
      </c>
      <c r="B218">
        <v>84</v>
      </c>
      <c r="C218">
        <v>33.686999999999998</v>
      </c>
      <c r="D218" s="3">
        <v>33.69</v>
      </c>
      <c r="E218">
        <v>83743</v>
      </c>
      <c r="F218">
        <v>2551254</v>
      </c>
      <c r="G218" s="1">
        <v>1.7600000000000001E-2</v>
      </c>
      <c r="H218" s="1">
        <v>3.5599999999999998E-3</v>
      </c>
    </row>
    <row r="219" spans="1:8" x14ac:dyDescent="0.25">
      <c r="A219" t="s">
        <v>1412</v>
      </c>
      <c r="B219">
        <v>1</v>
      </c>
      <c r="C219">
        <v>4.8929999999999998</v>
      </c>
      <c r="D219" s="3">
        <v>4.8899999999999997</v>
      </c>
      <c r="E219" t="s">
        <v>195</v>
      </c>
      <c r="F219">
        <v>9890864</v>
      </c>
      <c r="G219" s="1">
        <v>7.3400000000000007E-2</v>
      </c>
      <c r="H219" s="1">
        <v>1.754E-2</v>
      </c>
    </row>
    <row r="220" spans="1:8" x14ac:dyDescent="0.25">
      <c r="A220" t="s">
        <v>1412</v>
      </c>
      <c r="B220">
        <v>2</v>
      </c>
      <c r="C220">
        <v>5.1870000000000003</v>
      </c>
      <c r="D220" s="3">
        <v>5.19</v>
      </c>
      <c r="E220" t="s">
        <v>196</v>
      </c>
      <c r="F220">
        <v>32809442</v>
      </c>
      <c r="G220" s="1">
        <v>0.24349999999999999</v>
      </c>
      <c r="H220" s="1">
        <v>5.8169999999999999E-2</v>
      </c>
    </row>
    <row r="221" spans="1:8" x14ac:dyDescent="0.25">
      <c r="A221" t="s">
        <v>1412</v>
      </c>
      <c r="B221">
        <v>3</v>
      </c>
      <c r="C221">
        <v>5.5129999999999999</v>
      </c>
      <c r="D221" s="3">
        <v>5.51</v>
      </c>
      <c r="E221" t="s">
        <v>197</v>
      </c>
      <c r="F221">
        <v>2736685</v>
      </c>
      <c r="G221" s="1">
        <v>2.0299999999999999E-2</v>
      </c>
      <c r="H221" s="1">
        <v>4.8500000000000001E-3</v>
      </c>
    </row>
    <row r="222" spans="1:8" x14ac:dyDescent="0.25">
      <c r="A222" t="s">
        <v>1412</v>
      </c>
      <c r="B222">
        <v>4</v>
      </c>
      <c r="C222">
        <v>5.6619999999999999</v>
      </c>
      <c r="D222" s="3">
        <v>5.66</v>
      </c>
      <c r="E222" t="s">
        <v>198</v>
      </c>
      <c r="F222">
        <v>1253389</v>
      </c>
      <c r="G222" s="1">
        <v>9.2999999999999992E-3</v>
      </c>
      <c r="H222" s="1">
        <v>2.2200000000000002E-3</v>
      </c>
    </row>
    <row r="223" spans="1:8" x14ac:dyDescent="0.25">
      <c r="A223" t="s">
        <v>1412</v>
      </c>
      <c r="B223">
        <v>5</v>
      </c>
      <c r="C223">
        <v>6.1109999999999998</v>
      </c>
      <c r="D223" s="3">
        <v>6.11</v>
      </c>
      <c r="E223" t="s">
        <v>199</v>
      </c>
      <c r="F223">
        <v>1788781</v>
      </c>
      <c r="G223" s="1">
        <v>1.3299999999999999E-2</v>
      </c>
      <c r="H223" s="1">
        <v>3.1700000000000001E-3</v>
      </c>
    </row>
    <row r="224" spans="1:8" x14ac:dyDescent="0.25">
      <c r="A224" t="s">
        <v>1412</v>
      </c>
      <c r="B224">
        <v>6</v>
      </c>
      <c r="C224">
        <v>6.2690000000000001</v>
      </c>
      <c r="D224" s="3">
        <v>6.27</v>
      </c>
      <c r="E224" t="s">
        <v>200</v>
      </c>
      <c r="F224">
        <v>1325874</v>
      </c>
      <c r="G224" s="1">
        <v>9.7999999999999997E-3</v>
      </c>
      <c r="H224" s="1">
        <v>2.3500000000000001E-3</v>
      </c>
    </row>
    <row r="225" spans="1:8" x14ac:dyDescent="0.25">
      <c r="A225" t="s">
        <v>1412</v>
      </c>
      <c r="B225">
        <v>7</v>
      </c>
      <c r="C225">
        <v>6.49</v>
      </c>
      <c r="D225" s="3">
        <v>6.49</v>
      </c>
      <c r="E225" t="s">
        <v>201</v>
      </c>
      <c r="F225">
        <v>7610182</v>
      </c>
      <c r="G225" s="1">
        <v>5.6500000000000002E-2</v>
      </c>
      <c r="H225" s="1">
        <v>1.349E-2</v>
      </c>
    </row>
    <row r="226" spans="1:8" x14ac:dyDescent="0.25">
      <c r="A226" t="s">
        <v>1412</v>
      </c>
      <c r="B226">
        <v>8</v>
      </c>
      <c r="C226">
        <v>8.1989999999999998</v>
      </c>
      <c r="D226" s="3">
        <v>8.1999999999999993</v>
      </c>
      <c r="E226" t="s">
        <v>202</v>
      </c>
      <c r="F226">
        <v>2453426</v>
      </c>
      <c r="G226" s="1">
        <v>1.8200000000000001E-2</v>
      </c>
      <c r="H226" s="1">
        <v>4.3499999999999997E-3</v>
      </c>
    </row>
    <row r="227" spans="1:8" x14ac:dyDescent="0.25">
      <c r="A227" t="s">
        <v>1412</v>
      </c>
      <c r="B227">
        <v>9</v>
      </c>
      <c r="C227">
        <v>8.2669999999999995</v>
      </c>
      <c r="D227" s="3">
        <v>8.27</v>
      </c>
      <c r="E227" t="s">
        <v>203</v>
      </c>
      <c r="F227">
        <v>4241410</v>
      </c>
      <c r="G227" s="1">
        <v>3.15E-2</v>
      </c>
      <c r="H227" s="1">
        <v>7.5199999999999998E-3</v>
      </c>
    </row>
    <row r="228" spans="1:8" x14ac:dyDescent="0.25">
      <c r="A228" t="s">
        <v>1412</v>
      </c>
      <c r="B228">
        <v>10</v>
      </c>
      <c r="C228">
        <v>8.9149999999999991</v>
      </c>
      <c r="D228" s="3">
        <v>8.92</v>
      </c>
      <c r="E228" t="s">
        <v>204</v>
      </c>
      <c r="F228">
        <v>1834488</v>
      </c>
      <c r="G228" s="1">
        <v>1.3599999999999999E-2</v>
      </c>
      <c r="H228" s="1">
        <v>3.2499999999999999E-3</v>
      </c>
    </row>
    <row r="229" spans="1:8" x14ac:dyDescent="0.25">
      <c r="A229" t="s">
        <v>1412</v>
      </c>
      <c r="B229">
        <v>11</v>
      </c>
      <c r="C229">
        <v>9.1850000000000005</v>
      </c>
      <c r="D229" s="3">
        <v>9.19</v>
      </c>
      <c r="E229" t="s">
        <v>205</v>
      </c>
      <c r="F229">
        <v>3925931</v>
      </c>
      <c r="G229" s="1">
        <v>2.9100000000000001E-2</v>
      </c>
      <c r="H229" s="1">
        <v>6.96E-3</v>
      </c>
    </row>
    <row r="230" spans="1:8" x14ac:dyDescent="0.25">
      <c r="A230" t="s">
        <v>1412</v>
      </c>
      <c r="B230">
        <v>12</v>
      </c>
      <c r="C230">
        <v>9.2579999999999991</v>
      </c>
      <c r="D230" s="3">
        <v>9.26</v>
      </c>
      <c r="E230" t="s">
        <v>206</v>
      </c>
      <c r="F230">
        <v>3592990</v>
      </c>
      <c r="G230" s="1">
        <v>2.6700000000000002E-2</v>
      </c>
      <c r="H230" s="1">
        <v>6.3699999999999998E-3</v>
      </c>
    </row>
    <row r="231" spans="1:8" x14ac:dyDescent="0.25">
      <c r="A231" t="s">
        <v>1412</v>
      </c>
      <c r="B231">
        <v>13</v>
      </c>
      <c r="C231">
        <v>9.5129999999999999</v>
      </c>
      <c r="D231" s="3">
        <v>9.51</v>
      </c>
      <c r="E231" t="s">
        <v>207</v>
      </c>
      <c r="F231">
        <v>1017883</v>
      </c>
      <c r="G231" s="1">
        <v>7.6E-3</v>
      </c>
      <c r="H231" s="1">
        <v>1.8E-3</v>
      </c>
    </row>
    <row r="232" spans="1:8" x14ac:dyDescent="0.25">
      <c r="A232" t="s">
        <v>1412</v>
      </c>
      <c r="B232">
        <v>14</v>
      </c>
      <c r="C232">
        <v>9.6539999999999999</v>
      </c>
      <c r="D232" s="3">
        <v>9.65</v>
      </c>
      <c r="E232" t="s">
        <v>208</v>
      </c>
      <c r="F232">
        <v>27058358</v>
      </c>
      <c r="G232" s="1">
        <v>0.20080000000000001</v>
      </c>
      <c r="H232" s="1">
        <v>4.7969999999999999E-2</v>
      </c>
    </row>
    <row r="233" spans="1:8" x14ac:dyDescent="0.25">
      <c r="A233" t="s">
        <v>1412</v>
      </c>
      <c r="B233">
        <v>15</v>
      </c>
      <c r="C233">
        <v>9.827</v>
      </c>
      <c r="D233" s="3">
        <v>9.83</v>
      </c>
      <c r="E233">
        <v>194373</v>
      </c>
      <c r="F233">
        <v>6318712</v>
      </c>
      <c r="G233" s="1">
        <v>4.6899999999999997E-2</v>
      </c>
      <c r="H233" s="1">
        <v>1.12E-2</v>
      </c>
    </row>
    <row r="234" spans="1:8" x14ac:dyDescent="0.25">
      <c r="A234" t="s">
        <v>1412</v>
      </c>
      <c r="B234">
        <v>16</v>
      </c>
      <c r="C234">
        <v>11.090999999999999</v>
      </c>
      <c r="D234" s="3">
        <v>11.09</v>
      </c>
      <c r="E234" t="s">
        <v>209</v>
      </c>
      <c r="F234">
        <v>3383621</v>
      </c>
      <c r="G234" s="1">
        <v>2.5100000000000001E-2</v>
      </c>
      <c r="H234" s="1">
        <v>6.0000000000000001E-3</v>
      </c>
    </row>
    <row r="235" spans="1:8" x14ac:dyDescent="0.25">
      <c r="A235" t="s">
        <v>1412</v>
      </c>
      <c r="B235">
        <v>17</v>
      </c>
      <c r="C235">
        <v>11.225</v>
      </c>
      <c r="D235" s="3">
        <v>11.23</v>
      </c>
      <c r="E235" t="s">
        <v>210</v>
      </c>
      <c r="F235">
        <v>2578771</v>
      </c>
      <c r="G235" s="1">
        <v>1.9099999999999999E-2</v>
      </c>
      <c r="H235" s="1">
        <v>4.5700000000000003E-3</v>
      </c>
    </row>
    <row r="236" spans="1:8" x14ac:dyDescent="0.25">
      <c r="A236" t="s">
        <v>1412</v>
      </c>
      <c r="B236">
        <v>18</v>
      </c>
      <c r="C236">
        <v>11.41</v>
      </c>
      <c r="D236" s="3">
        <v>11.41</v>
      </c>
      <c r="E236" t="s">
        <v>211</v>
      </c>
      <c r="F236">
        <v>2174272</v>
      </c>
      <c r="G236" s="1">
        <v>1.61E-2</v>
      </c>
      <c r="H236" s="1">
        <v>3.8500000000000001E-3</v>
      </c>
    </row>
    <row r="237" spans="1:8" x14ac:dyDescent="0.25">
      <c r="A237" t="s">
        <v>1412</v>
      </c>
      <c r="B237">
        <v>19</v>
      </c>
      <c r="C237">
        <v>12.704000000000001</v>
      </c>
      <c r="D237" s="3">
        <v>12.7</v>
      </c>
      <c r="E237" t="s">
        <v>212</v>
      </c>
      <c r="F237">
        <v>9077035</v>
      </c>
      <c r="G237" s="1">
        <v>6.7400000000000002E-2</v>
      </c>
      <c r="H237" s="1">
        <v>1.609E-2</v>
      </c>
    </row>
    <row r="238" spans="1:8" x14ac:dyDescent="0.25">
      <c r="A238" t="s">
        <v>1412</v>
      </c>
      <c r="B238">
        <v>20</v>
      </c>
      <c r="C238">
        <v>12.843</v>
      </c>
      <c r="D238" s="3">
        <v>12.84</v>
      </c>
      <c r="E238" t="s">
        <v>213</v>
      </c>
      <c r="F238">
        <v>49236458</v>
      </c>
      <c r="G238" s="1">
        <v>0.3654</v>
      </c>
      <c r="H238" s="1">
        <v>8.7300000000000003E-2</v>
      </c>
    </row>
    <row r="239" spans="1:8" x14ac:dyDescent="0.25">
      <c r="A239" t="s">
        <v>1412</v>
      </c>
      <c r="B239">
        <v>21</v>
      </c>
      <c r="C239">
        <v>13.225</v>
      </c>
      <c r="D239" s="3">
        <v>13.23</v>
      </c>
      <c r="E239" t="s">
        <v>214</v>
      </c>
      <c r="F239">
        <v>11447029</v>
      </c>
      <c r="G239" s="1">
        <v>8.5000000000000006E-2</v>
      </c>
      <c r="H239" s="1">
        <v>2.0299999999999999E-2</v>
      </c>
    </row>
    <row r="240" spans="1:8" x14ac:dyDescent="0.25">
      <c r="A240" t="s">
        <v>1412</v>
      </c>
      <c r="B240">
        <v>22</v>
      </c>
      <c r="C240">
        <v>13.561</v>
      </c>
      <c r="D240" s="3">
        <v>13.56</v>
      </c>
      <c r="E240" t="s">
        <v>215</v>
      </c>
      <c r="F240">
        <v>1134582</v>
      </c>
      <c r="G240" s="1">
        <v>8.3999999999999995E-3</v>
      </c>
      <c r="H240" s="1">
        <v>2.0100000000000001E-3</v>
      </c>
    </row>
    <row r="241" spans="1:8" x14ac:dyDescent="0.25">
      <c r="A241" t="s">
        <v>1412</v>
      </c>
      <c r="B241">
        <v>23</v>
      </c>
      <c r="C241">
        <v>14.52</v>
      </c>
      <c r="D241" s="3">
        <v>14.52</v>
      </c>
      <c r="E241" t="s">
        <v>216</v>
      </c>
      <c r="F241">
        <v>6587276</v>
      </c>
      <c r="G241" s="1">
        <v>4.8899999999999999E-2</v>
      </c>
      <c r="H241" s="1">
        <v>1.1679999999999999E-2</v>
      </c>
    </row>
    <row r="242" spans="1:8" x14ac:dyDescent="0.25">
      <c r="A242" t="s">
        <v>1412</v>
      </c>
      <c r="B242">
        <v>24</v>
      </c>
      <c r="C242">
        <v>14.832000000000001</v>
      </c>
      <c r="D242" s="3">
        <v>14.83</v>
      </c>
      <c r="E242" t="s">
        <v>217</v>
      </c>
      <c r="F242">
        <v>1049763</v>
      </c>
      <c r="G242" s="1">
        <v>7.7999999999999996E-3</v>
      </c>
      <c r="H242" s="1">
        <v>1.8600000000000001E-3</v>
      </c>
    </row>
    <row r="243" spans="1:8" x14ac:dyDescent="0.25">
      <c r="A243" t="s">
        <v>1412</v>
      </c>
      <c r="B243">
        <v>25</v>
      </c>
      <c r="C243">
        <v>15.343</v>
      </c>
      <c r="D243" s="3">
        <v>15.34</v>
      </c>
      <c r="E243" t="s">
        <v>218</v>
      </c>
      <c r="F243">
        <v>2377848</v>
      </c>
      <c r="G243" s="1">
        <v>1.7600000000000001E-2</v>
      </c>
      <c r="H243" s="1">
        <v>4.2199999999999998E-3</v>
      </c>
    </row>
    <row r="244" spans="1:8" x14ac:dyDescent="0.25">
      <c r="A244" t="s">
        <v>1412</v>
      </c>
      <c r="B244">
        <v>26</v>
      </c>
      <c r="C244">
        <v>15.471</v>
      </c>
      <c r="D244" s="3">
        <v>15.47</v>
      </c>
      <c r="E244" t="s">
        <v>219</v>
      </c>
      <c r="F244">
        <v>1053088</v>
      </c>
      <c r="G244" s="1">
        <v>7.7999999999999996E-3</v>
      </c>
      <c r="H244" s="1">
        <v>1.8699999999999999E-3</v>
      </c>
    </row>
    <row r="245" spans="1:8" x14ac:dyDescent="0.25">
      <c r="A245" t="s">
        <v>1412</v>
      </c>
      <c r="B245">
        <v>27</v>
      </c>
      <c r="C245">
        <v>15.579000000000001</v>
      </c>
      <c r="D245" s="3">
        <v>15.58</v>
      </c>
      <c r="E245" t="s">
        <v>220</v>
      </c>
      <c r="F245">
        <v>1601280</v>
      </c>
      <c r="G245" s="1">
        <v>1.1900000000000001E-2</v>
      </c>
      <c r="H245" s="1">
        <v>2.8400000000000001E-3</v>
      </c>
    </row>
    <row r="246" spans="1:8" x14ac:dyDescent="0.25">
      <c r="A246" t="s">
        <v>1412</v>
      </c>
      <c r="B246">
        <v>28</v>
      </c>
      <c r="C246">
        <v>15.712999999999999</v>
      </c>
      <c r="D246" s="3">
        <v>15.71</v>
      </c>
      <c r="E246" t="s">
        <v>221</v>
      </c>
      <c r="F246">
        <v>1764861</v>
      </c>
      <c r="G246" s="1">
        <v>1.3100000000000001E-2</v>
      </c>
      <c r="H246" s="1">
        <v>3.13E-3</v>
      </c>
    </row>
    <row r="247" spans="1:8" x14ac:dyDescent="0.25">
      <c r="A247" t="s">
        <v>1412</v>
      </c>
      <c r="B247">
        <v>29</v>
      </c>
      <c r="C247">
        <v>15.875</v>
      </c>
      <c r="D247" s="3">
        <v>15.88</v>
      </c>
      <c r="E247" t="s">
        <v>222</v>
      </c>
      <c r="F247">
        <v>13241098</v>
      </c>
      <c r="G247" s="1">
        <v>9.8299999999999998E-2</v>
      </c>
      <c r="H247" s="1">
        <v>2.3480000000000001E-2</v>
      </c>
    </row>
    <row r="248" spans="1:8" x14ac:dyDescent="0.25">
      <c r="A248" t="s">
        <v>1412</v>
      </c>
      <c r="B248">
        <v>30</v>
      </c>
      <c r="C248">
        <v>16.663</v>
      </c>
      <c r="D248" s="3">
        <v>16.66</v>
      </c>
      <c r="E248" t="s">
        <v>223</v>
      </c>
      <c r="F248">
        <v>4097699</v>
      </c>
      <c r="G248" s="1">
        <v>3.04E-2</v>
      </c>
      <c r="H248" s="1">
        <v>7.2700000000000004E-3</v>
      </c>
    </row>
    <row r="249" spans="1:8" x14ac:dyDescent="0.25">
      <c r="A249" t="s">
        <v>1412</v>
      </c>
      <c r="B249">
        <v>31</v>
      </c>
      <c r="C249">
        <v>16.765999999999998</v>
      </c>
      <c r="D249" s="3">
        <v>16.77</v>
      </c>
      <c r="E249" t="s">
        <v>224</v>
      </c>
      <c r="F249">
        <v>7621459</v>
      </c>
      <c r="G249" s="1">
        <v>5.6599999999999998E-2</v>
      </c>
      <c r="H249" s="1">
        <v>1.3509999999999999E-2</v>
      </c>
    </row>
    <row r="250" spans="1:8" x14ac:dyDescent="0.25">
      <c r="A250" t="s">
        <v>1412</v>
      </c>
      <c r="B250">
        <v>32</v>
      </c>
      <c r="C250">
        <v>17.114999999999998</v>
      </c>
      <c r="D250" s="3">
        <v>17.12</v>
      </c>
      <c r="E250" t="s">
        <v>225</v>
      </c>
      <c r="F250">
        <v>134746235</v>
      </c>
      <c r="G250" s="1">
        <v>0</v>
      </c>
      <c r="H250" s="1">
        <v>0.2389</v>
      </c>
    </row>
    <row r="251" spans="1:8" x14ac:dyDescent="0.25">
      <c r="A251" t="s">
        <v>1412</v>
      </c>
      <c r="B251">
        <v>33</v>
      </c>
      <c r="C251">
        <v>17.454000000000001</v>
      </c>
      <c r="D251" s="3">
        <v>17.45</v>
      </c>
      <c r="E251" t="s">
        <v>226</v>
      </c>
      <c r="F251">
        <v>23228494</v>
      </c>
      <c r="G251" s="1">
        <v>0.1724</v>
      </c>
      <c r="H251" s="1">
        <v>4.1180000000000001E-2</v>
      </c>
    </row>
    <row r="252" spans="1:8" x14ac:dyDescent="0.25">
      <c r="A252" t="s">
        <v>1412</v>
      </c>
      <c r="B252">
        <v>34</v>
      </c>
      <c r="C252">
        <v>17.556000000000001</v>
      </c>
      <c r="D252" s="3">
        <v>17.559999999999999</v>
      </c>
      <c r="E252" t="s">
        <v>227</v>
      </c>
      <c r="F252">
        <v>2357625</v>
      </c>
      <c r="G252" s="1">
        <v>1.7500000000000002E-2</v>
      </c>
      <c r="H252" s="1">
        <v>4.1799999999999997E-3</v>
      </c>
    </row>
    <row r="253" spans="1:8" x14ac:dyDescent="0.25">
      <c r="A253" t="s">
        <v>1412</v>
      </c>
      <c r="B253">
        <v>35</v>
      </c>
      <c r="C253">
        <v>17.701000000000001</v>
      </c>
      <c r="D253" s="3">
        <v>17.7</v>
      </c>
      <c r="E253" t="s">
        <v>228</v>
      </c>
      <c r="F253">
        <v>1527475</v>
      </c>
      <c r="G253" s="1">
        <v>1.1299999999999999E-2</v>
      </c>
      <c r="H253" s="1">
        <v>2.7100000000000002E-3</v>
      </c>
    </row>
    <row r="254" spans="1:8" x14ac:dyDescent="0.25">
      <c r="A254" t="s">
        <v>1412</v>
      </c>
      <c r="B254">
        <v>36</v>
      </c>
      <c r="C254">
        <v>17.798999999999999</v>
      </c>
      <c r="D254" s="3">
        <v>17.8</v>
      </c>
      <c r="E254" t="s">
        <v>229</v>
      </c>
      <c r="F254">
        <v>1630707</v>
      </c>
      <c r="G254" s="1">
        <v>1.21E-2</v>
      </c>
      <c r="H254" s="1">
        <v>2.8900000000000002E-3</v>
      </c>
    </row>
    <row r="255" spans="1:8" x14ac:dyDescent="0.25">
      <c r="A255" t="s">
        <v>1412</v>
      </c>
      <c r="B255">
        <v>37</v>
      </c>
      <c r="C255">
        <v>17.917999999999999</v>
      </c>
      <c r="D255" s="3">
        <v>17.920000000000002</v>
      </c>
      <c r="E255" t="s">
        <v>230</v>
      </c>
      <c r="F255">
        <v>1500673</v>
      </c>
      <c r="G255" s="1">
        <v>1.11E-2</v>
      </c>
      <c r="H255" s="1">
        <v>2.66E-3</v>
      </c>
    </row>
    <row r="256" spans="1:8" x14ac:dyDescent="0.25">
      <c r="A256" t="s">
        <v>1412</v>
      </c>
      <c r="B256">
        <v>38</v>
      </c>
      <c r="C256">
        <v>18.053000000000001</v>
      </c>
      <c r="D256" s="3">
        <v>18.05</v>
      </c>
      <c r="E256" t="s">
        <v>231</v>
      </c>
      <c r="F256">
        <v>2750672</v>
      </c>
      <c r="G256" s="1">
        <v>2.0400000000000001E-2</v>
      </c>
      <c r="H256" s="1">
        <v>4.8799999999999998E-3</v>
      </c>
    </row>
    <row r="257" spans="1:8" x14ac:dyDescent="0.25">
      <c r="A257" t="s">
        <v>1412</v>
      </c>
      <c r="B257">
        <v>39</v>
      </c>
      <c r="C257">
        <v>18.306000000000001</v>
      </c>
      <c r="D257" s="3">
        <v>18.309999999999999</v>
      </c>
      <c r="E257" t="s">
        <v>232</v>
      </c>
      <c r="F257">
        <v>3140498</v>
      </c>
      <c r="G257" s="1">
        <v>2.3300000000000001E-2</v>
      </c>
      <c r="H257" s="1">
        <v>5.5700000000000003E-3</v>
      </c>
    </row>
    <row r="258" spans="1:8" x14ac:dyDescent="0.25">
      <c r="A258" t="s">
        <v>1412</v>
      </c>
      <c r="B258">
        <v>40</v>
      </c>
      <c r="C258">
        <v>18.530999999999999</v>
      </c>
      <c r="D258" s="3">
        <v>18.53</v>
      </c>
      <c r="E258" t="s">
        <v>233</v>
      </c>
      <c r="F258">
        <v>3061842</v>
      </c>
      <c r="G258" s="1">
        <v>2.2700000000000001E-2</v>
      </c>
      <c r="H258" s="1">
        <v>5.4299999999999999E-3</v>
      </c>
    </row>
    <row r="259" spans="1:8" x14ac:dyDescent="0.25">
      <c r="A259" t="s">
        <v>1412</v>
      </c>
      <c r="B259">
        <v>41</v>
      </c>
      <c r="C259">
        <v>18.727</v>
      </c>
      <c r="D259" s="3">
        <v>18.73</v>
      </c>
      <c r="E259" t="s">
        <v>234</v>
      </c>
      <c r="F259">
        <v>2524943</v>
      </c>
      <c r="G259" s="1">
        <v>1.8700000000000001E-2</v>
      </c>
      <c r="H259" s="1">
        <v>4.4799999999999996E-3</v>
      </c>
    </row>
    <row r="260" spans="1:8" x14ac:dyDescent="0.25">
      <c r="A260" t="s">
        <v>1412</v>
      </c>
      <c r="B260">
        <v>42</v>
      </c>
      <c r="C260">
        <v>18.844999999999999</v>
      </c>
      <c r="D260" s="3">
        <v>18.850000000000001</v>
      </c>
      <c r="E260" t="s">
        <v>235</v>
      </c>
      <c r="F260">
        <v>4629208</v>
      </c>
      <c r="G260" s="1">
        <v>3.44E-2</v>
      </c>
      <c r="H260" s="1">
        <v>8.2100000000000003E-3</v>
      </c>
    </row>
    <row r="261" spans="1:8" x14ac:dyDescent="0.25">
      <c r="A261" t="s">
        <v>1412</v>
      </c>
      <c r="B261">
        <v>43</v>
      </c>
      <c r="C261">
        <v>20.222000000000001</v>
      </c>
      <c r="D261" s="3">
        <v>20.22</v>
      </c>
      <c r="E261" t="s">
        <v>236</v>
      </c>
      <c r="F261">
        <v>7170781</v>
      </c>
      <c r="G261" s="1">
        <v>5.3199999999999997E-2</v>
      </c>
      <c r="H261" s="1">
        <v>1.2710000000000001E-2</v>
      </c>
    </row>
    <row r="262" spans="1:8" x14ac:dyDescent="0.25">
      <c r="A262" t="s">
        <v>1412</v>
      </c>
      <c r="B262">
        <v>44</v>
      </c>
      <c r="C262">
        <v>20.968</v>
      </c>
      <c r="D262" s="3">
        <v>20.97</v>
      </c>
      <c r="E262" t="s">
        <v>237</v>
      </c>
      <c r="F262">
        <v>2417664</v>
      </c>
      <c r="G262" s="1">
        <v>1.7899999999999999E-2</v>
      </c>
      <c r="H262" s="1">
        <v>4.2900000000000004E-3</v>
      </c>
    </row>
    <row r="263" spans="1:8" x14ac:dyDescent="0.25">
      <c r="A263" t="s">
        <v>1412</v>
      </c>
      <c r="B263">
        <v>45</v>
      </c>
      <c r="C263">
        <v>21.177</v>
      </c>
      <c r="D263" s="3">
        <v>21.18</v>
      </c>
      <c r="E263" t="s">
        <v>238</v>
      </c>
      <c r="F263">
        <v>1692853</v>
      </c>
      <c r="G263" s="1">
        <v>1.26E-2</v>
      </c>
      <c r="H263" s="1">
        <v>3.0000000000000001E-3</v>
      </c>
    </row>
    <row r="264" spans="1:8" x14ac:dyDescent="0.25">
      <c r="A264" t="s">
        <v>1412</v>
      </c>
      <c r="B264">
        <v>46</v>
      </c>
      <c r="C264">
        <v>21.398</v>
      </c>
      <c r="D264" s="3">
        <v>21.4</v>
      </c>
      <c r="E264" t="s">
        <v>239</v>
      </c>
      <c r="F264">
        <v>2089561</v>
      </c>
      <c r="G264" s="1">
        <v>1.55E-2</v>
      </c>
      <c r="H264" s="1">
        <v>3.7000000000000002E-3</v>
      </c>
    </row>
    <row r="265" spans="1:8" x14ac:dyDescent="0.25">
      <c r="A265" t="s">
        <v>1412</v>
      </c>
      <c r="B265">
        <v>47</v>
      </c>
      <c r="C265">
        <v>22.510999999999999</v>
      </c>
      <c r="D265" s="3">
        <v>22.51</v>
      </c>
      <c r="E265" t="s">
        <v>240</v>
      </c>
      <c r="F265">
        <v>1856842</v>
      </c>
      <c r="G265" s="1">
        <v>1.38E-2</v>
      </c>
      <c r="H265" s="1">
        <v>3.29E-3</v>
      </c>
    </row>
    <row r="266" spans="1:8" x14ac:dyDescent="0.25">
      <c r="A266" t="s">
        <v>1412</v>
      </c>
      <c r="B266">
        <v>48</v>
      </c>
      <c r="C266">
        <v>23.475000000000001</v>
      </c>
      <c r="D266" s="3">
        <v>23.48</v>
      </c>
      <c r="E266" t="s">
        <v>241</v>
      </c>
      <c r="F266">
        <v>4685500</v>
      </c>
      <c r="G266" s="1">
        <v>3.4799999999999998E-2</v>
      </c>
      <c r="H266" s="1">
        <v>8.3099999999999997E-3</v>
      </c>
    </row>
    <row r="267" spans="1:8" x14ac:dyDescent="0.25">
      <c r="A267" t="s">
        <v>1412</v>
      </c>
      <c r="B267">
        <v>49</v>
      </c>
      <c r="C267">
        <v>23.664000000000001</v>
      </c>
      <c r="D267" s="3">
        <v>23.66</v>
      </c>
      <c r="E267" t="s">
        <v>242</v>
      </c>
      <c r="F267">
        <v>3903683</v>
      </c>
      <c r="G267" s="1">
        <v>2.9000000000000001E-2</v>
      </c>
      <c r="H267" s="1">
        <v>6.9199999999999999E-3</v>
      </c>
    </row>
    <row r="268" spans="1:8" x14ac:dyDescent="0.25">
      <c r="A268" t="s">
        <v>1412</v>
      </c>
      <c r="B268">
        <v>50</v>
      </c>
      <c r="C268">
        <v>23.92</v>
      </c>
      <c r="D268" s="3">
        <v>23.92</v>
      </c>
      <c r="E268" t="s">
        <v>243</v>
      </c>
      <c r="F268">
        <v>1458422</v>
      </c>
      <c r="G268" s="1">
        <v>1.0800000000000001E-2</v>
      </c>
      <c r="H268" s="1">
        <v>2.5899999999999999E-3</v>
      </c>
    </row>
    <row r="269" spans="1:8" x14ac:dyDescent="0.25">
      <c r="A269" t="s">
        <v>1412</v>
      </c>
      <c r="B269">
        <v>51</v>
      </c>
      <c r="C269">
        <v>25.382000000000001</v>
      </c>
      <c r="D269" s="3">
        <v>25.38</v>
      </c>
      <c r="E269" t="s">
        <v>244</v>
      </c>
      <c r="F269">
        <v>1552544</v>
      </c>
      <c r="G269" s="1">
        <v>1.15E-2</v>
      </c>
      <c r="H269" s="1">
        <v>2.7499999999999998E-3</v>
      </c>
    </row>
    <row r="270" spans="1:8" x14ac:dyDescent="0.25">
      <c r="A270" t="s">
        <v>1412</v>
      </c>
      <c r="B270">
        <v>52</v>
      </c>
      <c r="C270">
        <v>25.847000000000001</v>
      </c>
      <c r="D270" s="3">
        <v>25.85</v>
      </c>
      <c r="E270" t="s">
        <v>245</v>
      </c>
      <c r="F270">
        <v>1548889</v>
      </c>
      <c r="G270" s="1">
        <v>1.15E-2</v>
      </c>
      <c r="H270" s="1">
        <v>2.7499999999999998E-3</v>
      </c>
    </row>
    <row r="271" spans="1:8" x14ac:dyDescent="0.25">
      <c r="A271" t="s">
        <v>1412</v>
      </c>
      <c r="B271">
        <v>53</v>
      </c>
      <c r="C271">
        <v>26.015000000000001</v>
      </c>
      <c r="D271" s="3">
        <v>26.02</v>
      </c>
      <c r="E271" t="s">
        <v>246</v>
      </c>
      <c r="F271">
        <v>1631401</v>
      </c>
      <c r="G271" s="1">
        <v>1.21E-2</v>
      </c>
      <c r="H271" s="1">
        <v>2.8900000000000002E-3</v>
      </c>
    </row>
    <row r="272" spans="1:8" x14ac:dyDescent="0.25">
      <c r="A272" t="s">
        <v>1412</v>
      </c>
      <c r="B272">
        <v>54</v>
      </c>
      <c r="C272">
        <v>27.253</v>
      </c>
      <c r="D272" s="3">
        <v>27.25</v>
      </c>
      <c r="E272" t="s">
        <v>247</v>
      </c>
      <c r="F272">
        <v>1292942</v>
      </c>
      <c r="G272" s="1">
        <v>9.5999999999999992E-3</v>
      </c>
      <c r="H272" s="1">
        <v>2.2899999999999999E-3</v>
      </c>
    </row>
    <row r="273" spans="1:8" x14ac:dyDescent="0.25">
      <c r="A273" t="s">
        <v>1412</v>
      </c>
      <c r="B273">
        <v>55</v>
      </c>
      <c r="C273">
        <v>27.428000000000001</v>
      </c>
      <c r="D273" s="3">
        <v>27.43</v>
      </c>
      <c r="E273" t="s">
        <v>248</v>
      </c>
      <c r="F273">
        <v>1341263</v>
      </c>
      <c r="G273" s="1">
        <v>0.01</v>
      </c>
      <c r="H273" s="1">
        <v>2.3800000000000002E-3</v>
      </c>
    </row>
    <row r="274" spans="1:8" x14ac:dyDescent="0.25">
      <c r="A274" t="s">
        <v>1412</v>
      </c>
      <c r="B274">
        <v>56</v>
      </c>
      <c r="C274">
        <v>27.506</v>
      </c>
      <c r="D274" s="3">
        <v>27.51</v>
      </c>
      <c r="E274" t="s">
        <v>249</v>
      </c>
      <c r="F274">
        <v>2673056</v>
      </c>
      <c r="G274" s="1">
        <v>1.9800000000000002E-2</v>
      </c>
      <c r="H274" s="1">
        <v>4.7400000000000003E-3</v>
      </c>
    </row>
    <row r="275" spans="1:8" x14ac:dyDescent="0.25">
      <c r="A275" t="s">
        <v>1412</v>
      </c>
      <c r="B275">
        <v>57</v>
      </c>
      <c r="C275">
        <v>27.667000000000002</v>
      </c>
      <c r="D275" s="3">
        <v>27.67</v>
      </c>
      <c r="E275" t="s">
        <v>250</v>
      </c>
      <c r="F275">
        <v>1237290</v>
      </c>
      <c r="G275" s="1">
        <v>9.1999999999999998E-3</v>
      </c>
      <c r="H275" s="1">
        <v>2.1900000000000001E-3</v>
      </c>
    </row>
    <row r="276" spans="1:8" x14ac:dyDescent="0.25">
      <c r="A276" t="s">
        <v>1412</v>
      </c>
      <c r="B276">
        <v>58</v>
      </c>
      <c r="C276">
        <v>28.481999999999999</v>
      </c>
      <c r="D276" s="3">
        <v>28.48</v>
      </c>
      <c r="E276">
        <v>830186</v>
      </c>
      <c r="F276">
        <v>13993050</v>
      </c>
      <c r="G276" s="1">
        <v>0.1038</v>
      </c>
      <c r="H276" s="1">
        <v>2.4809999999999999E-2</v>
      </c>
    </row>
    <row r="277" spans="1:8" x14ac:dyDescent="0.25">
      <c r="A277" t="s">
        <v>1412</v>
      </c>
      <c r="B277">
        <v>59</v>
      </c>
      <c r="C277">
        <v>28.62</v>
      </c>
      <c r="D277" s="3">
        <v>28.62</v>
      </c>
      <c r="E277" t="s">
        <v>251</v>
      </c>
      <c r="F277">
        <v>1632560</v>
      </c>
      <c r="G277" s="1">
        <v>1.21E-2</v>
      </c>
      <c r="H277" s="1">
        <v>2.8900000000000002E-3</v>
      </c>
    </row>
    <row r="278" spans="1:8" x14ac:dyDescent="0.25">
      <c r="A278" t="s">
        <v>1412</v>
      </c>
      <c r="B278">
        <v>60</v>
      </c>
      <c r="C278">
        <v>28.733000000000001</v>
      </c>
      <c r="D278" s="3">
        <v>28.73</v>
      </c>
      <c r="E278" t="s">
        <v>252</v>
      </c>
      <c r="F278">
        <v>4309745</v>
      </c>
      <c r="G278" s="1">
        <v>3.2000000000000001E-2</v>
      </c>
      <c r="H278" s="1">
        <v>7.6400000000000001E-3</v>
      </c>
    </row>
    <row r="279" spans="1:8" x14ac:dyDescent="0.25">
      <c r="A279" t="s">
        <v>1412</v>
      </c>
      <c r="B279">
        <v>61</v>
      </c>
      <c r="C279">
        <v>28.891999999999999</v>
      </c>
      <c r="D279" s="3">
        <v>28.89</v>
      </c>
      <c r="E279">
        <v>388569</v>
      </c>
      <c r="F279">
        <v>6100635</v>
      </c>
      <c r="G279" s="1">
        <v>4.53E-2</v>
      </c>
      <c r="H279" s="1">
        <v>1.082E-2</v>
      </c>
    </row>
    <row r="280" spans="1:8" x14ac:dyDescent="0.25">
      <c r="A280" t="s">
        <v>1412</v>
      </c>
      <c r="B280">
        <v>62</v>
      </c>
      <c r="C280">
        <v>29.047000000000001</v>
      </c>
      <c r="D280" s="3">
        <v>29.05</v>
      </c>
      <c r="E280">
        <v>3155446</v>
      </c>
      <c r="F280">
        <v>38158399</v>
      </c>
      <c r="G280" s="1">
        <v>0.28320000000000001</v>
      </c>
      <c r="H280" s="1">
        <v>6.7650000000000002E-2</v>
      </c>
    </row>
    <row r="281" spans="1:8" x14ac:dyDescent="0.25">
      <c r="A281" t="s">
        <v>1412</v>
      </c>
      <c r="B281">
        <v>63</v>
      </c>
      <c r="C281">
        <v>29.157</v>
      </c>
      <c r="D281" s="3">
        <v>29.16</v>
      </c>
      <c r="E281" t="s">
        <v>253</v>
      </c>
      <c r="F281">
        <v>1300256</v>
      </c>
      <c r="G281" s="1">
        <v>9.5999999999999992E-3</v>
      </c>
      <c r="H281" s="1">
        <v>2.31E-3</v>
      </c>
    </row>
    <row r="282" spans="1:8" x14ac:dyDescent="0.25">
      <c r="A282" t="s">
        <v>1412</v>
      </c>
      <c r="B282">
        <v>64</v>
      </c>
      <c r="C282">
        <v>29.233000000000001</v>
      </c>
      <c r="D282" s="3">
        <v>29.23</v>
      </c>
      <c r="E282" t="s">
        <v>254</v>
      </c>
      <c r="F282">
        <v>3581651</v>
      </c>
      <c r="G282" s="1">
        <v>2.6599999999999999E-2</v>
      </c>
      <c r="H282" s="1">
        <v>6.3499999999999997E-3</v>
      </c>
    </row>
    <row r="283" spans="1:8" x14ac:dyDescent="0.25">
      <c r="A283" t="s">
        <v>1412</v>
      </c>
      <c r="B283">
        <v>65</v>
      </c>
      <c r="C283">
        <v>29.306000000000001</v>
      </c>
      <c r="D283" s="3">
        <v>29.31</v>
      </c>
      <c r="E283" t="s">
        <v>255</v>
      </c>
      <c r="F283">
        <v>1657537</v>
      </c>
      <c r="G283" s="1">
        <v>1.23E-2</v>
      </c>
      <c r="H283" s="1">
        <v>2.9399999999999999E-3</v>
      </c>
    </row>
    <row r="284" spans="1:8" x14ac:dyDescent="0.25">
      <c r="A284" t="s">
        <v>1412</v>
      </c>
      <c r="B284">
        <v>66</v>
      </c>
      <c r="C284">
        <v>29.428000000000001</v>
      </c>
      <c r="D284" s="3">
        <v>29.43</v>
      </c>
      <c r="E284" t="s">
        <v>256</v>
      </c>
      <c r="F284">
        <v>2162854</v>
      </c>
      <c r="G284" s="1">
        <v>1.61E-2</v>
      </c>
      <c r="H284" s="1">
        <v>3.8300000000000001E-3</v>
      </c>
    </row>
    <row r="285" spans="1:8" x14ac:dyDescent="0.25">
      <c r="A285" t="s">
        <v>1412</v>
      </c>
      <c r="B285">
        <v>67</v>
      </c>
      <c r="C285">
        <v>29.466999999999999</v>
      </c>
      <c r="D285" s="3">
        <v>29.47</v>
      </c>
      <c r="E285" t="s">
        <v>257</v>
      </c>
      <c r="F285">
        <v>2313906</v>
      </c>
      <c r="G285" s="1">
        <v>1.72E-2</v>
      </c>
      <c r="H285" s="1">
        <v>4.1000000000000003E-3</v>
      </c>
    </row>
    <row r="286" spans="1:8" x14ac:dyDescent="0.25">
      <c r="A286" t="s">
        <v>1412</v>
      </c>
      <c r="B286">
        <v>68</v>
      </c>
      <c r="C286">
        <v>29.530999999999999</v>
      </c>
      <c r="D286" s="3">
        <v>29.53</v>
      </c>
      <c r="E286" t="s">
        <v>258</v>
      </c>
      <c r="F286">
        <v>1552898</v>
      </c>
      <c r="G286" s="1">
        <v>1.15E-2</v>
      </c>
      <c r="H286" s="1">
        <v>2.7499999999999998E-3</v>
      </c>
    </row>
    <row r="287" spans="1:8" x14ac:dyDescent="0.25">
      <c r="A287" t="s">
        <v>1412</v>
      </c>
      <c r="B287">
        <v>69</v>
      </c>
      <c r="C287">
        <v>29.62</v>
      </c>
      <c r="D287" s="3">
        <v>29.62</v>
      </c>
      <c r="E287" t="s">
        <v>259</v>
      </c>
      <c r="F287">
        <v>1220753</v>
      </c>
      <c r="G287" s="1">
        <v>9.1000000000000004E-3</v>
      </c>
      <c r="H287" s="1">
        <v>2.16E-3</v>
      </c>
    </row>
    <row r="288" spans="1:8" x14ac:dyDescent="0.25">
      <c r="A288" t="s">
        <v>1412</v>
      </c>
      <c r="B288">
        <v>70</v>
      </c>
      <c r="C288">
        <v>29.742999999999999</v>
      </c>
      <c r="D288" s="3">
        <v>29.74</v>
      </c>
      <c r="E288">
        <v>279787</v>
      </c>
      <c r="F288">
        <v>5350080</v>
      </c>
      <c r="G288" s="1">
        <v>3.9699999999999999E-2</v>
      </c>
      <c r="H288" s="1">
        <v>9.4900000000000002E-3</v>
      </c>
    </row>
    <row r="289" spans="1:8" x14ac:dyDescent="0.25">
      <c r="A289" t="s">
        <v>1412</v>
      </c>
      <c r="B289">
        <v>71</v>
      </c>
      <c r="C289">
        <v>29.818999999999999</v>
      </c>
      <c r="D289" s="3">
        <v>29.82</v>
      </c>
      <c r="E289" t="s">
        <v>260</v>
      </c>
      <c r="F289">
        <v>2313081</v>
      </c>
      <c r="G289" s="1">
        <v>1.72E-2</v>
      </c>
      <c r="H289" s="1">
        <v>4.1000000000000003E-3</v>
      </c>
    </row>
    <row r="290" spans="1:8" x14ac:dyDescent="0.25">
      <c r="A290" t="s">
        <v>1412</v>
      </c>
      <c r="B290">
        <v>72</v>
      </c>
      <c r="C290">
        <v>29.936</v>
      </c>
      <c r="D290" s="3">
        <v>29.94</v>
      </c>
      <c r="E290" t="s">
        <v>261</v>
      </c>
      <c r="F290">
        <v>2379034</v>
      </c>
      <c r="G290" s="1">
        <v>1.77E-2</v>
      </c>
      <c r="H290" s="1">
        <v>4.2199999999999998E-3</v>
      </c>
    </row>
    <row r="291" spans="1:8" x14ac:dyDescent="0.25">
      <c r="A291" t="s">
        <v>1412</v>
      </c>
      <c r="B291">
        <v>73</v>
      </c>
      <c r="C291">
        <v>30.175000000000001</v>
      </c>
      <c r="D291" s="3">
        <v>30.18</v>
      </c>
      <c r="E291" t="s">
        <v>262</v>
      </c>
      <c r="F291">
        <v>1093303</v>
      </c>
      <c r="G291" s="1">
        <v>8.0999999999999996E-3</v>
      </c>
      <c r="H291" s="1">
        <v>1.9400000000000001E-3</v>
      </c>
    </row>
    <row r="292" spans="1:8" x14ac:dyDescent="0.25">
      <c r="A292" t="s">
        <v>1412</v>
      </c>
      <c r="B292">
        <v>74</v>
      </c>
      <c r="C292">
        <v>31.988</v>
      </c>
      <c r="D292" s="3">
        <v>31.99</v>
      </c>
      <c r="E292">
        <v>244297</v>
      </c>
      <c r="F292">
        <v>4730593</v>
      </c>
      <c r="G292" s="1">
        <v>3.5099999999999999E-2</v>
      </c>
      <c r="H292" s="1">
        <v>8.3899999999999999E-3</v>
      </c>
    </row>
    <row r="293" spans="1:8" x14ac:dyDescent="0.25">
      <c r="A293" t="s">
        <v>1412</v>
      </c>
      <c r="B293">
        <v>75</v>
      </c>
      <c r="C293">
        <v>32.74</v>
      </c>
      <c r="D293" s="3">
        <v>32.74</v>
      </c>
      <c r="E293" t="s">
        <v>263</v>
      </c>
      <c r="F293">
        <v>1555722</v>
      </c>
      <c r="G293" s="1">
        <v>1.15E-2</v>
      </c>
      <c r="H293" s="1">
        <v>2.7599999999999999E-3</v>
      </c>
    </row>
    <row r="294" spans="1:8" x14ac:dyDescent="0.25">
      <c r="A294" t="s">
        <v>1412</v>
      </c>
      <c r="B294">
        <v>76</v>
      </c>
      <c r="C294">
        <v>32.887999999999998</v>
      </c>
      <c r="D294" s="3">
        <v>32.89</v>
      </c>
      <c r="E294" t="s">
        <v>264</v>
      </c>
      <c r="F294">
        <v>1034438</v>
      </c>
      <c r="G294" s="1">
        <v>7.7000000000000002E-3</v>
      </c>
      <c r="H294" s="1">
        <v>1.83E-3</v>
      </c>
    </row>
    <row r="295" spans="1:8" x14ac:dyDescent="0.25">
      <c r="A295" t="s">
        <v>1412</v>
      </c>
      <c r="B295">
        <v>77</v>
      </c>
      <c r="C295">
        <v>33.1</v>
      </c>
      <c r="D295" s="3">
        <v>33.1</v>
      </c>
      <c r="E295">
        <v>556571</v>
      </c>
      <c r="F295">
        <v>22415987</v>
      </c>
      <c r="G295" s="1">
        <v>0.16639999999999999</v>
      </c>
      <c r="H295" s="1">
        <v>3.9739999999999998E-2</v>
      </c>
    </row>
    <row r="296" spans="1:8" x14ac:dyDescent="0.25">
      <c r="A296" t="s">
        <v>1412</v>
      </c>
      <c r="B296">
        <v>78</v>
      </c>
      <c r="C296">
        <v>33.283999999999999</v>
      </c>
      <c r="D296" s="3">
        <v>33.28</v>
      </c>
      <c r="E296">
        <v>34287</v>
      </c>
      <c r="F296">
        <v>1228987</v>
      </c>
      <c r="G296" s="1">
        <v>9.1000000000000004E-3</v>
      </c>
      <c r="H296" s="1">
        <v>2.1800000000000001E-3</v>
      </c>
    </row>
    <row r="297" spans="1:8" x14ac:dyDescent="0.25">
      <c r="A297" t="s">
        <v>1413</v>
      </c>
      <c r="B297">
        <v>1</v>
      </c>
      <c r="C297">
        <v>4.5030000000000001</v>
      </c>
      <c r="D297" s="3">
        <v>4.5</v>
      </c>
      <c r="E297" t="s">
        <v>265</v>
      </c>
      <c r="F297">
        <v>1344222</v>
      </c>
      <c r="G297" s="1">
        <v>5.7000000000000002E-3</v>
      </c>
      <c r="H297" s="1">
        <v>1.8400000000000001E-3</v>
      </c>
    </row>
    <row r="298" spans="1:8" x14ac:dyDescent="0.25">
      <c r="A298" t="s">
        <v>1413</v>
      </c>
      <c r="B298">
        <v>2</v>
      </c>
      <c r="C298">
        <v>4.82</v>
      </c>
      <c r="D298" s="3">
        <v>4.82</v>
      </c>
      <c r="E298" t="s">
        <v>266</v>
      </c>
      <c r="F298">
        <v>1176304</v>
      </c>
      <c r="G298" s="1">
        <v>5.0000000000000001E-3</v>
      </c>
      <c r="H298" s="1">
        <v>1.6100000000000001E-3</v>
      </c>
    </row>
    <row r="299" spans="1:8" x14ac:dyDescent="0.25">
      <c r="A299" t="s">
        <v>1413</v>
      </c>
      <c r="B299">
        <v>3</v>
      </c>
      <c r="C299">
        <v>4.8869999999999996</v>
      </c>
      <c r="D299" s="3">
        <v>4.8899999999999997</v>
      </c>
      <c r="E299" t="s">
        <v>267</v>
      </c>
      <c r="F299">
        <v>22599620</v>
      </c>
      <c r="G299" s="1">
        <v>9.5200000000000007E-2</v>
      </c>
      <c r="H299" s="1">
        <v>3.0980000000000001E-2</v>
      </c>
    </row>
    <row r="300" spans="1:8" x14ac:dyDescent="0.25">
      <c r="A300" t="s">
        <v>1413</v>
      </c>
      <c r="B300">
        <v>4</v>
      </c>
      <c r="C300">
        <v>6.1070000000000002</v>
      </c>
      <c r="D300" s="3">
        <v>6.11</v>
      </c>
      <c r="E300" t="s">
        <v>268</v>
      </c>
      <c r="F300">
        <v>2916285</v>
      </c>
      <c r="G300" s="1">
        <v>1.23E-2</v>
      </c>
      <c r="H300" s="1">
        <v>4.0000000000000001E-3</v>
      </c>
    </row>
    <row r="301" spans="1:8" x14ac:dyDescent="0.25">
      <c r="A301" t="s">
        <v>1413</v>
      </c>
      <c r="B301">
        <v>5</v>
      </c>
      <c r="C301">
        <v>6.266</v>
      </c>
      <c r="D301" s="3">
        <v>6.27</v>
      </c>
      <c r="E301" t="s">
        <v>269</v>
      </c>
      <c r="F301">
        <v>1307013</v>
      </c>
      <c r="G301" s="1">
        <v>5.4999999999999997E-3</v>
      </c>
      <c r="H301" s="1">
        <v>1.7899999999999999E-3</v>
      </c>
    </row>
    <row r="302" spans="1:8" x14ac:dyDescent="0.25">
      <c r="A302" t="s">
        <v>1413</v>
      </c>
      <c r="B302">
        <v>6</v>
      </c>
      <c r="C302">
        <v>6.3460000000000001</v>
      </c>
      <c r="D302" s="3">
        <v>6.35</v>
      </c>
      <c r="E302" t="s">
        <v>270</v>
      </c>
      <c r="F302">
        <v>1802467</v>
      </c>
      <c r="G302" s="1">
        <v>7.6E-3</v>
      </c>
      <c r="H302" s="1">
        <v>2.47E-3</v>
      </c>
    </row>
    <row r="303" spans="1:8" x14ac:dyDescent="0.25">
      <c r="A303" t="s">
        <v>1413</v>
      </c>
      <c r="B303">
        <v>7</v>
      </c>
      <c r="C303">
        <v>6.4930000000000003</v>
      </c>
      <c r="D303" s="3">
        <v>6.49</v>
      </c>
      <c r="E303" t="s">
        <v>271</v>
      </c>
      <c r="F303">
        <v>6664131</v>
      </c>
      <c r="G303" s="1">
        <v>2.81E-2</v>
      </c>
      <c r="H303" s="1">
        <v>9.1299999999999992E-3</v>
      </c>
    </row>
    <row r="304" spans="1:8" x14ac:dyDescent="0.25">
      <c r="A304" t="s">
        <v>1413</v>
      </c>
      <c r="B304">
        <v>8</v>
      </c>
      <c r="C304">
        <v>7.1230000000000002</v>
      </c>
      <c r="D304" s="3">
        <v>7.12</v>
      </c>
      <c r="E304" t="s">
        <v>272</v>
      </c>
      <c r="F304">
        <v>1077181</v>
      </c>
      <c r="G304" s="1">
        <v>4.4999999999999997E-3</v>
      </c>
      <c r="H304" s="1">
        <v>1.48E-3</v>
      </c>
    </row>
    <row r="305" spans="1:8" x14ac:dyDescent="0.25">
      <c r="A305" t="s">
        <v>1413</v>
      </c>
      <c r="B305">
        <v>9</v>
      </c>
      <c r="C305">
        <v>7.3559999999999999</v>
      </c>
      <c r="D305" s="3">
        <v>7.36</v>
      </c>
      <c r="E305" t="s">
        <v>273</v>
      </c>
      <c r="F305">
        <v>2154215</v>
      </c>
      <c r="G305" s="1">
        <v>9.1000000000000004E-3</v>
      </c>
      <c r="H305" s="1">
        <v>2.9499999999999999E-3</v>
      </c>
    </row>
    <row r="306" spans="1:8" x14ac:dyDescent="0.25">
      <c r="A306" t="s">
        <v>1413</v>
      </c>
      <c r="B306">
        <v>10</v>
      </c>
      <c r="C306">
        <v>7.8090000000000002</v>
      </c>
      <c r="D306" s="3">
        <v>7.81</v>
      </c>
      <c r="E306" t="s">
        <v>274</v>
      </c>
      <c r="F306">
        <v>1156677</v>
      </c>
      <c r="G306" s="1">
        <v>4.8999999999999998E-3</v>
      </c>
      <c r="H306" s="1">
        <v>1.5900000000000001E-3</v>
      </c>
    </row>
    <row r="307" spans="1:8" x14ac:dyDescent="0.25">
      <c r="A307" t="s">
        <v>1413</v>
      </c>
      <c r="B307">
        <v>11</v>
      </c>
      <c r="C307">
        <v>8.2170000000000005</v>
      </c>
      <c r="D307" s="3">
        <v>8.2200000000000006</v>
      </c>
      <c r="E307" t="s">
        <v>275</v>
      </c>
      <c r="F307">
        <v>2277503</v>
      </c>
      <c r="G307" s="1">
        <v>9.5999999999999992E-3</v>
      </c>
      <c r="H307" s="1">
        <v>3.1199999999999999E-3</v>
      </c>
    </row>
    <row r="308" spans="1:8" x14ac:dyDescent="0.25">
      <c r="A308" t="s">
        <v>1413</v>
      </c>
      <c r="B308">
        <v>12</v>
      </c>
      <c r="C308">
        <v>8.2739999999999991</v>
      </c>
      <c r="D308" s="3">
        <v>8.27</v>
      </c>
      <c r="E308" t="s">
        <v>276</v>
      </c>
      <c r="F308">
        <v>4127842</v>
      </c>
      <c r="G308" s="1">
        <v>1.7399999999999999E-2</v>
      </c>
      <c r="H308" s="1">
        <v>5.6600000000000001E-3</v>
      </c>
    </row>
    <row r="309" spans="1:8" x14ac:dyDescent="0.25">
      <c r="A309" t="s">
        <v>1413</v>
      </c>
      <c r="B309">
        <v>13</v>
      </c>
      <c r="C309">
        <v>8.6449999999999996</v>
      </c>
      <c r="D309" s="3">
        <v>8.65</v>
      </c>
      <c r="E309" t="s">
        <v>277</v>
      </c>
      <c r="F309">
        <v>3923370</v>
      </c>
      <c r="G309" s="1">
        <v>1.6500000000000001E-2</v>
      </c>
      <c r="H309" s="1">
        <v>5.3800000000000002E-3</v>
      </c>
    </row>
    <row r="310" spans="1:8" x14ac:dyDescent="0.25">
      <c r="A310" t="s">
        <v>1413</v>
      </c>
      <c r="B310">
        <v>14</v>
      </c>
      <c r="C310">
        <v>8.9160000000000004</v>
      </c>
      <c r="D310" s="3">
        <v>8.92</v>
      </c>
      <c r="E310" t="s">
        <v>278</v>
      </c>
      <c r="F310">
        <v>2380356</v>
      </c>
      <c r="G310" s="1">
        <v>0.01</v>
      </c>
      <c r="H310" s="1">
        <v>3.2599999999999999E-3</v>
      </c>
    </row>
    <row r="311" spans="1:8" x14ac:dyDescent="0.25">
      <c r="A311" t="s">
        <v>1413</v>
      </c>
      <c r="B311">
        <v>15</v>
      </c>
      <c r="C311">
        <v>9.1910000000000007</v>
      </c>
      <c r="D311" s="3">
        <v>9.19</v>
      </c>
      <c r="E311" t="s">
        <v>279</v>
      </c>
      <c r="F311">
        <v>1923011</v>
      </c>
      <c r="G311" s="1">
        <v>8.0999999999999996E-3</v>
      </c>
      <c r="H311" s="1">
        <v>2.64E-3</v>
      </c>
    </row>
    <row r="312" spans="1:8" x14ac:dyDescent="0.25">
      <c r="A312" t="s">
        <v>1413</v>
      </c>
      <c r="B312">
        <v>16</v>
      </c>
      <c r="C312">
        <v>9.2569999999999997</v>
      </c>
      <c r="D312" s="3">
        <v>9.26</v>
      </c>
      <c r="E312" t="s">
        <v>280</v>
      </c>
      <c r="F312">
        <v>9307965</v>
      </c>
      <c r="G312" s="1">
        <v>3.9199999999999999E-2</v>
      </c>
      <c r="H312" s="1">
        <v>1.2760000000000001E-2</v>
      </c>
    </row>
    <row r="313" spans="1:8" x14ac:dyDescent="0.25">
      <c r="A313" t="s">
        <v>1413</v>
      </c>
      <c r="B313">
        <v>17</v>
      </c>
      <c r="C313">
        <v>9.516</v>
      </c>
      <c r="D313" s="3">
        <v>9.52</v>
      </c>
      <c r="E313" t="s">
        <v>281</v>
      </c>
      <c r="F313">
        <v>2254882</v>
      </c>
      <c r="G313" s="1">
        <v>9.4999999999999998E-3</v>
      </c>
      <c r="H313" s="1">
        <v>3.0899999999999999E-3</v>
      </c>
    </row>
    <row r="314" spans="1:8" x14ac:dyDescent="0.25">
      <c r="A314" t="s">
        <v>1413</v>
      </c>
      <c r="B314">
        <v>18</v>
      </c>
      <c r="C314">
        <v>9.6549999999999994</v>
      </c>
      <c r="D314" s="3">
        <v>9.66</v>
      </c>
      <c r="E314" t="s">
        <v>282</v>
      </c>
      <c r="F314">
        <v>23680082</v>
      </c>
      <c r="G314" s="1">
        <v>9.98E-2</v>
      </c>
      <c r="H314" s="1">
        <v>3.2460000000000003E-2</v>
      </c>
    </row>
    <row r="315" spans="1:8" x14ac:dyDescent="0.25">
      <c r="A315" t="s">
        <v>1413</v>
      </c>
      <c r="B315">
        <v>19</v>
      </c>
      <c r="C315">
        <v>9.8339999999999996</v>
      </c>
      <c r="D315" s="3">
        <v>9.83</v>
      </c>
      <c r="E315">
        <v>48330</v>
      </c>
      <c r="F315">
        <v>1683552</v>
      </c>
      <c r="G315" s="1">
        <v>7.1000000000000004E-3</v>
      </c>
      <c r="H315" s="1">
        <v>2.31E-3</v>
      </c>
    </row>
    <row r="316" spans="1:8" x14ac:dyDescent="0.25">
      <c r="A316" t="s">
        <v>1413</v>
      </c>
      <c r="B316">
        <v>20</v>
      </c>
      <c r="C316">
        <v>10.292</v>
      </c>
      <c r="D316" s="3">
        <v>10.29</v>
      </c>
      <c r="E316" t="s">
        <v>283</v>
      </c>
      <c r="F316">
        <v>6923290</v>
      </c>
      <c r="G316" s="1">
        <v>2.92E-2</v>
      </c>
      <c r="H316" s="1">
        <v>9.4900000000000002E-3</v>
      </c>
    </row>
    <row r="317" spans="1:8" x14ac:dyDescent="0.25">
      <c r="A317" t="s">
        <v>1413</v>
      </c>
      <c r="B317">
        <v>21</v>
      </c>
      <c r="C317">
        <v>10.401</v>
      </c>
      <c r="D317" s="3">
        <v>10.4</v>
      </c>
      <c r="E317" t="s">
        <v>284</v>
      </c>
      <c r="F317">
        <v>6351326</v>
      </c>
      <c r="G317" s="1">
        <v>2.6800000000000001E-2</v>
      </c>
      <c r="H317" s="1">
        <v>8.7100000000000007E-3</v>
      </c>
    </row>
    <row r="318" spans="1:8" x14ac:dyDescent="0.25">
      <c r="A318" t="s">
        <v>1413</v>
      </c>
      <c r="B318">
        <v>22</v>
      </c>
      <c r="C318">
        <v>10.483000000000001</v>
      </c>
      <c r="D318" s="3">
        <v>10.48</v>
      </c>
      <c r="E318" t="s">
        <v>285</v>
      </c>
      <c r="F318">
        <v>1776590</v>
      </c>
      <c r="G318" s="1">
        <v>7.4999999999999997E-3</v>
      </c>
      <c r="H318" s="1">
        <v>2.4399999999999999E-3</v>
      </c>
    </row>
    <row r="319" spans="1:8" x14ac:dyDescent="0.25">
      <c r="A319" t="s">
        <v>1413</v>
      </c>
      <c r="B319">
        <v>23</v>
      </c>
      <c r="C319">
        <v>10.589</v>
      </c>
      <c r="D319" s="3">
        <v>10.59</v>
      </c>
      <c r="E319" t="s">
        <v>286</v>
      </c>
      <c r="F319">
        <v>3407874</v>
      </c>
      <c r="G319" s="1">
        <v>1.44E-2</v>
      </c>
      <c r="H319" s="1">
        <v>4.6699999999999997E-3</v>
      </c>
    </row>
    <row r="320" spans="1:8" x14ac:dyDescent="0.25">
      <c r="A320" t="s">
        <v>1413</v>
      </c>
      <c r="B320">
        <v>24</v>
      </c>
      <c r="C320">
        <v>10.760999999999999</v>
      </c>
      <c r="D320" s="3">
        <v>10.76</v>
      </c>
      <c r="E320" t="s">
        <v>287</v>
      </c>
      <c r="F320">
        <v>1070583</v>
      </c>
      <c r="G320" s="1">
        <v>4.4999999999999997E-3</v>
      </c>
      <c r="H320" s="1">
        <v>1.47E-3</v>
      </c>
    </row>
    <row r="321" spans="1:8" x14ac:dyDescent="0.25">
      <c r="A321" t="s">
        <v>1413</v>
      </c>
      <c r="B321">
        <v>25</v>
      </c>
      <c r="C321">
        <v>11.115</v>
      </c>
      <c r="D321" s="3">
        <v>11.12</v>
      </c>
      <c r="E321" t="s">
        <v>288</v>
      </c>
      <c r="F321">
        <v>1040827</v>
      </c>
      <c r="G321" s="1">
        <v>4.4000000000000003E-3</v>
      </c>
      <c r="H321" s="1">
        <v>1.4300000000000001E-3</v>
      </c>
    </row>
    <row r="322" spans="1:8" x14ac:dyDescent="0.25">
      <c r="A322" t="s">
        <v>1413</v>
      </c>
      <c r="B322">
        <v>26</v>
      </c>
      <c r="C322">
        <v>11.212999999999999</v>
      </c>
      <c r="D322" s="3">
        <v>11.21</v>
      </c>
      <c r="E322" t="s">
        <v>289</v>
      </c>
      <c r="F322">
        <v>4772498</v>
      </c>
      <c r="G322" s="1">
        <v>2.01E-2</v>
      </c>
      <c r="H322" s="1">
        <v>6.5399999999999998E-3</v>
      </c>
    </row>
    <row r="323" spans="1:8" x14ac:dyDescent="0.25">
      <c r="A323" t="s">
        <v>1413</v>
      </c>
      <c r="B323">
        <v>27</v>
      </c>
      <c r="C323">
        <v>11.412000000000001</v>
      </c>
      <c r="D323" s="3">
        <v>11.41</v>
      </c>
      <c r="E323" t="s">
        <v>290</v>
      </c>
      <c r="F323">
        <v>1077474</v>
      </c>
      <c r="G323" s="1">
        <v>4.4999999999999997E-3</v>
      </c>
      <c r="H323" s="1">
        <v>1.48E-3</v>
      </c>
    </row>
    <row r="324" spans="1:8" x14ac:dyDescent="0.25">
      <c r="A324" t="s">
        <v>1413</v>
      </c>
      <c r="B324">
        <v>28</v>
      </c>
      <c r="C324">
        <v>11.548</v>
      </c>
      <c r="D324" s="3">
        <v>11.55</v>
      </c>
      <c r="E324" t="s">
        <v>291</v>
      </c>
      <c r="F324">
        <v>2621285</v>
      </c>
      <c r="G324" s="1">
        <v>1.0999999999999999E-2</v>
      </c>
      <c r="H324" s="1">
        <v>3.5899999999999999E-3</v>
      </c>
    </row>
    <row r="325" spans="1:8" x14ac:dyDescent="0.25">
      <c r="A325" t="s">
        <v>1413</v>
      </c>
      <c r="B325">
        <v>29</v>
      </c>
      <c r="C325">
        <v>11.625</v>
      </c>
      <c r="D325" s="3">
        <v>11.63</v>
      </c>
      <c r="E325" t="s">
        <v>292</v>
      </c>
      <c r="F325">
        <v>2596578</v>
      </c>
      <c r="G325" s="1">
        <v>1.09E-2</v>
      </c>
      <c r="H325" s="1">
        <v>3.5599999999999998E-3</v>
      </c>
    </row>
    <row r="326" spans="1:8" x14ac:dyDescent="0.25">
      <c r="A326" t="s">
        <v>1413</v>
      </c>
      <c r="B326">
        <v>30</v>
      </c>
      <c r="C326">
        <v>11.773999999999999</v>
      </c>
      <c r="D326" s="3">
        <v>11.77</v>
      </c>
      <c r="E326" t="s">
        <v>293</v>
      </c>
      <c r="F326">
        <v>1225822</v>
      </c>
      <c r="G326" s="1">
        <v>5.1999999999999998E-3</v>
      </c>
      <c r="H326" s="1">
        <v>1.6800000000000001E-3</v>
      </c>
    </row>
    <row r="327" spans="1:8" x14ac:dyDescent="0.25">
      <c r="A327" t="s">
        <v>1413</v>
      </c>
      <c r="B327">
        <v>31</v>
      </c>
      <c r="C327">
        <v>11.907</v>
      </c>
      <c r="D327" s="3">
        <v>11.91</v>
      </c>
      <c r="E327" t="s">
        <v>294</v>
      </c>
      <c r="F327">
        <v>2256467</v>
      </c>
      <c r="G327" s="1">
        <v>9.4999999999999998E-3</v>
      </c>
      <c r="H327" s="1">
        <v>3.0899999999999999E-3</v>
      </c>
    </row>
    <row r="328" spans="1:8" x14ac:dyDescent="0.25">
      <c r="A328" t="s">
        <v>1413</v>
      </c>
      <c r="B328">
        <v>32</v>
      </c>
      <c r="C328">
        <v>12.148</v>
      </c>
      <c r="D328" s="3">
        <v>12.15</v>
      </c>
      <c r="E328" t="s">
        <v>295</v>
      </c>
      <c r="F328">
        <v>1048601</v>
      </c>
      <c r="G328" s="1">
        <v>4.4000000000000003E-3</v>
      </c>
      <c r="H328" s="1">
        <v>1.4400000000000001E-3</v>
      </c>
    </row>
    <row r="329" spans="1:8" x14ac:dyDescent="0.25">
      <c r="A329" t="s">
        <v>1413</v>
      </c>
      <c r="B329">
        <v>33</v>
      </c>
      <c r="C329">
        <v>12.231999999999999</v>
      </c>
      <c r="D329" s="3">
        <v>12.23</v>
      </c>
      <c r="E329" t="s">
        <v>296</v>
      </c>
      <c r="F329">
        <v>2723802</v>
      </c>
      <c r="G329" s="1">
        <v>1.15E-2</v>
      </c>
      <c r="H329" s="1">
        <v>3.7299999999999998E-3</v>
      </c>
    </row>
    <row r="330" spans="1:8" x14ac:dyDescent="0.25">
      <c r="A330" t="s">
        <v>1413</v>
      </c>
      <c r="B330">
        <v>34</v>
      </c>
      <c r="C330">
        <v>12.305999999999999</v>
      </c>
      <c r="D330" s="3">
        <v>12.31</v>
      </c>
      <c r="E330" t="s">
        <v>297</v>
      </c>
      <c r="F330">
        <v>2133784</v>
      </c>
      <c r="G330" s="1">
        <v>8.9999999999999993E-3</v>
      </c>
      <c r="H330" s="1">
        <v>2.9199999999999999E-3</v>
      </c>
    </row>
    <row r="331" spans="1:8" x14ac:dyDescent="0.25">
      <c r="A331" t="s">
        <v>1413</v>
      </c>
      <c r="B331">
        <v>35</v>
      </c>
      <c r="C331">
        <v>12.516</v>
      </c>
      <c r="D331" s="3">
        <v>12.52</v>
      </c>
      <c r="E331" t="s">
        <v>298</v>
      </c>
      <c r="F331">
        <v>3023683</v>
      </c>
      <c r="G331" s="1">
        <v>1.2699999999999999E-2</v>
      </c>
      <c r="H331" s="1">
        <v>4.1399999999999996E-3</v>
      </c>
    </row>
    <row r="332" spans="1:8" x14ac:dyDescent="0.25">
      <c r="A332" t="s">
        <v>1413</v>
      </c>
      <c r="B332">
        <v>36</v>
      </c>
      <c r="C332">
        <v>12.593</v>
      </c>
      <c r="D332" s="3">
        <v>12.59</v>
      </c>
      <c r="E332" t="s">
        <v>299</v>
      </c>
      <c r="F332">
        <v>2138404</v>
      </c>
      <c r="G332" s="1">
        <v>8.9999999999999993E-3</v>
      </c>
      <c r="H332" s="1">
        <v>2.9299999999999999E-3</v>
      </c>
    </row>
    <row r="333" spans="1:8" x14ac:dyDescent="0.25">
      <c r="A333" t="s">
        <v>1413</v>
      </c>
      <c r="B333">
        <v>37</v>
      </c>
      <c r="C333">
        <v>12.629</v>
      </c>
      <c r="D333" s="3">
        <v>12.63</v>
      </c>
      <c r="E333" t="s">
        <v>300</v>
      </c>
      <c r="F333">
        <v>2528347</v>
      </c>
      <c r="G333" s="1">
        <v>1.0699999999999999E-2</v>
      </c>
      <c r="H333" s="1">
        <v>3.47E-3</v>
      </c>
    </row>
    <row r="334" spans="1:8" x14ac:dyDescent="0.25">
      <c r="A334" t="s">
        <v>1413</v>
      </c>
      <c r="B334">
        <v>38</v>
      </c>
      <c r="C334">
        <v>12.702999999999999</v>
      </c>
      <c r="D334" s="3">
        <v>12.7</v>
      </c>
      <c r="E334" t="s">
        <v>301</v>
      </c>
      <c r="F334">
        <v>3622133</v>
      </c>
      <c r="G334" s="1">
        <v>1.5299999999999999E-2</v>
      </c>
      <c r="H334" s="1">
        <v>4.96E-3</v>
      </c>
    </row>
    <row r="335" spans="1:8" x14ac:dyDescent="0.25">
      <c r="A335" t="s">
        <v>1413</v>
      </c>
      <c r="B335">
        <v>39</v>
      </c>
      <c r="C335">
        <v>12.843</v>
      </c>
      <c r="D335" s="3">
        <v>12.84</v>
      </c>
      <c r="E335" t="s">
        <v>302</v>
      </c>
      <c r="F335">
        <v>45395300</v>
      </c>
      <c r="G335" s="1">
        <v>0.1913</v>
      </c>
      <c r="H335" s="1">
        <v>6.2219999999999998E-2</v>
      </c>
    </row>
    <row r="336" spans="1:8" x14ac:dyDescent="0.25">
      <c r="A336" t="s">
        <v>1413</v>
      </c>
      <c r="B336">
        <v>40</v>
      </c>
      <c r="C336">
        <v>13.163</v>
      </c>
      <c r="D336" s="3">
        <v>13.16</v>
      </c>
      <c r="E336" t="s">
        <v>303</v>
      </c>
      <c r="F336">
        <v>1341741</v>
      </c>
      <c r="G336" s="1">
        <v>5.7000000000000002E-3</v>
      </c>
      <c r="H336" s="1">
        <v>1.8400000000000001E-3</v>
      </c>
    </row>
    <row r="337" spans="1:8" x14ac:dyDescent="0.25">
      <c r="A337" t="s">
        <v>1413</v>
      </c>
      <c r="B337">
        <v>41</v>
      </c>
      <c r="C337">
        <v>13.228999999999999</v>
      </c>
      <c r="D337" s="3">
        <v>13.23</v>
      </c>
      <c r="E337" t="s">
        <v>304</v>
      </c>
      <c r="F337">
        <v>3235939</v>
      </c>
      <c r="G337" s="1">
        <v>1.3599999999999999E-2</v>
      </c>
      <c r="H337" s="1">
        <v>4.4400000000000004E-3</v>
      </c>
    </row>
    <row r="338" spans="1:8" x14ac:dyDescent="0.25">
      <c r="A338" t="s">
        <v>1413</v>
      </c>
      <c r="B338">
        <v>42</v>
      </c>
      <c r="C338">
        <v>13.456</v>
      </c>
      <c r="D338" s="3">
        <v>13.46</v>
      </c>
      <c r="E338" t="s">
        <v>305</v>
      </c>
      <c r="F338">
        <v>1849123</v>
      </c>
      <c r="G338" s="1">
        <v>7.7999999999999996E-3</v>
      </c>
      <c r="H338" s="1">
        <v>2.5300000000000001E-3</v>
      </c>
    </row>
    <row r="339" spans="1:8" x14ac:dyDescent="0.25">
      <c r="A339" t="s">
        <v>1413</v>
      </c>
      <c r="B339">
        <v>43</v>
      </c>
      <c r="C339">
        <v>13.566000000000001</v>
      </c>
      <c r="D339" s="3">
        <v>13.57</v>
      </c>
      <c r="E339" t="s">
        <v>306</v>
      </c>
      <c r="F339">
        <v>1796526</v>
      </c>
      <c r="G339" s="1">
        <v>7.6E-3</v>
      </c>
      <c r="H339" s="1">
        <v>2.4599999999999999E-3</v>
      </c>
    </row>
    <row r="340" spans="1:8" x14ac:dyDescent="0.25">
      <c r="A340" t="s">
        <v>1413</v>
      </c>
      <c r="B340">
        <v>44</v>
      </c>
      <c r="C340">
        <v>13.635</v>
      </c>
      <c r="D340" s="3">
        <v>13.64</v>
      </c>
      <c r="E340" t="s">
        <v>307</v>
      </c>
      <c r="F340">
        <v>1045817</v>
      </c>
      <c r="G340" s="1">
        <v>4.4000000000000003E-3</v>
      </c>
      <c r="H340" s="1">
        <v>1.4300000000000001E-3</v>
      </c>
    </row>
    <row r="341" spans="1:8" x14ac:dyDescent="0.25">
      <c r="A341" t="s">
        <v>1413</v>
      </c>
      <c r="B341">
        <v>45</v>
      </c>
      <c r="C341">
        <v>13.698</v>
      </c>
      <c r="D341" s="3">
        <v>13.7</v>
      </c>
      <c r="E341" t="s">
        <v>308</v>
      </c>
      <c r="F341">
        <v>1101206</v>
      </c>
      <c r="G341" s="1">
        <v>4.5999999999999999E-3</v>
      </c>
      <c r="H341" s="1">
        <v>1.5100000000000001E-3</v>
      </c>
    </row>
    <row r="342" spans="1:8" x14ac:dyDescent="0.25">
      <c r="A342" t="s">
        <v>1413</v>
      </c>
      <c r="B342">
        <v>46</v>
      </c>
      <c r="C342">
        <v>14.404999999999999</v>
      </c>
      <c r="D342" s="3">
        <v>14.41</v>
      </c>
      <c r="E342" t="s">
        <v>309</v>
      </c>
      <c r="F342">
        <v>1813352</v>
      </c>
      <c r="G342" s="1">
        <v>7.6E-3</v>
      </c>
      <c r="H342" s="1">
        <v>2.49E-3</v>
      </c>
    </row>
    <row r="343" spans="1:8" x14ac:dyDescent="0.25">
      <c r="A343" t="s">
        <v>1413</v>
      </c>
      <c r="B343">
        <v>47</v>
      </c>
      <c r="C343">
        <v>14.523</v>
      </c>
      <c r="D343" s="3">
        <v>14.52</v>
      </c>
      <c r="E343" t="s">
        <v>310</v>
      </c>
      <c r="F343">
        <v>3727729</v>
      </c>
      <c r="G343" s="1">
        <v>1.5699999999999999E-2</v>
      </c>
      <c r="H343" s="1">
        <v>5.11E-3</v>
      </c>
    </row>
    <row r="344" spans="1:8" x14ac:dyDescent="0.25">
      <c r="A344" t="s">
        <v>1413</v>
      </c>
      <c r="B344">
        <v>48</v>
      </c>
      <c r="C344">
        <v>14.587999999999999</v>
      </c>
      <c r="D344" s="3">
        <v>14.59</v>
      </c>
      <c r="E344" t="s">
        <v>311</v>
      </c>
      <c r="F344">
        <v>1209527</v>
      </c>
      <c r="G344" s="1">
        <v>5.1000000000000004E-3</v>
      </c>
      <c r="H344" s="1">
        <v>1.66E-3</v>
      </c>
    </row>
    <row r="345" spans="1:8" x14ac:dyDescent="0.25">
      <c r="A345" t="s">
        <v>1413</v>
      </c>
      <c r="B345">
        <v>49</v>
      </c>
      <c r="C345">
        <v>14.83</v>
      </c>
      <c r="D345" s="3">
        <v>14.83</v>
      </c>
      <c r="E345" t="s">
        <v>312</v>
      </c>
      <c r="F345">
        <v>1390436</v>
      </c>
      <c r="G345" s="1">
        <v>5.8999999999999999E-3</v>
      </c>
      <c r="H345" s="1">
        <v>1.91E-3</v>
      </c>
    </row>
    <row r="346" spans="1:8" x14ac:dyDescent="0.25">
      <c r="A346" t="s">
        <v>1413</v>
      </c>
      <c r="B346">
        <v>50</v>
      </c>
      <c r="C346">
        <v>15.349</v>
      </c>
      <c r="D346" s="3">
        <v>15.35</v>
      </c>
      <c r="E346" t="s">
        <v>313</v>
      </c>
      <c r="F346">
        <v>1306438</v>
      </c>
      <c r="G346" s="1">
        <v>5.4999999999999997E-3</v>
      </c>
      <c r="H346" s="1">
        <v>1.7899999999999999E-3</v>
      </c>
    </row>
    <row r="347" spans="1:8" x14ac:dyDescent="0.25">
      <c r="A347" t="s">
        <v>1413</v>
      </c>
      <c r="B347">
        <v>51</v>
      </c>
      <c r="C347">
        <v>15.414999999999999</v>
      </c>
      <c r="D347" s="3">
        <v>15.42</v>
      </c>
      <c r="E347" t="s">
        <v>314</v>
      </c>
      <c r="F347">
        <v>2502917</v>
      </c>
      <c r="G347" s="1">
        <v>1.0500000000000001E-2</v>
      </c>
      <c r="H347" s="1">
        <v>3.4299999999999999E-3</v>
      </c>
    </row>
    <row r="348" spans="1:8" x14ac:dyDescent="0.25">
      <c r="A348" t="s">
        <v>1413</v>
      </c>
      <c r="B348">
        <v>52</v>
      </c>
      <c r="C348">
        <v>15.47</v>
      </c>
      <c r="D348" s="3">
        <v>15.47</v>
      </c>
      <c r="E348" t="s">
        <v>315</v>
      </c>
      <c r="F348">
        <v>2804530</v>
      </c>
      <c r="G348" s="1">
        <v>1.18E-2</v>
      </c>
      <c r="H348" s="1">
        <v>3.8400000000000001E-3</v>
      </c>
    </row>
    <row r="349" spans="1:8" x14ac:dyDescent="0.25">
      <c r="A349" t="s">
        <v>1413</v>
      </c>
      <c r="B349">
        <v>53</v>
      </c>
      <c r="C349">
        <v>15.574</v>
      </c>
      <c r="D349" s="3">
        <v>15.57</v>
      </c>
      <c r="E349" t="s">
        <v>316</v>
      </c>
      <c r="F349">
        <v>1612645</v>
      </c>
      <c r="G349" s="1">
        <v>6.7999999999999996E-3</v>
      </c>
      <c r="H349" s="1">
        <v>2.2100000000000002E-3</v>
      </c>
    </row>
    <row r="350" spans="1:8" x14ac:dyDescent="0.25">
      <c r="A350" t="s">
        <v>1413</v>
      </c>
      <c r="B350">
        <v>54</v>
      </c>
      <c r="C350">
        <v>15.714</v>
      </c>
      <c r="D350" s="3">
        <v>15.71</v>
      </c>
      <c r="E350" t="s">
        <v>317</v>
      </c>
      <c r="F350">
        <v>3333479</v>
      </c>
      <c r="G350" s="1">
        <v>1.4E-2</v>
      </c>
      <c r="H350" s="1">
        <v>4.5700000000000003E-3</v>
      </c>
    </row>
    <row r="351" spans="1:8" x14ac:dyDescent="0.25">
      <c r="A351" t="s">
        <v>1413</v>
      </c>
      <c r="B351">
        <v>55</v>
      </c>
      <c r="C351">
        <v>15.877000000000001</v>
      </c>
      <c r="D351" s="3">
        <v>15.88</v>
      </c>
      <c r="E351" t="s">
        <v>318</v>
      </c>
      <c r="F351">
        <v>10762449</v>
      </c>
      <c r="G351" s="1">
        <v>4.5400000000000003E-2</v>
      </c>
      <c r="H351" s="1">
        <v>1.4749999999999999E-2</v>
      </c>
    </row>
    <row r="352" spans="1:8" x14ac:dyDescent="0.25">
      <c r="A352" t="s">
        <v>1413</v>
      </c>
      <c r="B352">
        <v>56</v>
      </c>
      <c r="C352">
        <v>16.117000000000001</v>
      </c>
      <c r="D352" s="3">
        <v>16.12</v>
      </c>
      <c r="E352" t="s">
        <v>319</v>
      </c>
      <c r="F352">
        <v>1125008</v>
      </c>
      <c r="G352" s="1">
        <v>4.7000000000000002E-3</v>
      </c>
      <c r="H352" s="1">
        <v>1.5399999999999999E-3</v>
      </c>
    </row>
    <row r="353" spans="1:8" x14ac:dyDescent="0.25">
      <c r="A353" t="s">
        <v>1413</v>
      </c>
      <c r="B353">
        <v>57</v>
      </c>
      <c r="C353">
        <v>16.664000000000001</v>
      </c>
      <c r="D353" s="3">
        <v>16.66</v>
      </c>
      <c r="E353" t="s">
        <v>320</v>
      </c>
      <c r="F353">
        <v>5543986</v>
      </c>
      <c r="G353" s="1">
        <v>2.3400000000000001E-2</v>
      </c>
      <c r="H353" s="1">
        <v>7.6E-3</v>
      </c>
    </row>
    <row r="354" spans="1:8" x14ac:dyDescent="0.25">
      <c r="A354" t="s">
        <v>1413</v>
      </c>
      <c r="B354">
        <v>58</v>
      </c>
      <c r="C354">
        <v>16.765000000000001</v>
      </c>
      <c r="D354" s="3">
        <v>16.77</v>
      </c>
      <c r="E354" t="s">
        <v>321</v>
      </c>
      <c r="F354">
        <v>2590737</v>
      </c>
      <c r="G354" s="1">
        <v>1.09E-2</v>
      </c>
      <c r="H354" s="1">
        <v>3.5500000000000002E-3</v>
      </c>
    </row>
    <row r="355" spans="1:8" x14ac:dyDescent="0.25">
      <c r="A355" t="s">
        <v>1413</v>
      </c>
      <c r="B355">
        <v>59</v>
      </c>
      <c r="C355">
        <v>17.204000000000001</v>
      </c>
      <c r="D355" s="3">
        <v>17.2</v>
      </c>
      <c r="E355" t="s">
        <v>322</v>
      </c>
      <c r="F355">
        <v>237312184</v>
      </c>
      <c r="G355" s="1">
        <v>0</v>
      </c>
      <c r="H355" s="1">
        <v>0.32528000000000001</v>
      </c>
    </row>
    <row r="356" spans="1:8" x14ac:dyDescent="0.25">
      <c r="A356" t="s">
        <v>1413</v>
      </c>
      <c r="B356">
        <v>60</v>
      </c>
      <c r="C356">
        <v>17.277999999999999</v>
      </c>
      <c r="D356" s="3">
        <v>17.28</v>
      </c>
      <c r="E356" t="s">
        <v>323</v>
      </c>
      <c r="F356">
        <v>1756701</v>
      </c>
      <c r="G356" s="1">
        <v>7.4000000000000003E-3</v>
      </c>
      <c r="H356" s="1">
        <v>2.4099999999999998E-3</v>
      </c>
    </row>
    <row r="357" spans="1:8" x14ac:dyDescent="0.25">
      <c r="A357" t="s">
        <v>1413</v>
      </c>
      <c r="B357">
        <v>61</v>
      </c>
      <c r="C357">
        <v>17.376999999999999</v>
      </c>
      <c r="D357" s="3">
        <v>17.38</v>
      </c>
      <c r="E357" t="s">
        <v>324</v>
      </c>
      <c r="F357">
        <v>2016912</v>
      </c>
      <c r="G357" s="1">
        <v>8.5000000000000006E-3</v>
      </c>
      <c r="H357" s="1">
        <v>2.7599999999999999E-3</v>
      </c>
    </row>
    <row r="358" spans="1:8" x14ac:dyDescent="0.25">
      <c r="A358" t="s">
        <v>1413</v>
      </c>
      <c r="B358">
        <v>62</v>
      </c>
      <c r="C358">
        <v>17.457000000000001</v>
      </c>
      <c r="D358" s="3">
        <v>17.46</v>
      </c>
      <c r="E358" t="s">
        <v>325</v>
      </c>
      <c r="F358">
        <v>18632261</v>
      </c>
      <c r="G358" s="1">
        <v>7.85E-2</v>
      </c>
      <c r="H358" s="1">
        <v>2.554E-2</v>
      </c>
    </row>
    <row r="359" spans="1:8" x14ac:dyDescent="0.25">
      <c r="A359" t="s">
        <v>1413</v>
      </c>
      <c r="B359">
        <v>63</v>
      </c>
      <c r="C359">
        <v>17.552</v>
      </c>
      <c r="D359" s="3">
        <v>17.55</v>
      </c>
      <c r="E359" t="s">
        <v>326</v>
      </c>
      <c r="F359">
        <v>2292558</v>
      </c>
      <c r="G359" s="1">
        <v>9.7000000000000003E-3</v>
      </c>
      <c r="H359" s="1">
        <v>3.14E-3</v>
      </c>
    </row>
    <row r="360" spans="1:8" x14ac:dyDescent="0.25">
      <c r="A360" t="s">
        <v>1413</v>
      </c>
      <c r="B360">
        <v>64</v>
      </c>
      <c r="C360">
        <v>17.728000000000002</v>
      </c>
      <c r="D360" s="3">
        <v>17.73</v>
      </c>
      <c r="E360" t="s">
        <v>327</v>
      </c>
      <c r="F360">
        <v>1429312</v>
      </c>
      <c r="G360" s="1">
        <v>6.0000000000000001E-3</v>
      </c>
      <c r="H360" s="1">
        <v>1.9599999999999999E-3</v>
      </c>
    </row>
    <row r="361" spans="1:8" x14ac:dyDescent="0.25">
      <c r="A361" t="s">
        <v>1413</v>
      </c>
      <c r="B361">
        <v>65</v>
      </c>
      <c r="C361">
        <v>17.808</v>
      </c>
      <c r="D361" s="3">
        <v>17.809999999999999</v>
      </c>
      <c r="E361" t="s">
        <v>328</v>
      </c>
      <c r="F361">
        <v>2561231</v>
      </c>
      <c r="G361" s="1">
        <v>1.0800000000000001E-2</v>
      </c>
      <c r="H361" s="1">
        <v>3.5100000000000001E-3</v>
      </c>
    </row>
    <row r="362" spans="1:8" x14ac:dyDescent="0.25">
      <c r="A362" t="s">
        <v>1413</v>
      </c>
      <c r="B362">
        <v>66</v>
      </c>
      <c r="C362">
        <v>17.925999999999998</v>
      </c>
      <c r="D362" s="3">
        <v>17.93</v>
      </c>
      <c r="E362" t="s">
        <v>329</v>
      </c>
      <c r="F362">
        <v>1925594</v>
      </c>
      <c r="G362" s="1">
        <v>8.0999999999999996E-3</v>
      </c>
      <c r="H362" s="1">
        <v>2.64E-3</v>
      </c>
    </row>
    <row r="363" spans="1:8" x14ac:dyDescent="0.25">
      <c r="A363" t="s">
        <v>1413</v>
      </c>
      <c r="B363">
        <v>67</v>
      </c>
      <c r="C363">
        <v>18.061</v>
      </c>
      <c r="D363" s="3">
        <v>18.059999999999999</v>
      </c>
      <c r="E363" t="s">
        <v>330</v>
      </c>
      <c r="F363">
        <v>2274533</v>
      </c>
      <c r="G363" s="1">
        <v>9.5999999999999992E-3</v>
      </c>
      <c r="H363" s="1">
        <v>3.1199999999999999E-3</v>
      </c>
    </row>
    <row r="364" spans="1:8" x14ac:dyDescent="0.25">
      <c r="A364" t="s">
        <v>1413</v>
      </c>
      <c r="B364">
        <v>68</v>
      </c>
      <c r="C364">
        <v>18.305</v>
      </c>
      <c r="D364" s="3">
        <v>18.309999999999999</v>
      </c>
      <c r="E364" t="s">
        <v>331</v>
      </c>
      <c r="F364">
        <v>4030649</v>
      </c>
      <c r="G364" s="1">
        <v>1.7000000000000001E-2</v>
      </c>
      <c r="H364" s="1">
        <v>5.5199999999999997E-3</v>
      </c>
    </row>
    <row r="365" spans="1:8" x14ac:dyDescent="0.25">
      <c r="A365" t="s">
        <v>1413</v>
      </c>
      <c r="B365">
        <v>69</v>
      </c>
      <c r="C365">
        <v>18.460999999999999</v>
      </c>
      <c r="D365" s="3">
        <v>18.46</v>
      </c>
      <c r="E365" t="s">
        <v>332</v>
      </c>
      <c r="F365">
        <v>1646309</v>
      </c>
      <c r="G365" s="1">
        <v>6.8999999999999999E-3</v>
      </c>
      <c r="H365" s="1">
        <v>2.2599999999999999E-3</v>
      </c>
    </row>
    <row r="366" spans="1:8" x14ac:dyDescent="0.25">
      <c r="A366" t="s">
        <v>1413</v>
      </c>
      <c r="B366">
        <v>70</v>
      </c>
      <c r="C366">
        <v>18.53</v>
      </c>
      <c r="D366" s="3">
        <v>18.53</v>
      </c>
      <c r="E366" t="s">
        <v>333</v>
      </c>
      <c r="F366">
        <v>1447764</v>
      </c>
      <c r="G366" s="1">
        <v>6.1000000000000004E-3</v>
      </c>
      <c r="H366" s="1">
        <v>1.98E-3</v>
      </c>
    </row>
    <row r="367" spans="1:8" x14ac:dyDescent="0.25">
      <c r="A367" t="s">
        <v>1413</v>
      </c>
      <c r="B367">
        <v>71</v>
      </c>
      <c r="C367">
        <v>18.731000000000002</v>
      </c>
      <c r="D367" s="3">
        <v>18.73</v>
      </c>
      <c r="E367" t="s">
        <v>334</v>
      </c>
      <c r="F367">
        <v>2385219</v>
      </c>
      <c r="G367" s="1">
        <v>1.01E-2</v>
      </c>
      <c r="H367" s="1">
        <v>3.2699999999999999E-3</v>
      </c>
    </row>
    <row r="368" spans="1:8" x14ac:dyDescent="0.25">
      <c r="A368" t="s">
        <v>1413</v>
      </c>
      <c r="B368">
        <v>72</v>
      </c>
      <c r="C368">
        <v>18.844999999999999</v>
      </c>
      <c r="D368" s="3">
        <v>18.850000000000001</v>
      </c>
      <c r="E368" t="s">
        <v>335</v>
      </c>
      <c r="F368">
        <v>4610424</v>
      </c>
      <c r="G368" s="1">
        <v>1.9400000000000001E-2</v>
      </c>
      <c r="H368" s="1">
        <v>6.3200000000000001E-3</v>
      </c>
    </row>
    <row r="369" spans="1:8" x14ac:dyDescent="0.25">
      <c r="A369" t="s">
        <v>1413</v>
      </c>
      <c r="B369">
        <v>73</v>
      </c>
      <c r="C369">
        <v>20.227</v>
      </c>
      <c r="D369" s="3">
        <v>20.23</v>
      </c>
      <c r="E369" t="s">
        <v>336</v>
      </c>
      <c r="F369">
        <v>4740192</v>
      </c>
      <c r="G369" s="1">
        <v>0.02</v>
      </c>
      <c r="H369" s="1">
        <v>6.4999999999999997E-3</v>
      </c>
    </row>
    <row r="370" spans="1:8" x14ac:dyDescent="0.25">
      <c r="A370" t="s">
        <v>1413</v>
      </c>
      <c r="B370">
        <v>74</v>
      </c>
      <c r="C370">
        <v>20.654</v>
      </c>
      <c r="D370" s="3">
        <v>20.65</v>
      </c>
      <c r="E370" t="s">
        <v>337</v>
      </c>
      <c r="F370">
        <v>2783990</v>
      </c>
      <c r="G370" s="1">
        <v>1.17E-2</v>
      </c>
      <c r="H370" s="1">
        <v>3.82E-3</v>
      </c>
    </row>
    <row r="371" spans="1:8" x14ac:dyDescent="0.25">
      <c r="A371" t="s">
        <v>1413</v>
      </c>
      <c r="B371">
        <v>75</v>
      </c>
      <c r="C371">
        <v>20.88</v>
      </c>
      <c r="D371" s="3">
        <v>20.88</v>
      </c>
      <c r="E371" t="s">
        <v>338</v>
      </c>
      <c r="F371">
        <v>1038370</v>
      </c>
      <c r="G371" s="1">
        <v>4.4000000000000003E-3</v>
      </c>
      <c r="H371" s="1">
        <v>1.42E-3</v>
      </c>
    </row>
    <row r="372" spans="1:8" x14ac:dyDescent="0.25">
      <c r="A372" t="s">
        <v>1413</v>
      </c>
      <c r="B372">
        <v>76</v>
      </c>
      <c r="C372">
        <v>20.966999999999999</v>
      </c>
      <c r="D372" s="3">
        <v>20.97</v>
      </c>
      <c r="E372" t="s">
        <v>339</v>
      </c>
      <c r="F372">
        <v>3858208</v>
      </c>
      <c r="G372" s="1">
        <v>1.6299999999999999E-2</v>
      </c>
      <c r="H372" s="1">
        <v>5.2900000000000004E-3</v>
      </c>
    </row>
    <row r="373" spans="1:8" x14ac:dyDescent="0.25">
      <c r="A373" t="s">
        <v>1413</v>
      </c>
      <c r="B373">
        <v>77</v>
      </c>
      <c r="C373">
        <v>21.175999999999998</v>
      </c>
      <c r="D373" s="3">
        <v>21.18</v>
      </c>
      <c r="E373" t="s">
        <v>340</v>
      </c>
      <c r="F373">
        <v>2465074</v>
      </c>
      <c r="G373" s="1">
        <v>1.04E-2</v>
      </c>
      <c r="H373" s="1">
        <v>3.3800000000000002E-3</v>
      </c>
    </row>
    <row r="374" spans="1:8" x14ac:dyDescent="0.25">
      <c r="A374" t="s">
        <v>1413</v>
      </c>
      <c r="B374">
        <v>78</v>
      </c>
      <c r="C374">
        <v>21.4</v>
      </c>
      <c r="D374" s="3">
        <v>21.4</v>
      </c>
      <c r="E374" t="s">
        <v>341</v>
      </c>
      <c r="F374">
        <v>1759113</v>
      </c>
      <c r="G374" s="1">
        <v>7.4000000000000003E-3</v>
      </c>
      <c r="H374" s="1">
        <v>2.4099999999999998E-3</v>
      </c>
    </row>
    <row r="375" spans="1:8" x14ac:dyDescent="0.25">
      <c r="A375" t="s">
        <v>1413</v>
      </c>
      <c r="B375">
        <v>79</v>
      </c>
      <c r="C375">
        <v>22.513000000000002</v>
      </c>
      <c r="D375" s="3">
        <v>22.51</v>
      </c>
      <c r="E375" t="s">
        <v>342</v>
      </c>
      <c r="F375">
        <v>1111859</v>
      </c>
      <c r="G375" s="1">
        <v>4.7000000000000002E-3</v>
      </c>
      <c r="H375" s="1">
        <v>1.5200000000000001E-3</v>
      </c>
    </row>
    <row r="376" spans="1:8" x14ac:dyDescent="0.25">
      <c r="A376" t="s">
        <v>1413</v>
      </c>
      <c r="B376">
        <v>80</v>
      </c>
      <c r="C376">
        <v>23.475999999999999</v>
      </c>
      <c r="D376" s="3">
        <v>23.48</v>
      </c>
      <c r="E376" t="s">
        <v>343</v>
      </c>
      <c r="F376">
        <v>6630082</v>
      </c>
      <c r="G376" s="1">
        <v>2.7900000000000001E-2</v>
      </c>
      <c r="H376" s="1">
        <v>9.0900000000000009E-3</v>
      </c>
    </row>
    <row r="377" spans="1:8" x14ac:dyDescent="0.25">
      <c r="A377" t="s">
        <v>1413</v>
      </c>
      <c r="B377">
        <v>81</v>
      </c>
      <c r="C377">
        <v>23.667999999999999</v>
      </c>
      <c r="D377" s="3">
        <v>23.67</v>
      </c>
      <c r="E377" t="s">
        <v>344</v>
      </c>
      <c r="F377">
        <v>2517975</v>
      </c>
      <c r="G377" s="1">
        <v>1.06E-2</v>
      </c>
      <c r="H377" s="1">
        <v>3.4499999999999999E-3</v>
      </c>
    </row>
    <row r="378" spans="1:8" x14ac:dyDescent="0.25">
      <c r="A378" t="s">
        <v>1413</v>
      </c>
      <c r="B378">
        <v>82</v>
      </c>
      <c r="C378">
        <v>23.844999999999999</v>
      </c>
      <c r="D378" s="3">
        <v>23.85</v>
      </c>
      <c r="E378" t="s">
        <v>345</v>
      </c>
      <c r="F378">
        <v>1280001</v>
      </c>
      <c r="G378" s="1">
        <v>5.4000000000000003E-3</v>
      </c>
      <c r="H378" s="1">
        <v>1.75E-3</v>
      </c>
    </row>
    <row r="379" spans="1:8" x14ac:dyDescent="0.25">
      <c r="A379" t="s">
        <v>1413</v>
      </c>
      <c r="B379">
        <v>83</v>
      </c>
      <c r="C379">
        <v>23.925999999999998</v>
      </c>
      <c r="D379" s="3">
        <v>23.93</v>
      </c>
      <c r="E379" t="s">
        <v>346</v>
      </c>
      <c r="F379">
        <v>1086846</v>
      </c>
      <c r="G379" s="1">
        <v>4.5999999999999999E-3</v>
      </c>
      <c r="H379" s="1">
        <v>1.49E-3</v>
      </c>
    </row>
    <row r="380" spans="1:8" x14ac:dyDescent="0.25">
      <c r="A380" t="s">
        <v>1413</v>
      </c>
      <c r="B380">
        <v>84</v>
      </c>
      <c r="C380">
        <v>24.036999999999999</v>
      </c>
      <c r="D380" s="3">
        <v>24.04</v>
      </c>
      <c r="E380" t="s">
        <v>347</v>
      </c>
      <c r="F380">
        <v>1721989</v>
      </c>
      <c r="G380" s="1">
        <v>7.3000000000000001E-3</v>
      </c>
      <c r="H380" s="1">
        <v>2.3600000000000001E-3</v>
      </c>
    </row>
    <row r="381" spans="1:8" x14ac:dyDescent="0.25">
      <c r="A381" t="s">
        <v>1413</v>
      </c>
      <c r="B381">
        <v>85</v>
      </c>
      <c r="C381">
        <v>24.263999999999999</v>
      </c>
      <c r="D381" s="3">
        <v>24.26</v>
      </c>
      <c r="E381" t="s">
        <v>348</v>
      </c>
      <c r="F381">
        <v>1463149</v>
      </c>
      <c r="G381" s="1">
        <v>6.1999999999999998E-3</v>
      </c>
      <c r="H381" s="1">
        <v>2.0100000000000001E-3</v>
      </c>
    </row>
    <row r="382" spans="1:8" x14ac:dyDescent="0.25">
      <c r="A382" t="s">
        <v>1413</v>
      </c>
      <c r="B382">
        <v>86</v>
      </c>
      <c r="C382">
        <v>25.85</v>
      </c>
      <c r="D382" s="3">
        <v>25.85</v>
      </c>
      <c r="E382" t="s">
        <v>349</v>
      </c>
      <c r="F382">
        <v>2021832</v>
      </c>
      <c r="G382" s="1">
        <v>8.5000000000000006E-3</v>
      </c>
      <c r="H382" s="1">
        <v>2.7699999999999999E-3</v>
      </c>
    </row>
    <row r="383" spans="1:8" x14ac:dyDescent="0.25">
      <c r="A383" t="s">
        <v>1413</v>
      </c>
      <c r="B383">
        <v>87</v>
      </c>
      <c r="C383">
        <v>26.02</v>
      </c>
      <c r="D383" s="3">
        <v>26.02</v>
      </c>
      <c r="E383" t="s">
        <v>350</v>
      </c>
      <c r="F383">
        <v>1622146</v>
      </c>
      <c r="G383" s="1">
        <v>6.7999999999999996E-3</v>
      </c>
      <c r="H383" s="1">
        <v>2.2200000000000002E-3</v>
      </c>
    </row>
    <row r="384" spans="1:8" x14ac:dyDescent="0.25">
      <c r="A384" t="s">
        <v>1413</v>
      </c>
      <c r="B384">
        <v>88</v>
      </c>
      <c r="C384">
        <v>27.114999999999998</v>
      </c>
      <c r="D384" s="3">
        <v>27.12</v>
      </c>
      <c r="E384" t="s">
        <v>351</v>
      </c>
      <c r="F384">
        <v>1523592</v>
      </c>
      <c r="G384" s="1">
        <v>6.4000000000000003E-3</v>
      </c>
      <c r="H384" s="1">
        <v>2.0899999999999998E-3</v>
      </c>
    </row>
    <row r="385" spans="1:8" x14ac:dyDescent="0.25">
      <c r="A385" t="s">
        <v>1413</v>
      </c>
      <c r="B385">
        <v>89</v>
      </c>
      <c r="C385">
        <v>27.428999999999998</v>
      </c>
      <c r="D385" s="3">
        <v>27.43</v>
      </c>
      <c r="E385" t="s">
        <v>352</v>
      </c>
      <c r="F385">
        <v>1779291</v>
      </c>
      <c r="G385" s="1">
        <v>7.4999999999999997E-3</v>
      </c>
      <c r="H385" s="1">
        <v>2.4399999999999999E-3</v>
      </c>
    </row>
    <row r="386" spans="1:8" x14ac:dyDescent="0.25">
      <c r="A386" t="s">
        <v>1413</v>
      </c>
      <c r="B386">
        <v>90</v>
      </c>
      <c r="C386">
        <v>27.507000000000001</v>
      </c>
      <c r="D386" s="3">
        <v>27.51</v>
      </c>
      <c r="E386" t="s">
        <v>353</v>
      </c>
      <c r="F386">
        <v>2639102</v>
      </c>
      <c r="G386" s="1">
        <v>1.11E-2</v>
      </c>
      <c r="H386" s="1">
        <v>3.62E-3</v>
      </c>
    </row>
    <row r="387" spans="1:8" x14ac:dyDescent="0.25">
      <c r="A387" t="s">
        <v>1413</v>
      </c>
      <c r="B387">
        <v>91</v>
      </c>
      <c r="C387">
        <v>27.667000000000002</v>
      </c>
      <c r="D387" s="3">
        <v>27.67</v>
      </c>
      <c r="E387" t="s">
        <v>354</v>
      </c>
      <c r="F387">
        <v>1393387</v>
      </c>
      <c r="G387" s="1">
        <v>5.8999999999999999E-3</v>
      </c>
      <c r="H387" s="1">
        <v>1.91E-3</v>
      </c>
    </row>
    <row r="388" spans="1:8" x14ac:dyDescent="0.25">
      <c r="A388" t="s">
        <v>1413</v>
      </c>
      <c r="B388">
        <v>92</v>
      </c>
      <c r="C388">
        <v>28.481999999999999</v>
      </c>
      <c r="D388" s="3">
        <v>28.48</v>
      </c>
      <c r="E388">
        <v>1748968</v>
      </c>
      <c r="F388">
        <v>25468097</v>
      </c>
      <c r="G388" s="1">
        <v>0.10730000000000001</v>
      </c>
      <c r="H388" s="1">
        <v>3.4909999999999997E-2</v>
      </c>
    </row>
    <row r="389" spans="1:8" x14ac:dyDescent="0.25">
      <c r="A389" t="s">
        <v>1413</v>
      </c>
      <c r="B389">
        <v>93</v>
      </c>
      <c r="C389">
        <v>28.594999999999999</v>
      </c>
      <c r="D389" s="3">
        <v>28.6</v>
      </c>
      <c r="E389" t="s">
        <v>355</v>
      </c>
      <c r="F389">
        <v>1486855</v>
      </c>
      <c r="G389" s="1">
        <v>6.3E-3</v>
      </c>
      <c r="H389" s="1">
        <v>2.0400000000000001E-3</v>
      </c>
    </row>
    <row r="390" spans="1:8" x14ac:dyDescent="0.25">
      <c r="A390" t="s">
        <v>1413</v>
      </c>
      <c r="B390">
        <v>94</v>
      </c>
      <c r="C390">
        <v>28.637</v>
      </c>
      <c r="D390" s="3">
        <v>28.64</v>
      </c>
      <c r="E390" t="s">
        <v>356</v>
      </c>
      <c r="F390">
        <v>1264447</v>
      </c>
      <c r="G390" s="1">
        <v>5.3E-3</v>
      </c>
      <c r="H390" s="1">
        <v>1.73E-3</v>
      </c>
    </row>
    <row r="391" spans="1:8" x14ac:dyDescent="0.25">
      <c r="A391" t="s">
        <v>1413</v>
      </c>
      <c r="B391">
        <v>95</v>
      </c>
      <c r="C391">
        <v>28.733000000000001</v>
      </c>
      <c r="D391" s="3">
        <v>28.73</v>
      </c>
      <c r="E391" t="s">
        <v>357</v>
      </c>
      <c r="F391">
        <v>6999299</v>
      </c>
      <c r="G391" s="1">
        <v>2.9499999999999998E-2</v>
      </c>
      <c r="H391" s="1">
        <v>9.5899999999999996E-3</v>
      </c>
    </row>
    <row r="392" spans="1:8" x14ac:dyDescent="0.25">
      <c r="A392" t="s">
        <v>1413</v>
      </c>
      <c r="B392">
        <v>96</v>
      </c>
      <c r="C392">
        <v>28.891999999999999</v>
      </c>
      <c r="D392" s="3">
        <v>28.89</v>
      </c>
      <c r="E392">
        <v>721941</v>
      </c>
      <c r="F392">
        <v>9414112</v>
      </c>
      <c r="G392" s="1">
        <v>3.9699999999999999E-2</v>
      </c>
      <c r="H392" s="1">
        <v>1.29E-2</v>
      </c>
    </row>
    <row r="393" spans="1:8" x14ac:dyDescent="0.25">
      <c r="A393" t="s">
        <v>1413</v>
      </c>
      <c r="B393">
        <v>97</v>
      </c>
      <c r="C393">
        <v>29.048999999999999</v>
      </c>
      <c r="D393" s="3">
        <v>29.05</v>
      </c>
      <c r="E393">
        <v>6520095</v>
      </c>
      <c r="F393">
        <v>74545064</v>
      </c>
      <c r="G393" s="1">
        <v>0.31409999999999999</v>
      </c>
      <c r="H393" s="1">
        <v>0.10218000000000001</v>
      </c>
    </row>
    <row r="394" spans="1:8" x14ac:dyDescent="0.25">
      <c r="A394" t="s">
        <v>1413</v>
      </c>
      <c r="B394">
        <v>98</v>
      </c>
      <c r="C394">
        <v>29.158000000000001</v>
      </c>
      <c r="D394" s="3">
        <v>29.16</v>
      </c>
      <c r="E394" t="s">
        <v>358</v>
      </c>
      <c r="F394">
        <v>1329507</v>
      </c>
      <c r="G394" s="1">
        <v>5.5999999999999999E-3</v>
      </c>
      <c r="H394" s="1">
        <v>1.82E-3</v>
      </c>
    </row>
    <row r="395" spans="1:8" x14ac:dyDescent="0.25">
      <c r="A395" t="s">
        <v>1413</v>
      </c>
      <c r="B395">
        <v>99</v>
      </c>
      <c r="C395">
        <v>29.204999999999998</v>
      </c>
      <c r="D395" s="3">
        <v>29.21</v>
      </c>
      <c r="E395" t="s">
        <v>359</v>
      </c>
      <c r="F395">
        <v>1111020</v>
      </c>
      <c r="G395" s="1">
        <v>4.7000000000000002E-3</v>
      </c>
      <c r="H395" s="1">
        <v>1.5200000000000001E-3</v>
      </c>
    </row>
    <row r="396" spans="1:8" x14ac:dyDescent="0.25">
      <c r="A396" t="s">
        <v>1413</v>
      </c>
      <c r="B396">
        <v>100</v>
      </c>
      <c r="C396">
        <v>29.233000000000001</v>
      </c>
      <c r="D396" s="3">
        <v>29.23</v>
      </c>
      <c r="E396" t="s">
        <v>360</v>
      </c>
      <c r="F396">
        <v>1637582</v>
      </c>
      <c r="G396" s="1">
        <v>6.8999999999999999E-3</v>
      </c>
      <c r="H396" s="1">
        <v>2.2399999999999998E-3</v>
      </c>
    </row>
    <row r="397" spans="1:8" x14ac:dyDescent="0.25">
      <c r="A397" t="s">
        <v>1413</v>
      </c>
      <c r="B397">
        <v>101</v>
      </c>
      <c r="C397">
        <v>29.306000000000001</v>
      </c>
      <c r="D397" s="3">
        <v>29.31</v>
      </c>
      <c r="E397" t="s">
        <v>361</v>
      </c>
      <c r="F397">
        <v>1099144</v>
      </c>
      <c r="G397" s="1">
        <v>4.5999999999999999E-3</v>
      </c>
      <c r="H397" s="1">
        <v>1.5100000000000001E-3</v>
      </c>
    </row>
    <row r="398" spans="1:8" x14ac:dyDescent="0.25">
      <c r="A398" t="s">
        <v>1413</v>
      </c>
      <c r="B398">
        <v>102</v>
      </c>
      <c r="C398">
        <v>29.408000000000001</v>
      </c>
      <c r="D398" s="3">
        <v>29.41</v>
      </c>
      <c r="E398" t="s">
        <v>362</v>
      </c>
      <c r="F398">
        <v>1269362</v>
      </c>
      <c r="G398" s="1">
        <v>5.3E-3</v>
      </c>
      <c r="H398" s="1">
        <v>1.74E-3</v>
      </c>
    </row>
    <row r="399" spans="1:8" x14ac:dyDescent="0.25">
      <c r="A399" t="s">
        <v>1413</v>
      </c>
      <c r="B399">
        <v>103</v>
      </c>
      <c r="C399">
        <v>29.54</v>
      </c>
      <c r="D399" s="3">
        <v>29.54</v>
      </c>
      <c r="E399" t="s">
        <v>363</v>
      </c>
      <c r="F399">
        <v>1517820</v>
      </c>
      <c r="G399" s="1">
        <v>6.4000000000000003E-3</v>
      </c>
      <c r="H399" s="1">
        <v>2.0799999999999998E-3</v>
      </c>
    </row>
    <row r="400" spans="1:8" x14ac:dyDescent="0.25">
      <c r="A400" t="s">
        <v>1413</v>
      </c>
      <c r="B400">
        <v>104</v>
      </c>
      <c r="C400">
        <v>29.742000000000001</v>
      </c>
      <c r="D400" s="3">
        <v>29.74</v>
      </c>
      <c r="E400">
        <v>903742</v>
      </c>
      <c r="F400">
        <v>12339714</v>
      </c>
      <c r="G400" s="1">
        <v>5.1999999999999998E-2</v>
      </c>
      <c r="H400" s="1">
        <v>1.6910000000000001E-2</v>
      </c>
    </row>
    <row r="401" spans="1:8" x14ac:dyDescent="0.25">
      <c r="A401" t="s">
        <v>1413</v>
      </c>
      <c r="B401">
        <v>105</v>
      </c>
      <c r="C401">
        <v>29.826000000000001</v>
      </c>
      <c r="D401" s="3">
        <v>29.83</v>
      </c>
      <c r="E401" t="s">
        <v>364</v>
      </c>
      <c r="F401">
        <v>8030728</v>
      </c>
      <c r="G401" s="1">
        <v>3.3799999999999997E-2</v>
      </c>
      <c r="H401" s="1">
        <v>1.1010000000000001E-2</v>
      </c>
    </row>
    <row r="402" spans="1:8" x14ac:dyDescent="0.25">
      <c r="A402" t="s">
        <v>1413</v>
      </c>
      <c r="B402">
        <v>106</v>
      </c>
      <c r="C402">
        <v>29.936</v>
      </c>
      <c r="D402" s="3">
        <v>29.94</v>
      </c>
      <c r="E402" t="s">
        <v>365</v>
      </c>
      <c r="F402">
        <v>1021629</v>
      </c>
      <c r="G402" s="1">
        <v>4.3E-3</v>
      </c>
      <c r="H402" s="1">
        <v>1.4E-3</v>
      </c>
    </row>
    <row r="403" spans="1:8" x14ac:dyDescent="0.25">
      <c r="A403" t="s">
        <v>1413</v>
      </c>
      <c r="B403">
        <v>107</v>
      </c>
      <c r="C403">
        <v>31.989000000000001</v>
      </c>
      <c r="D403" s="3">
        <v>31.99</v>
      </c>
      <c r="E403">
        <v>199249</v>
      </c>
      <c r="F403">
        <v>4612693</v>
      </c>
      <c r="G403" s="1">
        <v>1.9400000000000001E-2</v>
      </c>
      <c r="H403" s="1">
        <v>6.3200000000000001E-3</v>
      </c>
    </row>
    <row r="404" spans="1:8" x14ac:dyDescent="0.25">
      <c r="A404" t="s">
        <v>1413</v>
      </c>
      <c r="B404">
        <v>108</v>
      </c>
      <c r="C404">
        <v>32.744</v>
      </c>
      <c r="D404" s="3">
        <v>32.74</v>
      </c>
      <c r="E404" t="s">
        <v>366</v>
      </c>
      <c r="F404">
        <v>1092805</v>
      </c>
      <c r="G404" s="1">
        <v>4.5999999999999999E-3</v>
      </c>
      <c r="H404" s="1">
        <v>1.5E-3</v>
      </c>
    </row>
    <row r="405" spans="1:8" x14ac:dyDescent="0.25">
      <c r="A405" t="s">
        <v>1413</v>
      </c>
      <c r="B405">
        <v>109</v>
      </c>
      <c r="C405">
        <v>33.104999999999997</v>
      </c>
      <c r="D405" s="3">
        <v>33.11</v>
      </c>
      <c r="E405">
        <v>151793</v>
      </c>
      <c r="F405">
        <v>5968957</v>
      </c>
      <c r="G405" s="1">
        <v>2.52E-2</v>
      </c>
      <c r="H405" s="1">
        <v>8.1799999999999998E-3</v>
      </c>
    </row>
    <row r="406" spans="1:8" x14ac:dyDescent="0.25">
      <c r="A406" t="s">
        <v>1414</v>
      </c>
      <c r="B406">
        <v>1</v>
      </c>
      <c r="C406">
        <v>4.8879999999999999</v>
      </c>
      <c r="D406" s="3">
        <v>4.8899999999999997</v>
      </c>
      <c r="E406" t="s">
        <v>367</v>
      </c>
      <c r="F406">
        <v>18493037</v>
      </c>
      <c r="G406" s="1">
        <v>0.13350000000000001</v>
      </c>
      <c r="H406" s="1">
        <v>1.6920000000000001E-2</v>
      </c>
    </row>
    <row r="407" spans="1:8" x14ac:dyDescent="0.25">
      <c r="A407" t="s">
        <v>1414</v>
      </c>
      <c r="B407">
        <v>2</v>
      </c>
      <c r="C407">
        <v>5.1929999999999996</v>
      </c>
      <c r="D407" s="3">
        <v>5.19</v>
      </c>
      <c r="E407" t="s">
        <v>368</v>
      </c>
      <c r="F407">
        <v>8262102</v>
      </c>
      <c r="G407" s="1">
        <v>5.96E-2</v>
      </c>
      <c r="H407" s="1">
        <v>7.5599999999999999E-3</v>
      </c>
    </row>
    <row r="408" spans="1:8" x14ac:dyDescent="0.25">
      <c r="A408" t="s">
        <v>1414</v>
      </c>
      <c r="B408">
        <v>3</v>
      </c>
      <c r="C408">
        <v>5.2839999999999998</v>
      </c>
      <c r="D408" s="3">
        <v>5.28</v>
      </c>
      <c r="E408" t="s">
        <v>369</v>
      </c>
      <c r="F408">
        <v>2535878</v>
      </c>
      <c r="G408" s="1">
        <v>1.83E-2</v>
      </c>
      <c r="H408" s="1">
        <v>2.32E-3</v>
      </c>
    </row>
    <row r="409" spans="1:8" x14ac:dyDescent="0.25">
      <c r="A409" t="s">
        <v>1414</v>
      </c>
      <c r="B409">
        <v>4</v>
      </c>
      <c r="C409">
        <v>5.3529999999999998</v>
      </c>
      <c r="D409" s="3">
        <v>5.35</v>
      </c>
      <c r="E409" t="s">
        <v>370</v>
      </c>
      <c r="F409">
        <v>3287827</v>
      </c>
      <c r="G409" s="1">
        <v>2.3699999999999999E-2</v>
      </c>
      <c r="H409" s="1">
        <v>3.0100000000000001E-3</v>
      </c>
    </row>
    <row r="410" spans="1:8" x14ac:dyDescent="0.25">
      <c r="A410" t="s">
        <v>1414</v>
      </c>
      <c r="B410">
        <v>5</v>
      </c>
      <c r="C410">
        <v>5.6630000000000003</v>
      </c>
      <c r="D410" s="3">
        <v>5.66</v>
      </c>
      <c r="E410" t="s">
        <v>371</v>
      </c>
      <c r="F410">
        <v>1200393</v>
      </c>
      <c r="G410" s="1">
        <v>8.6999999999999994E-3</v>
      </c>
      <c r="H410" s="1">
        <v>1.1000000000000001E-3</v>
      </c>
    </row>
    <row r="411" spans="1:8" x14ac:dyDescent="0.25">
      <c r="A411" t="s">
        <v>1414</v>
      </c>
      <c r="B411">
        <v>6</v>
      </c>
      <c r="C411">
        <v>6.1070000000000002</v>
      </c>
      <c r="D411" s="3">
        <v>6.11</v>
      </c>
      <c r="E411" t="s">
        <v>372</v>
      </c>
      <c r="F411">
        <v>1628644</v>
      </c>
      <c r="G411" s="1">
        <v>1.18E-2</v>
      </c>
      <c r="H411" s="1">
        <v>1.49E-3</v>
      </c>
    </row>
    <row r="412" spans="1:8" x14ac:dyDescent="0.25">
      <c r="A412" t="s">
        <v>1414</v>
      </c>
      <c r="B412">
        <v>7</v>
      </c>
      <c r="C412">
        <v>6.2709999999999999</v>
      </c>
      <c r="D412" s="3">
        <v>6.27</v>
      </c>
      <c r="E412" t="s">
        <v>373</v>
      </c>
      <c r="F412">
        <v>1621202</v>
      </c>
      <c r="G412" s="1">
        <v>1.17E-2</v>
      </c>
      <c r="H412" s="1">
        <v>1.48E-3</v>
      </c>
    </row>
    <row r="413" spans="1:8" x14ac:dyDescent="0.25">
      <c r="A413" t="s">
        <v>1414</v>
      </c>
      <c r="B413">
        <v>8</v>
      </c>
      <c r="C413">
        <v>6.343</v>
      </c>
      <c r="D413" s="3">
        <v>6.34</v>
      </c>
      <c r="E413" t="s">
        <v>374</v>
      </c>
      <c r="F413">
        <v>1635913</v>
      </c>
      <c r="G413" s="1">
        <v>1.18E-2</v>
      </c>
      <c r="H413" s="1">
        <v>1.5E-3</v>
      </c>
    </row>
    <row r="414" spans="1:8" x14ac:dyDescent="0.25">
      <c r="A414" t="s">
        <v>1414</v>
      </c>
      <c r="B414">
        <v>9</v>
      </c>
      <c r="C414">
        <v>6.4930000000000003</v>
      </c>
      <c r="D414" s="3">
        <v>6.49</v>
      </c>
      <c r="E414" t="s">
        <v>375</v>
      </c>
      <c r="F414">
        <v>8843522</v>
      </c>
      <c r="G414" s="1">
        <v>6.3799999999999996E-2</v>
      </c>
      <c r="H414" s="1">
        <v>8.09E-3</v>
      </c>
    </row>
    <row r="415" spans="1:8" x14ac:dyDescent="0.25">
      <c r="A415" t="s">
        <v>1414</v>
      </c>
      <c r="B415">
        <v>10</v>
      </c>
      <c r="C415">
        <v>8.2040000000000006</v>
      </c>
      <c r="D415" s="3">
        <v>8.1999999999999993</v>
      </c>
      <c r="E415" t="s">
        <v>376</v>
      </c>
      <c r="F415">
        <v>1177254</v>
      </c>
      <c r="G415" s="1">
        <v>8.5000000000000006E-3</v>
      </c>
      <c r="H415" s="1">
        <v>1.08E-3</v>
      </c>
    </row>
    <row r="416" spans="1:8" x14ac:dyDescent="0.25">
      <c r="A416" t="s">
        <v>1414</v>
      </c>
      <c r="B416">
        <v>11</v>
      </c>
      <c r="C416">
        <v>8.2780000000000005</v>
      </c>
      <c r="D416" s="3">
        <v>8.2799999999999994</v>
      </c>
      <c r="E416" t="s">
        <v>377</v>
      </c>
      <c r="F416">
        <v>2904427</v>
      </c>
      <c r="G416" s="1">
        <v>2.1000000000000001E-2</v>
      </c>
      <c r="H416" s="1">
        <v>2.66E-3</v>
      </c>
    </row>
    <row r="417" spans="1:8" x14ac:dyDescent="0.25">
      <c r="A417" t="s">
        <v>1414</v>
      </c>
      <c r="B417">
        <v>12</v>
      </c>
      <c r="C417">
        <v>8.6430000000000007</v>
      </c>
      <c r="D417" s="3">
        <v>8.64</v>
      </c>
      <c r="E417" t="s">
        <v>378</v>
      </c>
      <c r="F417">
        <v>1079961</v>
      </c>
      <c r="G417" s="1">
        <v>7.7999999999999996E-3</v>
      </c>
      <c r="H417" s="1">
        <v>9.8999999999999999E-4</v>
      </c>
    </row>
    <row r="418" spans="1:8" x14ac:dyDescent="0.25">
      <c r="A418" t="s">
        <v>1414</v>
      </c>
      <c r="B418">
        <v>13</v>
      </c>
      <c r="C418">
        <v>8.9600000000000009</v>
      </c>
      <c r="D418" s="3">
        <v>8.9600000000000009</v>
      </c>
      <c r="E418" t="s">
        <v>379</v>
      </c>
      <c r="F418">
        <v>3065129</v>
      </c>
      <c r="G418" s="1">
        <v>2.2100000000000002E-2</v>
      </c>
      <c r="H418" s="1">
        <v>2.81E-3</v>
      </c>
    </row>
    <row r="419" spans="1:8" x14ac:dyDescent="0.25">
      <c r="A419" t="s">
        <v>1414</v>
      </c>
      <c r="B419">
        <v>14</v>
      </c>
      <c r="C419">
        <v>9.1829999999999998</v>
      </c>
      <c r="D419" s="3">
        <v>9.18</v>
      </c>
      <c r="E419" t="s">
        <v>380</v>
      </c>
      <c r="F419">
        <v>4729599</v>
      </c>
      <c r="G419" s="1">
        <v>3.4099999999999998E-2</v>
      </c>
      <c r="H419" s="1">
        <v>4.3299999999999996E-3</v>
      </c>
    </row>
    <row r="420" spans="1:8" x14ac:dyDescent="0.25">
      <c r="A420" t="s">
        <v>1414</v>
      </c>
      <c r="B420">
        <v>15</v>
      </c>
      <c r="C420">
        <v>9.2520000000000007</v>
      </c>
      <c r="D420" s="3">
        <v>9.25</v>
      </c>
      <c r="E420" t="s">
        <v>381</v>
      </c>
      <c r="F420">
        <v>3912138</v>
      </c>
      <c r="G420" s="1">
        <v>2.8199999999999999E-2</v>
      </c>
      <c r="H420" s="1">
        <v>3.5799999999999998E-3</v>
      </c>
    </row>
    <row r="421" spans="1:8" x14ac:dyDescent="0.25">
      <c r="A421" t="s">
        <v>1414</v>
      </c>
      <c r="B421">
        <v>16</v>
      </c>
      <c r="C421">
        <v>9.6539999999999999</v>
      </c>
      <c r="D421" s="3">
        <v>9.65</v>
      </c>
      <c r="E421" t="s">
        <v>382</v>
      </c>
      <c r="F421">
        <v>31931978</v>
      </c>
      <c r="G421" s="1">
        <v>0.23050000000000001</v>
      </c>
      <c r="H421" s="1">
        <v>2.9219999999999999E-2</v>
      </c>
    </row>
    <row r="422" spans="1:8" x14ac:dyDescent="0.25">
      <c r="A422" t="s">
        <v>1414</v>
      </c>
      <c r="B422">
        <v>17</v>
      </c>
      <c r="C422">
        <v>9.8230000000000004</v>
      </c>
      <c r="D422" s="3">
        <v>9.82</v>
      </c>
      <c r="E422">
        <v>676794</v>
      </c>
      <c r="F422">
        <v>22384131</v>
      </c>
      <c r="G422" s="1">
        <v>0.16159999999999999</v>
      </c>
      <c r="H422" s="1">
        <v>2.0490000000000001E-2</v>
      </c>
    </row>
    <row r="423" spans="1:8" x14ac:dyDescent="0.25">
      <c r="A423" t="s">
        <v>1414</v>
      </c>
      <c r="B423">
        <v>18</v>
      </c>
      <c r="C423">
        <v>11.095000000000001</v>
      </c>
      <c r="D423" s="3">
        <v>11.1</v>
      </c>
      <c r="E423" t="s">
        <v>383</v>
      </c>
      <c r="F423">
        <v>1128606</v>
      </c>
      <c r="G423" s="1">
        <v>8.0999999999999996E-3</v>
      </c>
      <c r="H423" s="1">
        <v>1.0300000000000001E-3</v>
      </c>
    </row>
    <row r="424" spans="1:8" x14ac:dyDescent="0.25">
      <c r="A424" t="s">
        <v>1414</v>
      </c>
      <c r="B424">
        <v>19</v>
      </c>
      <c r="C424">
        <v>11.259</v>
      </c>
      <c r="D424" s="3">
        <v>11.26</v>
      </c>
      <c r="E424" t="s">
        <v>384</v>
      </c>
      <c r="F424">
        <v>1574514</v>
      </c>
      <c r="G424" s="1">
        <v>1.14E-2</v>
      </c>
      <c r="H424" s="1">
        <v>1.4400000000000001E-3</v>
      </c>
    </row>
    <row r="425" spans="1:8" x14ac:dyDescent="0.25">
      <c r="A425" t="s">
        <v>1414</v>
      </c>
      <c r="B425">
        <v>20</v>
      </c>
      <c r="C425">
        <v>12.705</v>
      </c>
      <c r="D425" s="3">
        <v>12.71</v>
      </c>
      <c r="E425" t="s">
        <v>385</v>
      </c>
      <c r="F425">
        <v>1293153</v>
      </c>
      <c r="G425" s="1">
        <v>9.2999999999999992E-3</v>
      </c>
      <c r="H425" s="1">
        <v>1.1800000000000001E-3</v>
      </c>
    </row>
    <row r="426" spans="1:8" x14ac:dyDescent="0.25">
      <c r="A426" t="s">
        <v>1414</v>
      </c>
      <c r="B426">
        <v>21</v>
      </c>
      <c r="C426">
        <v>12.843</v>
      </c>
      <c r="D426" s="3">
        <v>12.84</v>
      </c>
      <c r="E426" t="s">
        <v>386</v>
      </c>
      <c r="F426">
        <v>68301997</v>
      </c>
      <c r="G426" s="1">
        <v>0.49299999999999999</v>
      </c>
      <c r="H426" s="1">
        <v>6.2509999999999996E-2</v>
      </c>
    </row>
    <row r="427" spans="1:8" x14ac:dyDescent="0.25">
      <c r="A427" t="s">
        <v>1414</v>
      </c>
      <c r="B427">
        <v>22</v>
      </c>
      <c r="C427">
        <v>13.228999999999999</v>
      </c>
      <c r="D427" s="3">
        <v>13.23</v>
      </c>
      <c r="E427" t="s">
        <v>387</v>
      </c>
      <c r="F427">
        <v>3134225</v>
      </c>
      <c r="G427" s="1">
        <v>2.2599999999999999E-2</v>
      </c>
      <c r="H427" s="1">
        <v>2.8700000000000002E-3</v>
      </c>
    </row>
    <row r="428" spans="1:8" x14ac:dyDescent="0.25">
      <c r="A428" t="s">
        <v>1414</v>
      </c>
      <c r="B428">
        <v>23</v>
      </c>
      <c r="C428">
        <v>13.62</v>
      </c>
      <c r="D428" s="3">
        <v>13.62</v>
      </c>
      <c r="E428" t="s">
        <v>388</v>
      </c>
      <c r="F428">
        <v>3860551</v>
      </c>
      <c r="G428" s="1">
        <v>2.7900000000000001E-2</v>
      </c>
      <c r="H428" s="1">
        <v>3.5300000000000002E-3</v>
      </c>
    </row>
    <row r="429" spans="1:8" x14ac:dyDescent="0.25">
      <c r="A429" t="s">
        <v>1414</v>
      </c>
      <c r="B429">
        <v>24</v>
      </c>
      <c r="C429">
        <v>14.519</v>
      </c>
      <c r="D429" s="3">
        <v>14.52</v>
      </c>
      <c r="E429" t="s">
        <v>389</v>
      </c>
      <c r="F429">
        <v>5293208</v>
      </c>
      <c r="G429" s="1">
        <v>3.8199999999999998E-2</v>
      </c>
      <c r="H429" s="1">
        <v>4.8399999999999997E-3</v>
      </c>
    </row>
    <row r="430" spans="1:8" x14ac:dyDescent="0.25">
      <c r="A430" t="s">
        <v>1414</v>
      </c>
      <c r="B430">
        <v>25</v>
      </c>
      <c r="C430">
        <v>14.821999999999999</v>
      </c>
      <c r="D430" s="3">
        <v>14.82</v>
      </c>
      <c r="E430" t="s">
        <v>390</v>
      </c>
      <c r="F430">
        <v>1352275</v>
      </c>
      <c r="G430" s="1">
        <v>9.7999999999999997E-3</v>
      </c>
      <c r="H430" s="1">
        <v>1.24E-3</v>
      </c>
    </row>
    <row r="431" spans="1:8" x14ac:dyDescent="0.25">
      <c r="A431" t="s">
        <v>1414</v>
      </c>
      <c r="B431">
        <v>26</v>
      </c>
      <c r="C431">
        <v>15.342000000000001</v>
      </c>
      <c r="D431" s="3">
        <v>15.34</v>
      </c>
      <c r="E431" t="s">
        <v>391</v>
      </c>
      <c r="F431">
        <v>2600524</v>
      </c>
      <c r="G431" s="1">
        <v>1.8800000000000001E-2</v>
      </c>
      <c r="H431" s="1">
        <v>2.3800000000000002E-3</v>
      </c>
    </row>
    <row r="432" spans="1:8" x14ac:dyDescent="0.25">
      <c r="A432" t="s">
        <v>1414</v>
      </c>
      <c r="B432">
        <v>27</v>
      </c>
      <c r="C432">
        <v>15.414</v>
      </c>
      <c r="D432" s="3">
        <v>15.41</v>
      </c>
      <c r="E432" t="s">
        <v>392</v>
      </c>
      <c r="F432">
        <v>3388912</v>
      </c>
      <c r="G432" s="1">
        <v>2.4500000000000001E-2</v>
      </c>
      <c r="H432" s="1">
        <v>3.0999999999999999E-3</v>
      </c>
    </row>
    <row r="433" spans="1:8" x14ac:dyDescent="0.25">
      <c r="A433" t="s">
        <v>1414</v>
      </c>
      <c r="B433">
        <v>28</v>
      </c>
      <c r="C433">
        <v>15.576000000000001</v>
      </c>
      <c r="D433" s="3">
        <v>15.58</v>
      </c>
      <c r="E433" t="s">
        <v>393</v>
      </c>
      <c r="F433">
        <v>1915687</v>
      </c>
      <c r="G433" s="1">
        <v>1.38E-2</v>
      </c>
      <c r="H433" s="1">
        <v>1.75E-3</v>
      </c>
    </row>
    <row r="434" spans="1:8" x14ac:dyDescent="0.25">
      <c r="A434" t="s">
        <v>1414</v>
      </c>
      <c r="B434">
        <v>29</v>
      </c>
      <c r="C434">
        <v>15.711</v>
      </c>
      <c r="D434" s="3">
        <v>15.71</v>
      </c>
      <c r="E434" t="s">
        <v>394</v>
      </c>
      <c r="F434">
        <v>1150532</v>
      </c>
      <c r="G434" s="1">
        <v>8.3000000000000001E-3</v>
      </c>
      <c r="H434" s="1">
        <v>1.0499999999999999E-3</v>
      </c>
    </row>
    <row r="435" spans="1:8" x14ac:dyDescent="0.25">
      <c r="A435" t="s">
        <v>1414</v>
      </c>
      <c r="B435">
        <v>30</v>
      </c>
      <c r="C435">
        <v>15.877000000000001</v>
      </c>
      <c r="D435" s="3">
        <v>15.88</v>
      </c>
      <c r="E435" t="s">
        <v>395</v>
      </c>
      <c r="F435">
        <v>17763123</v>
      </c>
      <c r="G435" s="1">
        <v>0.12820000000000001</v>
      </c>
      <c r="H435" s="1">
        <v>1.626E-2</v>
      </c>
    </row>
    <row r="436" spans="1:8" x14ac:dyDescent="0.25">
      <c r="A436" t="s">
        <v>1414</v>
      </c>
      <c r="B436">
        <v>31</v>
      </c>
      <c r="C436">
        <v>16.664000000000001</v>
      </c>
      <c r="D436" s="3">
        <v>16.66</v>
      </c>
      <c r="E436" t="s">
        <v>396</v>
      </c>
      <c r="F436">
        <v>4278531</v>
      </c>
      <c r="G436" s="1">
        <v>3.09E-2</v>
      </c>
      <c r="H436" s="1">
        <v>3.9199999999999999E-3</v>
      </c>
    </row>
    <row r="437" spans="1:8" x14ac:dyDescent="0.25">
      <c r="A437" t="s">
        <v>1414</v>
      </c>
      <c r="B437">
        <v>32</v>
      </c>
      <c r="C437">
        <v>16.765000000000001</v>
      </c>
      <c r="D437" s="3">
        <v>16.77</v>
      </c>
      <c r="E437" t="s">
        <v>397</v>
      </c>
      <c r="F437">
        <v>2505366</v>
      </c>
      <c r="G437" s="1">
        <v>1.8100000000000002E-2</v>
      </c>
      <c r="H437" s="1">
        <v>2.2899999999999999E-3</v>
      </c>
    </row>
    <row r="438" spans="1:8" x14ac:dyDescent="0.25">
      <c r="A438" t="s">
        <v>1414</v>
      </c>
      <c r="B438">
        <v>33</v>
      </c>
      <c r="C438">
        <v>16.978000000000002</v>
      </c>
      <c r="D438" s="3">
        <v>16.98</v>
      </c>
      <c r="E438" t="s">
        <v>398</v>
      </c>
      <c r="F438">
        <v>25695075</v>
      </c>
      <c r="G438" s="1">
        <v>0.1855</v>
      </c>
      <c r="H438" s="1">
        <v>2.3519999999999999E-2</v>
      </c>
    </row>
    <row r="439" spans="1:8" x14ac:dyDescent="0.25">
      <c r="A439" t="s">
        <v>1414</v>
      </c>
      <c r="B439">
        <v>34</v>
      </c>
      <c r="C439">
        <v>17.085999999999999</v>
      </c>
      <c r="D439" s="3">
        <v>17.09</v>
      </c>
      <c r="E439" t="s">
        <v>399</v>
      </c>
      <c r="F439">
        <v>2691713</v>
      </c>
      <c r="G439" s="1">
        <v>1.9400000000000001E-2</v>
      </c>
      <c r="H439" s="1">
        <v>2.4599999999999999E-3</v>
      </c>
    </row>
    <row r="440" spans="1:8" x14ac:dyDescent="0.25">
      <c r="A440" t="s">
        <v>1414</v>
      </c>
      <c r="B440">
        <v>35</v>
      </c>
      <c r="C440">
        <v>17.452999999999999</v>
      </c>
      <c r="D440" s="3">
        <v>17.45</v>
      </c>
      <c r="E440" t="s">
        <v>400</v>
      </c>
      <c r="F440">
        <v>18472534</v>
      </c>
      <c r="G440" s="1">
        <v>0.1333</v>
      </c>
      <c r="H440" s="1">
        <v>1.6910000000000001E-2</v>
      </c>
    </row>
    <row r="441" spans="1:8" x14ac:dyDescent="0.25">
      <c r="A441" t="s">
        <v>1414</v>
      </c>
      <c r="B441">
        <v>36</v>
      </c>
      <c r="C441">
        <v>17.692</v>
      </c>
      <c r="D441" s="3">
        <v>17.690000000000001</v>
      </c>
      <c r="E441" t="s">
        <v>401</v>
      </c>
      <c r="F441">
        <v>1445416</v>
      </c>
      <c r="G441" s="1">
        <v>1.04E-2</v>
      </c>
      <c r="H441" s="1">
        <v>1.32E-3</v>
      </c>
    </row>
    <row r="442" spans="1:8" x14ac:dyDescent="0.25">
      <c r="A442" t="s">
        <v>1414</v>
      </c>
      <c r="B442">
        <v>37</v>
      </c>
      <c r="C442">
        <v>17.802</v>
      </c>
      <c r="D442" s="3">
        <v>17.8</v>
      </c>
      <c r="E442" t="s">
        <v>402</v>
      </c>
      <c r="F442">
        <v>2893826</v>
      </c>
      <c r="G442" s="1">
        <v>2.0899999999999998E-2</v>
      </c>
      <c r="H442" s="1">
        <v>2.65E-3</v>
      </c>
    </row>
    <row r="443" spans="1:8" x14ac:dyDescent="0.25">
      <c r="A443" t="s">
        <v>1414</v>
      </c>
      <c r="B443">
        <v>38</v>
      </c>
      <c r="C443">
        <v>17.919</v>
      </c>
      <c r="D443" s="3">
        <v>17.920000000000002</v>
      </c>
      <c r="E443" t="s">
        <v>403</v>
      </c>
      <c r="F443">
        <v>1537729</v>
      </c>
      <c r="G443" s="1">
        <v>1.11E-2</v>
      </c>
      <c r="H443" s="1">
        <v>1.41E-3</v>
      </c>
    </row>
    <row r="444" spans="1:8" x14ac:dyDescent="0.25">
      <c r="A444" t="s">
        <v>1414</v>
      </c>
      <c r="B444">
        <v>39</v>
      </c>
      <c r="C444">
        <v>18.071999999999999</v>
      </c>
      <c r="D444" s="3">
        <v>18.07</v>
      </c>
      <c r="E444" t="s">
        <v>404</v>
      </c>
      <c r="F444">
        <v>1104369</v>
      </c>
      <c r="G444" s="1">
        <v>8.0000000000000002E-3</v>
      </c>
      <c r="H444" s="1">
        <v>1.01E-3</v>
      </c>
    </row>
    <row r="445" spans="1:8" x14ac:dyDescent="0.25">
      <c r="A445" t="s">
        <v>1414</v>
      </c>
      <c r="B445">
        <v>40</v>
      </c>
      <c r="C445">
        <v>18.305</v>
      </c>
      <c r="D445" s="3">
        <v>18.309999999999999</v>
      </c>
      <c r="E445" t="s">
        <v>405</v>
      </c>
      <c r="F445">
        <v>1281935</v>
      </c>
      <c r="G445" s="1">
        <v>9.2999999999999992E-3</v>
      </c>
      <c r="H445" s="1">
        <v>1.17E-3</v>
      </c>
    </row>
    <row r="446" spans="1:8" x14ac:dyDescent="0.25">
      <c r="A446" t="s">
        <v>1414</v>
      </c>
      <c r="B446">
        <v>41</v>
      </c>
      <c r="C446">
        <v>18.724</v>
      </c>
      <c r="D446" s="3">
        <v>18.72</v>
      </c>
      <c r="E446" t="s">
        <v>406</v>
      </c>
      <c r="F446">
        <v>2270308</v>
      </c>
      <c r="G446" s="1">
        <v>1.6400000000000001E-2</v>
      </c>
      <c r="H446" s="1">
        <v>2.0799999999999998E-3</v>
      </c>
    </row>
    <row r="447" spans="1:8" x14ac:dyDescent="0.25">
      <c r="A447" t="s">
        <v>1414</v>
      </c>
      <c r="B447">
        <v>42</v>
      </c>
      <c r="C447">
        <v>18.841999999999999</v>
      </c>
      <c r="D447" s="3">
        <v>18.84</v>
      </c>
      <c r="E447" t="s">
        <v>407</v>
      </c>
      <c r="F447">
        <v>6880746</v>
      </c>
      <c r="G447" s="1">
        <v>4.9700000000000001E-2</v>
      </c>
      <c r="H447" s="1">
        <v>6.3E-3</v>
      </c>
    </row>
    <row r="448" spans="1:8" x14ac:dyDescent="0.25">
      <c r="A448" t="s">
        <v>1414</v>
      </c>
      <c r="B448">
        <v>43</v>
      </c>
      <c r="C448">
        <v>20.225000000000001</v>
      </c>
      <c r="D448" s="3">
        <v>20.23</v>
      </c>
      <c r="E448" t="s">
        <v>408</v>
      </c>
      <c r="F448">
        <v>4663705</v>
      </c>
      <c r="G448" s="1">
        <v>3.3700000000000001E-2</v>
      </c>
      <c r="H448" s="1">
        <v>4.2700000000000004E-3</v>
      </c>
    </row>
    <row r="449" spans="1:8" x14ac:dyDescent="0.25">
      <c r="A449" t="s">
        <v>1414</v>
      </c>
      <c r="B449">
        <v>44</v>
      </c>
      <c r="C449">
        <v>20.963999999999999</v>
      </c>
      <c r="D449" s="3">
        <v>20.96</v>
      </c>
      <c r="E449" t="s">
        <v>409</v>
      </c>
      <c r="F449">
        <v>1075939</v>
      </c>
      <c r="G449" s="1">
        <v>7.7999999999999996E-3</v>
      </c>
      <c r="H449" s="1">
        <v>9.7999999999999997E-4</v>
      </c>
    </row>
    <row r="450" spans="1:8" x14ac:dyDescent="0.25">
      <c r="A450" t="s">
        <v>1414</v>
      </c>
      <c r="B450">
        <v>45</v>
      </c>
      <c r="C450">
        <v>21.170999999999999</v>
      </c>
      <c r="D450" s="3">
        <v>21.17</v>
      </c>
      <c r="E450" t="s">
        <v>410</v>
      </c>
      <c r="F450">
        <v>1145206</v>
      </c>
      <c r="G450" s="1">
        <v>8.3000000000000001E-3</v>
      </c>
      <c r="H450" s="1">
        <v>1.0499999999999999E-3</v>
      </c>
    </row>
    <row r="451" spans="1:8" x14ac:dyDescent="0.25">
      <c r="A451" t="s">
        <v>1414</v>
      </c>
      <c r="B451">
        <v>46</v>
      </c>
      <c r="C451">
        <v>21.401</v>
      </c>
      <c r="D451" s="3">
        <v>21.4</v>
      </c>
      <c r="E451" t="s">
        <v>411</v>
      </c>
      <c r="F451">
        <v>1858231</v>
      </c>
      <c r="G451" s="1">
        <v>1.34E-2</v>
      </c>
      <c r="H451" s="1">
        <v>1.6999999999999999E-3</v>
      </c>
    </row>
    <row r="452" spans="1:8" x14ac:dyDescent="0.25">
      <c r="A452" t="s">
        <v>1414</v>
      </c>
      <c r="B452">
        <v>47</v>
      </c>
      <c r="C452">
        <v>21.695</v>
      </c>
      <c r="D452" s="3">
        <v>21.7</v>
      </c>
      <c r="E452" t="s">
        <v>412</v>
      </c>
      <c r="F452">
        <v>1256711</v>
      </c>
      <c r="G452" s="1">
        <v>9.1000000000000004E-3</v>
      </c>
      <c r="H452" s="1">
        <v>1.15E-3</v>
      </c>
    </row>
    <row r="453" spans="1:8" x14ac:dyDescent="0.25">
      <c r="A453" t="s">
        <v>1414</v>
      </c>
      <c r="B453">
        <v>48</v>
      </c>
      <c r="C453">
        <v>22.510999999999999</v>
      </c>
      <c r="D453" s="3">
        <v>22.51</v>
      </c>
      <c r="E453" t="s">
        <v>413</v>
      </c>
      <c r="F453">
        <v>2183830</v>
      </c>
      <c r="G453" s="1">
        <v>1.5800000000000002E-2</v>
      </c>
      <c r="H453" s="1">
        <v>2E-3</v>
      </c>
    </row>
    <row r="454" spans="1:8" x14ac:dyDescent="0.25">
      <c r="A454" t="s">
        <v>1414</v>
      </c>
      <c r="B454">
        <v>49</v>
      </c>
      <c r="C454">
        <v>23.472999999999999</v>
      </c>
      <c r="D454" s="3">
        <v>23.47</v>
      </c>
      <c r="E454" t="s">
        <v>414</v>
      </c>
      <c r="F454">
        <v>2052935</v>
      </c>
      <c r="G454" s="1">
        <v>1.4800000000000001E-2</v>
      </c>
      <c r="H454" s="1">
        <v>1.8799999999999999E-3</v>
      </c>
    </row>
    <row r="455" spans="1:8" x14ac:dyDescent="0.25">
      <c r="A455" t="s">
        <v>1414</v>
      </c>
      <c r="B455">
        <v>50</v>
      </c>
      <c r="C455">
        <v>23.661999999999999</v>
      </c>
      <c r="D455" s="3">
        <v>23.66</v>
      </c>
      <c r="E455" t="s">
        <v>415</v>
      </c>
      <c r="F455">
        <v>1777750</v>
      </c>
      <c r="G455" s="1">
        <v>1.2800000000000001E-2</v>
      </c>
      <c r="H455" s="1">
        <v>1.6299999999999999E-3</v>
      </c>
    </row>
    <row r="456" spans="1:8" x14ac:dyDescent="0.25">
      <c r="A456" t="s">
        <v>1414</v>
      </c>
      <c r="B456">
        <v>51</v>
      </c>
      <c r="C456">
        <v>23.922999999999998</v>
      </c>
      <c r="D456" s="3">
        <v>23.92</v>
      </c>
      <c r="E456" t="s">
        <v>416</v>
      </c>
      <c r="F456">
        <v>1468808</v>
      </c>
      <c r="G456" s="1">
        <v>1.06E-2</v>
      </c>
      <c r="H456" s="1">
        <v>1.34E-3</v>
      </c>
    </row>
    <row r="457" spans="1:8" x14ac:dyDescent="0.25">
      <c r="A457" t="s">
        <v>1414</v>
      </c>
      <c r="B457">
        <v>52</v>
      </c>
      <c r="C457">
        <v>25.762</v>
      </c>
      <c r="D457" s="3">
        <v>25.76</v>
      </c>
      <c r="E457" t="s">
        <v>417</v>
      </c>
      <c r="F457">
        <v>2918651</v>
      </c>
      <c r="G457" s="1">
        <v>2.1100000000000001E-2</v>
      </c>
      <c r="H457" s="1">
        <v>2.6700000000000001E-3</v>
      </c>
    </row>
    <row r="458" spans="1:8" x14ac:dyDescent="0.25">
      <c r="A458" t="s">
        <v>1414</v>
      </c>
      <c r="B458">
        <v>53</v>
      </c>
      <c r="C458">
        <v>27.428999999999998</v>
      </c>
      <c r="D458" s="3">
        <v>27.43</v>
      </c>
      <c r="E458" t="s">
        <v>418</v>
      </c>
      <c r="F458">
        <v>1192204</v>
      </c>
      <c r="G458" s="1">
        <v>8.6E-3</v>
      </c>
      <c r="H458" s="1">
        <v>1.09E-3</v>
      </c>
    </row>
    <row r="459" spans="1:8" x14ac:dyDescent="0.25">
      <c r="A459" t="s">
        <v>1414</v>
      </c>
      <c r="B459">
        <v>54</v>
      </c>
      <c r="C459">
        <v>27.504999999999999</v>
      </c>
      <c r="D459" s="3">
        <v>27.51</v>
      </c>
      <c r="E459" t="s">
        <v>419</v>
      </c>
      <c r="F459">
        <v>3377740</v>
      </c>
      <c r="G459" s="1">
        <v>2.4400000000000002E-2</v>
      </c>
      <c r="H459" s="1">
        <v>3.0899999999999999E-3</v>
      </c>
    </row>
    <row r="460" spans="1:8" x14ac:dyDescent="0.25">
      <c r="A460" t="s">
        <v>1414</v>
      </c>
      <c r="B460">
        <v>55</v>
      </c>
      <c r="C460">
        <v>27.667000000000002</v>
      </c>
      <c r="D460" s="3">
        <v>27.67</v>
      </c>
      <c r="E460" t="s">
        <v>420</v>
      </c>
      <c r="F460">
        <v>1215876</v>
      </c>
      <c r="G460" s="1">
        <v>8.8000000000000005E-3</v>
      </c>
      <c r="H460" s="1">
        <v>1.1100000000000001E-3</v>
      </c>
    </row>
    <row r="461" spans="1:8" x14ac:dyDescent="0.25">
      <c r="A461" t="s">
        <v>1414</v>
      </c>
      <c r="B461">
        <v>56</v>
      </c>
      <c r="C461">
        <v>27.97</v>
      </c>
      <c r="D461" s="3">
        <v>27.97</v>
      </c>
      <c r="E461" t="s">
        <v>421</v>
      </c>
      <c r="F461">
        <v>10524562</v>
      </c>
      <c r="G461" s="1">
        <v>7.5999999999999998E-2</v>
      </c>
      <c r="H461" s="1">
        <v>9.6299999999999997E-3</v>
      </c>
    </row>
    <row r="462" spans="1:8" x14ac:dyDescent="0.25">
      <c r="A462" t="s">
        <v>1414</v>
      </c>
      <c r="B462">
        <v>57</v>
      </c>
      <c r="C462">
        <v>28.481999999999999</v>
      </c>
      <c r="D462" s="3">
        <v>28.48</v>
      </c>
      <c r="E462">
        <v>3692479</v>
      </c>
      <c r="F462">
        <v>45968559</v>
      </c>
      <c r="G462" s="1">
        <v>0.33179999999999998</v>
      </c>
      <c r="H462" s="1">
        <v>4.2070000000000003E-2</v>
      </c>
    </row>
    <row r="463" spans="1:8" x14ac:dyDescent="0.25">
      <c r="A463" t="s">
        <v>1414</v>
      </c>
      <c r="B463">
        <v>58</v>
      </c>
      <c r="C463">
        <v>28.530999999999999</v>
      </c>
      <c r="D463" s="3">
        <v>28.53</v>
      </c>
      <c r="E463" t="s">
        <v>422</v>
      </c>
      <c r="F463">
        <v>2673085</v>
      </c>
      <c r="G463" s="1">
        <v>1.9300000000000001E-2</v>
      </c>
      <c r="H463" s="1">
        <v>2.4499999999999999E-3</v>
      </c>
    </row>
    <row r="464" spans="1:8" x14ac:dyDescent="0.25">
      <c r="A464" t="s">
        <v>1414</v>
      </c>
      <c r="B464">
        <v>59</v>
      </c>
      <c r="C464">
        <v>28.553999999999998</v>
      </c>
      <c r="D464" s="3">
        <v>28.55</v>
      </c>
      <c r="E464" t="s">
        <v>423</v>
      </c>
      <c r="F464">
        <v>3000589</v>
      </c>
      <c r="G464" s="1">
        <v>2.1700000000000001E-2</v>
      </c>
      <c r="H464" s="1">
        <v>2.7499999999999998E-3</v>
      </c>
    </row>
    <row r="465" spans="1:8" x14ac:dyDescent="0.25">
      <c r="A465" t="s">
        <v>1414</v>
      </c>
      <c r="B465">
        <v>60</v>
      </c>
      <c r="C465">
        <v>28.591000000000001</v>
      </c>
      <c r="D465" s="3">
        <v>28.59</v>
      </c>
      <c r="E465" t="s">
        <v>424</v>
      </c>
      <c r="F465">
        <v>5039270</v>
      </c>
      <c r="G465" s="1">
        <v>3.6400000000000002E-2</v>
      </c>
      <c r="H465" s="1">
        <v>4.6100000000000004E-3</v>
      </c>
    </row>
    <row r="466" spans="1:8" x14ac:dyDescent="0.25">
      <c r="A466" t="s">
        <v>1414</v>
      </c>
      <c r="B466">
        <v>61</v>
      </c>
      <c r="C466">
        <v>28.731999999999999</v>
      </c>
      <c r="D466" s="3">
        <v>28.73</v>
      </c>
      <c r="E466" t="s">
        <v>425</v>
      </c>
      <c r="F466">
        <v>5069554</v>
      </c>
      <c r="G466" s="1">
        <v>3.6600000000000001E-2</v>
      </c>
      <c r="H466" s="1">
        <v>4.64E-3</v>
      </c>
    </row>
    <row r="467" spans="1:8" x14ac:dyDescent="0.25">
      <c r="A467" t="s">
        <v>1414</v>
      </c>
      <c r="B467">
        <v>62</v>
      </c>
      <c r="C467">
        <v>28.890999999999998</v>
      </c>
      <c r="D467" s="3">
        <v>28.89</v>
      </c>
      <c r="E467">
        <v>1165695</v>
      </c>
      <c r="F467">
        <v>13701380</v>
      </c>
      <c r="G467" s="1">
        <v>9.8900000000000002E-2</v>
      </c>
      <c r="H467" s="1">
        <v>1.2540000000000001E-2</v>
      </c>
    </row>
    <row r="468" spans="1:8" x14ac:dyDescent="0.25">
      <c r="A468" t="s">
        <v>1414</v>
      </c>
      <c r="B468">
        <v>63</v>
      </c>
      <c r="C468">
        <v>29.05</v>
      </c>
      <c r="D468" s="3">
        <v>29.05</v>
      </c>
      <c r="E468">
        <v>11148266</v>
      </c>
      <c r="F468">
        <v>138532263</v>
      </c>
      <c r="G468" s="1">
        <v>1</v>
      </c>
      <c r="H468" s="1">
        <v>0.12678</v>
      </c>
    </row>
    <row r="469" spans="1:8" x14ac:dyDescent="0.25">
      <c r="A469" t="s">
        <v>1414</v>
      </c>
      <c r="B469">
        <v>64</v>
      </c>
      <c r="C469">
        <v>29.158999999999999</v>
      </c>
      <c r="D469" s="3">
        <v>29.16</v>
      </c>
      <c r="E469" t="s">
        <v>426</v>
      </c>
      <c r="F469">
        <v>1947421</v>
      </c>
      <c r="G469" s="1">
        <v>1.41E-2</v>
      </c>
      <c r="H469" s="1">
        <v>1.7799999999999999E-3</v>
      </c>
    </row>
    <row r="470" spans="1:8" x14ac:dyDescent="0.25">
      <c r="A470" t="s">
        <v>1414</v>
      </c>
      <c r="B470">
        <v>65</v>
      </c>
      <c r="C470">
        <v>29.231000000000002</v>
      </c>
      <c r="D470" s="3">
        <v>29.23</v>
      </c>
      <c r="E470" t="s">
        <v>427</v>
      </c>
      <c r="F470">
        <v>2291521</v>
      </c>
      <c r="G470" s="1">
        <v>1.6500000000000001E-2</v>
      </c>
      <c r="H470" s="1">
        <v>2.0999999999999999E-3</v>
      </c>
    </row>
    <row r="471" spans="1:8" x14ac:dyDescent="0.25">
      <c r="A471" t="s">
        <v>1414</v>
      </c>
      <c r="B471">
        <v>66</v>
      </c>
      <c r="C471">
        <v>29.311</v>
      </c>
      <c r="D471" s="3">
        <v>29.31</v>
      </c>
      <c r="E471" t="s">
        <v>428</v>
      </c>
      <c r="F471">
        <v>1237598</v>
      </c>
      <c r="G471" s="1">
        <v>8.8999999999999999E-3</v>
      </c>
      <c r="H471" s="1">
        <v>1.1299999999999999E-3</v>
      </c>
    </row>
    <row r="472" spans="1:8" x14ac:dyDescent="0.25">
      <c r="A472" t="s">
        <v>1414</v>
      </c>
      <c r="B472">
        <v>67</v>
      </c>
      <c r="C472">
        <v>29.428999999999998</v>
      </c>
      <c r="D472" s="3">
        <v>29.43</v>
      </c>
      <c r="E472" t="s">
        <v>429</v>
      </c>
      <c r="F472">
        <v>5242757</v>
      </c>
      <c r="G472" s="1">
        <v>3.78E-2</v>
      </c>
      <c r="H472" s="1">
        <v>4.7999999999999996E-3</v>
      </c>
    </row>
    <row r="473" spans="1:8" x14ac:dyDescent="0.25">
      <c r="A473" t="s">
        <v>1414</v>
      </c>
      <c r="B473">
        <v>68</v>
      </c>
      <c r="C473">
        <v>29.462</v>
      </c>
      <c r="D473" s="3">
        <v>29.46</v>
      </c>
      <c r="E473" t="s">
        <v>430</v>
      </c>
      <c r="F473">
        <v>3423778</v>
      </c>
      <c r="G473" s="1">
        <v>2.47E-2</v>
      </c>
      <c r="H473" s="1">
        <v>3.13E-3</v>
      </c>
    </row>
    <row r="474" spans="1:8" x14ac:dyDescent="0.25">
      <c r="A474" t="s">
        <v>1414</v>
      </c>
      <c r="B474">
        <v>69</v>
      </c>
      <c r="C474">
        <v>29.532</v>
      </c>
      <c r="D474" s="3">
        <v>29.53</v>
      </c>
      <c r="E474" t="s">
        <v>431</v>
      </c>
      <c r="F474">
        <v>3284386</v>
      </c>
      <c r="G474" s="1">
        <v>2.3699999999999999E-2</v>
      </c>
      <c r="H474" s="1">
        <v>3.0100000000000001E-3</v>
      </c>
    </row>
    <row r="475" spans="1:8" x14ac:dyDescent="0.25">
      <c r="A475" t="s">
        <v>1414</v>
      </c>
      <c r="B475">
        <v>70</v>
      </c>
      <c r="C475">
        <v>29.617999999999999</v>
      </c>
      <c r="D475" s="3">
        <v>29.62</v>
      </c>
      <c r="E475" t="s">
        <v>432</v>
      </c>
      <c r="F475">
        <v>1178431</v>
      </c>
      <c r="G475" s="1">
        <v>8.5000000000000006E-3</v>
      </c>
      <c r="H475" s="1">
        <v>1.08E-3</v>
      </c>
    </row>
    <row r="476" spans="1:8" x14ac:dyDescent="0.25">
      <c r="A476" t="s">
        <v>1414</v>
      </c>
      <c r="B476">
        <v>71</v>
      </c>
      <c r="C476">
        <v>29.667000000000002</v>
      </c>
      <c r="D476" s="3">
        <v>29.67</v>
      </c>
      <c r="E476" t="s">
        <v>433</v>
      </c>
      <c r="F476">
        <v>1330769</v>
      </c>
      <c r="G476" s="1">
        <v>9.5999999999999992E-3</v>
      </c>
      <c r="H476" s="1">
        <v>1.2199999999999999E-3</v>
      </c>
    </row>
    <row r="477" spans="1:8" x14ac:dyDescent="0.25">
      <c r="A477" t="s">
        <v>1414</v>
      </c>
      <c r="B477">
        <v>72</v>
      </c>
      <c r="C477">
        <v>29.74</v>
      </c>
      <c r="D477" s="3">
        <v>29.74</v>
      </c>
      <c r="E477">
        <v>2639293</v>
      </c>
      <c r="F477">
        <v>28870610</v>
      </c>
      <c r="G477" s="1">
        <v>0.2084</v>
      </c>
      <c r="H477" s="1">
        <v>2.6419999999999999E-2</v>
      </c>
    </row>
    <row r="478" spans="1:8" x14ac:dyDescent="0.25">
      <c r="A478" t="s">
        <v>1414</v>
      </c>
      <c r="B478">
        <v>73</v>
      </c>
      <c r="C478">
        <v>29.838000000000001</v>
      </c>
      <c r="D478" s="3">
        <v>29.84</v>
      </c>
      <c r="E478" t="s">
        <v>434</v>
      </c>
      <c r="F478">
        <v>24083610</v>
      </c>
      <c r="G478" s="1">
        <v>0.17380000000000001</v>
      </c>
      <c r="H478" s="1">
        <v>2.2040000000000001E-2</v>
      </c>
    </row>
    <row r="479" spans="1:8" x14ac:dyDescent="0.25">
      <c r="A479" t="s">
        <v>1414</v>
      </c>
      <c r="B479">
        <v>74</v>
      </c>
      <c r="C479">
        <v>29.936</v>
      </c>
      <c r="D479" s="3">
        <v>29.94</v>
      </c>
      <c r="E479" t="s">
        <v>435</v>
      </c>
      <c r="F479">
        <v>1193816</v>
      </c>
      <c r="G479" s="1">
        <v>8.6E-3</v>
      </c>
      <c r="H479" s="1">
        <v>1.09E-3</v>
      </c>
    </row>
    <row r="480" spans="1:8" x14ac:dyDescent="0.25">
      <c r="A480" t="s">
        <v>1414</v>
      </c>
      <c r="B480">
        <v>75</v>
      </c>
      <c r="C480">
        <v>30.012</v>
      </c>
      <c r="D480" s="3">
        <v>30.01</v>
      </c>
      <c r="E480">
        <v>375511</v>
      </c>
      <c r="F480">
        <v>4791848</v>
      </c>
      <c r="G480" s="1">
        <v>3.4599999999999999E-2</v>
      </c>
      <c r="H480" s="1">
        <v>4.3899999999999998E-3</v>
      </c>
    </row>
    <row r="481" spans="1:8" x14ac:dyDescent="0.25">
      <c r="A481" t="s">
        <v>1414</v>
      </c>
      <c r="B481">
        <v>76</v>
      </c>
      <c r="C481">
        <v>30.175000000000001</v>
      </c>
      <c r="D481" s="3">
        <v>30.18</v>
      </c>
      <c r="E481">
        <v>670206</v>
      </c>
      <c r="F481">
        <v>6690754</v>
      </c>
      <c r="G481" s="1">
        <v>4.8300000000000003E-2</v>
      </c>
      <c r="H481" s="1">
        <v>6.1199999999999996E-3</v>
      </c>
    </row>
    <row r="482" spans="1:8" x14ac:dyDescent="0.25">
      <c r="A482" t="s">
        <v>1414</v>
      </c>
      <c r="B482">
        <v>77</v>
      </c>
      <c r="C482">
        <v>30.466000000000001</v>
      </c>
      <c r="D482" s="3">
        <v>30.47</v>
      </c>
      <c r="E482">
        <v>846536</v>
      </c>
      <c r="F482">
        <v>12529126</v>
      </c>
      <c r="G482" s="1">
        <v>9.0399999999999994E-2</v>
      </c>
      <c r="H482" s="1">
        <v>1.1469999999999999E-2</v>
      </c>
    </row>
    <row r="483" spans="1:8" x14ac:dyDescent="0.25">
      <c r="A483" t="s">
        <v>1414</v>
      </c>
      <c r="B483">
        <v>78</v>
      </c>
      <c r="C483">
        <v>31.015000000000001</v>
      </c>
      <c r="D483" s="3">
        <v>31.02</v>
      </c>
      <c r="E483">
        <v>387830</v>
      </c>
      <c r="F483">
        <v>7991928</v>
      </c>
      <c r="G483" s="1">
        <v>5.7700000000000001E-2</v>
      </c>
      <c r="H483" s="1">
        <v>7.3099999999999997E-3</v>
      </c>
    </row>
    <row r="484" spans="1:8" x14ac:dyDescent="0.25">
      <c r="A484" t="s">
        <v>1414</v>
      </c>
      <c r="B484">
        <v>79</v>
      </c>
      <c r="C484">
        <v>31.300999999999998</v>
      </c>
      <c r="D484" s="3">
        <v>31.3</v>
      </c>
      <c r="E484">
        <v>53034</v>
      </c>
      <c r="F484">
        <v>1739066</v>
      </c>
      <c r="G484" s="1">
        <v>1.26E-2</v>
      </c>
      <c r="H484" s="1">
        <v>1.5900000000000001E-3</v>
      </c>
    </row>
    <row r="485" spans="1:8" x14ac:dyDescent="0.25">
      <c r="A485" t="s">
        <v>1414</v>
      </c>
      <c r="B485">
        <v>80</v>
      </c>
      <c r="C485">
        <v>31.366</v>
      </c>
      <c r="D485" s="3">
        <v>31.37</v>
      </c>
      <c r="E485">
        <v>54569</v>
      </c>
      <c r="F485">
        <v>2290537</v>
      </c>
      <c r="G485" s="1">
        <v>1.6500000000000001E-2</v>
      </c>
      <c r="H485" s="1">
        <v>2.0999999999999999E-3</v>
      </c>
    </row>
    <row r="486" spans="1:8" x14ac:dyDescent="0.25">
      <c r="A486" t="s">
        <v>1414</v>
      </c>
      <c r="B486">
        <v>81</v>
      </c>
      <c r="C486">
        <v>31.594000000000001</v>
      </c>
      <c r="D486" s="3">
        <v>31.59</v>
      </c>
      <c r="E486">
        <v>191568</v>
      </c>
      <c r="F486">
        <v>4482738</v>
      </c>
      <c r="G486" s="1">
        <v>3.2399999999999998E-2</v>
      </c>
      <c r="H486" s="1">
        <v>4.1000000000000003E-3</v>
      </c>
    </row>
    <row r="487" spans="1:8" x14ac:dyDescent="0.25">
      <c r="A487" t="s">
        <v>1414</v>
      </c>
      <c r="B487">
        <v>82</v>
      </c>
      <c r="C487">
        <v>31.699000000000002</v>
      </c>
      <c r="D487" s="3">
        <v>31.7</v>
      </c>
      <c r="E487" t="s">
        <v>436</v>
      </c>
      <c r="F487">
        <v>2151171</v>
      </c>
      <c r="G487" s="1">
        <v>1.55E-2</v>
      </c>
      <c r="H487" s="1">
        <v>1.97E-3</v>
      </c>
    </row>
    <row r="488" spans="1:8" x14ac:dyDescent="0.25">
      <c r="A488" t="s">
        <v>1414</v>
      </c>
      <c r="B488">
        <v>83</v>
      </c>
      <c r="C488">
        <v>31.771999999999998</v>
      </c>
      <c r="D488" s="3">
        <v>31.77</v>
      </c>
      <c r="E488" t="s">
        <v>437</v>
      </c>
      <c r="F488">
        <v>2037064</v>
      </c>
      <c r="G488" s="1">
        <v>1.47E-2</v>
      </c>
      <c r="H488" s="1">
        <v>1.8600000000000001E-3</v>
      </c>
    </row>
    <row r="489" spans="1:8" x14ac:dyDescent="0.25">
      <c r="A489" t="s">
        <v>1414</v>
      </c>
      <c r="B489">
        <v>84</v>
      </c>
      <c r="C489">
        <v>31.850999999999999</v>
      </c>
      <c r="D489" s="3">
        <v>31.85</v>
      </c>
      <c r="E489" t="s">
        <v>438</v>
      </c>
      <c r="F489">
        <v>1918939</v>
      </c>
      <c r="G489" s="1">
        <v>1.3899999999999999E-2</v>
      </c>
      <c r="H489" s="1">
        <v>1.7600000000000001E-3</v>
      </c>
    </row>
    <row r="490" spans="1:8" x14ac:dyDescent="0.25">
      <c r="A490" t="s">
        <v>1414</v>
      </c>
      <c r="B490">
        <v>85</v>
      </c>
      <c r="C490">
        <v>31.984999999999999</v>
      </c>
      <c r="D490" s="3">
        <v>31.99</v>
      </c>
      <c r="E490">
        <v>1965102</v>
      </c>
      <c r="F490">
        <v>31794300</v>
      </c>
      <c r="G490" s="1">
        <v>0.22950000000000001</v>
      </c>
      <c r="H490" s="1">
        <v>2.9100000000000001E-2</v>
      </c>
    </row>
    <row r="491" spans="1:8" x14ac:dyDescent="0.25">
      <c r="A491" t="s">
        <v>1414</v>
      </c>
      <c r="B491">
        <v>86</v>
      </c>
      <c r="C491">
        <v>32.076999999999998</v>
      </c>
      <c r="D491" s="3">
        <v>32.08</v>
      </c>
      <c r="E491">
        <v>62809</v>
      </c>
      <c r="F491">
        <v>2061069</v>
      </c>
      <c r="G491" s="1">
        <v>1.49E-2</v>
      </c>
      <c r="H491" s="1">
        <v>1.89E-3</v>
      </c>
    </row>
    <row r="492" spans="1:8" x14ac:dyDescent="0.25">
      <c r="A492" t="s">
        <v>1414</v>
      </c>
      <c r="B492">
        <v>87</v>
      </c>
      <c r="C492">
        <v>32.168999999999997</v>
      </c>
      <c r="D492" s="3">
        <v>32.17</v>
      </c>
      <c r="E492">
        <v>37041</v>
      </c>
      <c r="F492">
        <v>1155542</v>
      </c>
      <c r="G492" s="1">
        <v>8.3000000000000001E-3</v>
      </c>
      <c r="H492" s="1">
        <v>1.06E-3</v>
      </c>
    </row>
    <row r="493" spans="1:8" x14ac:dyDescent="0.25">
      <c r="A493" t="s">
        <v>1414</v>
      </c>
      <c r="B493">
        <v>88</v>
      </c>
      <c r="C493">
        <v>32.280999999999999</v>
      </c>
      <c r="D493" s="3">
        <v>32.28</v>
      </c>
      <c r="E493">
        <v>85082</v>
      </c>
      <c r="F493">
        <v>2690691</v>
      </c>
      <c r="G493" s="1">
        <v>1.9400000000000001E-2</v>
      </c>
      <c r="H493" s="1">
        <v>2.4599999999999999E-3</v>
      </c>
    </row>
    <row r="494" spans="1:8" x14ac:dyDescent="0.25">
      <c r="A494" t="s">
        <v>1414</v>
      </c>
      <c r="B494">
        <v>89</v>
      </c>
      <c r="C494">
        <v>32.546999999999997</v>
      </c>
      <c r="D494" s="3">
        <v>32.549999999999997</v>
      </c>
      <c r="E494">
        <v>402351</v>
      </c>
      <c r="F494">
        <v>10708678</v>
      </c>
      <c r="G494" s="1">
        <v>7.7299999999999994E-2</v>
      </c>
      <c r="H494" s="1">
        <v>9.7999999999999997E-3</v>
      </c>
    </row>
    <row r="495" spans="1:8" x14ac:dyDescent="0.25">
      <c r="A495" t="s">
        <v>1414</v>
      </c>
      <c r="B495">
        <v>90</v>
      </c>
      <c r="C495">
        <v>32.726999999999997</v>
      </c>
      <c r="D495" s="3">
        <v>32.729999999999997</v>
      </c>
      <c r="E495" t="s">
        <v>439</v>
      </c>
      <c r="F495">
        <v>137338480</v>
      </c>
      <c r="G495" s="1">
        <v>0.99139999999999995</v>
      </c>
      <c r="H495" s="1">
        <v>0.12569</v>
      </c>
    </row>
    <row r="496" spans="1:8" x14ac:dyDescent="0.25">
      <c r="A496" t="s">
        <v>1414</v>
      </c>
      <c r="B496">
        <v>91</v>
      </c>
      <c r="C496">
        <v>33.097999999999999</v>
      </c>
      <c r="D496" s="3">
        <v>33.1</v>
      </c>
      <c r="E496">
        <v>619339</v>
      </c>
      <c r="F496">
        <v>19068927</v>
      </c>
      <c r="G496" s="1">
        <v>0.1376</v>
      </c>
      <c r="H496" s="1">
        <v>1.745E-2</v>
      </c>
    </row>
    <row r="497" spans="1:8" x14ac:dyDescent="0.25">
      <c r="A497" t="s">
        <v>1414</v>
      </c>
      <c r="B497">
        <v>92</v>
      </c>
      <c r="C497">
        <v>33.331000000000003</v>
      </c>
      <c r="D497" s="3">
        <v>33.33</v>
      </c>
      <c r="E497">
        <v>3836891</v>
      </c>
      <c r="F497">
        <v>106454000</v>
      </c>
      <c r="G497" s="1">
        <v>0.76839999999999997</v>
      </c>
      <c r="H497" s="1">
        <v>9.7430000000000003E-2</v>
      </c>
    </row>
    <row r="498" spans="1:8" x14ac:dyDescent="0.25">
      <c r="A498" t="s">
        <v>1414</v>
      </c>
      <c r="B498">
        <v>93</v>
      </c>
      <c r="C498">
        <v>33.533999999999999</v>
      </c>
      <c r="D498" s="3">
        <v>33.53</v>
      </c>
      <c r="E498">
        <v>311885</v>
      </c>
      <c r="F498">
        <v>26273326</v>
      </c>
      <c r="G498" s="1">
        <v>0.18970000000000001</v>
      </c>
      <c r="H498" s="1">
        <v>2.4049999999999998E-2</v>
      </c>
    </row>
    <row r="499" spans="1:8" x14ac:dyDescent="0.25">
      <c r="A499" t="s">
        <v>1414</v>
      </c>
      <c r="B499">
        <v>94</v>
      </c>
      <c r="C499">
        <v>33.685000000000002</v>
      </c>
      <c r="D499" s="3">
        <v>33.69</v>
      </c>
      <c r="E499" t="s">
        <v>440</v>
      </c>
      <c r="F499">
        <v>81208873</v>
      </c>
      <c r="G499" s="1">
        <v>0.58620000000000005</v>
      </c>
      <c r="H499" s="1">
        <v>7.4319999999999997E-2</v>
      </c>
    </row>
    <row r="500" spans="1:8" x14ac:dyDescent="0.25">
      <c r="A500" t="s">
        <v>1415</v>
      </c>
      <c r="B500">
        <v>1</v>
      </c>
      <c r="C500">
        <v>4.8840000000000003</v>
      </c>
      <c r="D500" s="3">
        <v>4.88</v>
      </c>
      <c r="E500" t="s">
        <v>441</v>
      </c>
      <c r="F500">
        <v>12555303</v>
      </c>
      <c r="G500" s="1">
        <v>0.14169999999999999</v>
      </c>
      <c r="H500" s="1">
        <v>2.5329999999999998E-2</v>
      </c>
    </row>
    <row r="501" spans="1:8" x14ac:dyDescent="0.25">
      <c r="A501" t="s">
        <v>1415</v>
      </c>
      <c r="B501">
        <v>2</v>
      </c>
      <c r="C501">
        <v>6.109</v>
      </c>
      <c r="D501" s="3">
        <v>6.11</v>
      </c>
      <c r="E501" t="s">
        <v>442</v>
      </c>
      <c r="F501">
        <v>1541356</v>
      </c>
      <c r="G501" s="1">
        <v>1.7399999999999999E-2</v>
      </c>
      <c r="H501" s="1">
        <v>3.1099999999999999E-3</v>
      </c>
    </row>
    <row r="502" spans="1:8" x14ac:dyDescent="0.25">
      <c r="A502" t="s">
        <v>1415</v>
      </c>
      <c r="B502">
        <v>3</v>
      </c>
      <c r="C502">
        <v>6.4889999999999999</v>
      </c>
      <c r="D502" s="3">
        <v>6.49</v>
      </c>
      <c r="E502" t="s">
        <v>443</v>
      </c>
      <c r="F502">
        <v>5671116</v>
      </c>
      <c r="G502" s="1">
        <v>6.4000000000000001E-2</v>
      </c>
      <c r="H502" s="1">
        <v>1.1440000000000001E-2</v>
      </c>
    </row>
    <row r="503" spans="1:8" x14ac:dyDescent="0.25">
      <c r="A503" t="s">
        <v>1415</v>
      </c>
      <c r="B503">
        <v>4</v>
      </c>
      <c r="C503">
        <v>8.202</v>
      </c>
      <c r="D503" s="3">
        <v>8.1999999999999993</v>
      </c>
      <c r="E503" t="s">
        <v>444</v>
      </c>
      <c r="F503">
        <v>1877053</v>
      </c>
      <c r="G503" s="1">
        <v>2.12E-2</v>
      </c>
      <c r="H503" s="1">
        <v>3.79E-3</v>
      </c>
    </row>
    <row r="504" spans="1:8" x14ac:dyDescent="0.25">
      <c r="A504" t="s">
        <v>1415</v>
      </c>
      <c r="B504">
        <v>5</v>
      </c>
      <c r="C504">
        <v>8.2680000000000007</v>
      </c>
      <c r="D504" s="3">
        <v>8.27</v>
      </c>
      <c r="E504" t="s">
        <v>445</v>
      </c>
      <c r="F504">
        <v>2332035</v>
      </c>
      <c r="G504" s="1">
        <v>2.63E-2</v>
      </c>
      <c r="H504" s="1">
        <v>4.7099999999999998E-3</v>
      </c>
    </row>
    <row r="505" spans="1:8" x14ac:dyDescent="0.25">
      <c r="A505" t="s">
        <v>1415</v>
      </c>
      <c r="B505">
        <v>6</v>
      </c>
      <c r="C505">
        <v>8.9250000000000007</v>
      </c>
      <c r="D505" s="3">
        <v>8.93</v>
      </c>
      <c r="E505" t="s">
        <v>446</v>
      </c>
      <c r="F505">
        <v>1506009</v>
      </c>
      <c r="G505" s="1">
        <v>1.7000000000000001E-2</v>
      </c>
      <c r="H505" s="1">
        <v>3.0400000000000002E-3</v>
      </c>
    </row>
    <row r="506" spans="1:8" x14ac:dyDescent="0.25">
      <c r="A506" t="s">
        <v>1415</v>
      </c>
      <c r="B506">
        <v>7</v>
      </c>
      <c r="C506">
        <v>9.1850000000000005</v>
      </c>
      <c r="D506" s="3">
        <v>9.19</v>
      </c>
      <c r="E506" t="s">
        <v>447</v>
      </c>
      <c r="F506">
        <v>2888296</v>
      </c>
      <c r="G506" s="1">
        <v>3.2599999999999997E-2</v>
      </c>
      <c r="H506" s="1">
        <v>5.8300000000000001E-3</v>
      </c>
    </row>
    <row r="507" spans="1:8" x14ac:dyDescent="0.25">
      <c r="A507" t="s">
        <v>1415</v>
      </c>
      <c r="B507">
        <v>8</v>
      </c>
      <c r="C507">
        <v>9.5109999999999992</v>
      </c>
      <c r="D507" s="3">
        <v>9.51</v>
      </c>
      <c r="E507" t="s">
        <v>448</v>
      </c>
      <c r="F507">
        <v>1194339</v>
      </c>
      <c r="G507" s="1">
        <v>1.35E-2</v>
      </c>
      <c r="H507" s="1">
        <v>2.4099999999999998E-3</v>
      </c>
    </row>
    <row r="508" spans="1:8" x14ac:dyDescent="0.25">
      <c r="A508" t="s">
        <v>1415</v>
      </c>
      <c r="B508">
        <v>9</v>
      </c>
      <c r="C508">
        <v>9.6519999999999992</v>
      </c>
      <c r="D508" s="3">
        <v>9.65</v>
      </c>
      <c r="E508" t="s">
        <v>449</v>
      </c>
      <c r="F508">
        <v>19299536</v>
      </c>
      <c r="G508" s="1">
        <v>0.21779999999999999</v>
      </c>
      <c r="H508" s="1">
        <v>3.8940000000000002E-2</v>
      </c>
    </row>
    <row r="509" spans="1:8" x14ac:dyDescent="0.25">
      <c r="A509" t="s">
        <v>1415</v>
      </c>
      <c r="B509">
        <v>10</v>
      </c>
      <c r="C509">
        <v>10.285</v>
      </c>
      <c r="D509" s="3">
        <v>10.29</v>
      </c>
      <c r="E509" t="s">
        <v>450</v>
      </c>
      <c r="F509">
        <v>1214526</v>
      </c>
      <c r="G509" s="1">
        <v>1.37E-2</v>
      </c>
      <c r="H509" s="1">
        <v>2.4499999999999999E-3</v>
      </c>
    </row>
    <row r="510" spans="1:8" x14ac:dyDescent="0.25">
      <c r="A510" t="s">
        <v>1415</v>
      </c>
      <c r="B510">
        <v>11</v>
      </c>
      <c r="C510">
        <v>11.101000000000001</v>
      </c>
      <c r="D510" s="3">
        <v>11.1</v>
      </c>
      <c r="E510" t="s">
        <v>451</v>
      </c>
      <c r="F510">
        <v>1137900</v>
      </c>
      <c r="G510" s="1">
        <v>1.2800000000000001E-2</v>
      </c>
      <c r="H510" s="1">
        <v>2.3E-3</v>
      </c>
    </row>
    <row r="511" spans="1:8" x14ac:dyDescent="0.25">
      <c r="A511" t="s">
        <v>1415</v>
      </c>
      <c r="B511">
        <v>12</v>
      </c>
      <c r="C511">
        <v>11.228999999999999</v>
      </c>
      <c r="D511" s="3">
        <v>11.23</v>
      </c>
      <c r="E511" t="s">
        <v>452</v>
      </c>
      <c r="F511">
        <v>1208399</v>
      </c>
      <c r="G511" s="1">
        <v>1.3599999999999999E-2</v>
      </c>
      <c r="H511" s="1">
        <v>2.4399999999999999E-3</v>
      </c>
    </row>
    <row r="512" spans="1:8" x14ac:dyDescent="0.25">
      <c r="A512" t="s">
        <v>1415</v>
      </c>
      <c r="B512">
        <v>13</v>
      </c>
      <c r="C512">
        <v>11.412000000000001</v>
      </c>
      <c r="D512" s="3">
        <v>11.41</v>
      </c>
      <c r="E512" t="s">
        <v>453</v>
      </c>
      <c r="F512">
        <v>1830566</v>
      </c>
      <c r="G512" s="1">
        <v>2.07E-2</v>
      </c>
      <c r="H512" s="1">
        <v>3.6900000000000001E-3</v>
      </c>
    </row>
    <row r="513" spans="1:8" x14ac:dyDescent="0.25">
      <c r="A513" t="s">
        <v>1415</v>
      </c>
      <c r="B513">
        <v>14</v>
      </c>
      <c r="C513">
        <v>11.750999999999999</v>
      </c>
      <c r="D513" s="3">
        <v>11.75</v>
      </c>
      <c r="E513" t="s">
        <v>454</v>
      </c>
      <c r="F513">
        <v>1060583</v>
      </c>
      <c r="G513" s="1">
        <v>1.2E-2</v>
      </c>
      <c r="H513" s="1">
        <v>2.14E-3</v>
      </c>
    </row>
    <row r="514" spans="1:8" x14ac:dyDescent="0.25">
      <c r="A514" t="s">
        <v>1415</v>
      </c>
      <c r="B514">
        <v>15</v>
      </c>
      <c r="C514">
        <v>12.842000000000001</v>
      </c>
      <c r="D514" s="3">
        <v>12.84</v>
      </c>
      <c r="E514" t="s">
        <v>455</v>
      </c>
      <c r="F514">
        <v>37951515</v>
      </c>
      <c r="G514" s="1">
        <v>0.4284</v>
      </c>
      <c r="H514" s="1">
        <v>7.6569999999999999E-2</v>
      </c>
    </row>
    <row r="515" spans="1:8" x14ac:dyDescent="0.25">
      <c r="A515" t="s">
        <v>1415</v>
      </c>
      <c r="B515">
        <v>16</v>
      </c>
      <c r="C515">
        <v>13.032999999999999</v>
      </c>
      <c r="D515" s="3">
        <v>13.03</v>
      </c>
      <c r="E515" t="s">
        <v>456</v>
      </c>
      <c r="F515">
        <v>1727880</v>
      </c>
      <c r="G515" s="1">
        <v>1.95E-2</v>
      </c>
      <c r="H515" s="1">
        <v>3.49E-3</v>
      </c>
    </row>
    <row r="516" spans="1:8" x14ac:dyDescent="0.25">
      <c r="A516" t="s">
        <v>1415</v>
      </c>
      <c r="B516">
        <v>17</v>
      </c>
      <c r="C516">
        <v>13.224</v>
      </c>
      <c r="D516" s="3">
        <v>13.22</v>
      </c>
      <c r="E516" t="s">
        <v>457</v>
      </c>
      <c r="F516">
        <v>2088153</v>
      </c>
      <c r="G516" s="1">
        <v>2.3599999999999999E-2</v>
      </c>
      <c r="H516" s="1">
        <v>4.2100000000000002E-3</v>
      </c>
    </row>
    <row r="517" spans="1:8" x14ac:dyDescent="0.25">
      <c r="A517" t="s">
        <v>1415</v>
      </c>
      <c r="B517">
        <v>18</v>
      </c>
      <c r="C517">
        <v>14.523</v>
      </c>
      <c r="D517" s="3">
        <v>14.52</v>
      </c>
      <c r="E517" t="s">
        <v>458</v>
      </c>
      <c r="F517">
        <v>4871818</v>
      </c>
      <c r="G517" s="1">
        <v>5.5E-2</v>
      </c>
      <c r="H517" s="1">
        <v>9.8300000000000002E-3</v>
      </c>
    </row>
    <row r="518" spans="1:8" x14ac:dyDescent="0.25">
      <c r="A518" t="s">
        <v>1415</v>
      </c>
      <c r="B518">
        <v>19</v>
      </c>
      <c r="C518">
        <v>14.832000000000001</v>
      </c>
      <c r="D518" s="3">
        <v>14.83</v>
      </c>
      <c r="E518" t="s">
        <v>459</v>
      </c>
      <c r="F518">
        <v>1534402</v>
      </c>
      <c r="G518" s="1">
        <v>1.7299999999999999E-2</v>
      </c>
      <c r="H518" s="1">
        <v>3.0999999999999999E-3</v>
      </c>
    </row>
    <row r="519" spans="1:8" x14ac:dyDescent="0.25">
      <c r="A519" t="s">
        <v>1415</v>
      </c>
      <c r="B519">
        <v>20</v>
      </c>
      <c r="C519">
        <v>15.583</v>
      </c>
      <c r="D519" s="3">
        <v>15.58</v>
      </c>
      <c r="E519" t="s">
        <v>460</v>
      </c>
      <c r="F519">
        <v>1698269</v>
      </c>
      <c r="G519" s="1">
        <v>1.9199999999999998E-2</v>
      </c>
      <c r="H519" s="1">
        <v>3.4299999999999999E-3</v>
      </c>
    </row>
    <row r="520" spans="1:8" x14ac:dyDescent="0.25">
      <c r="A520" t="s">
        <v>1415</v>
      </c>
      <c r="B520">
        <v>21</v>
      </c>
      <c r="C520">
        <v>15.714</v>
      </c>
      <c r="D520" s="3">
        <v>15.71</v>
      </c>
      <c r="E520" t="s">
        <v>461</v>
      </c>
      <c r="F520">
        <v>1293914</v>
      </c>
      <c r="G520" s="1">
        <v>1.46E-2</v>
      </c>
      <c r="H520" s="1">
        <v>2.6099999999999999E-3</v>
      </c>
    </row>
    <row r="521" spans="1:8" x14ac:dyDescent="0.25">
      <c r="A521" t="s">
        <v>1415</v>
      </c>
      <c r="B521">
        <v>22</v>
      </c>
      <c r="C521">
        <v>15.874000000000001</v>
      </c>
      <c r="D521" s="3">
        <v>15.87</v>
      </c>
      <c r="E521" t="s">
        <v>462</v>
      </c>
      <c r="F521">
        <v>20533459</v>
      </c>
      <c r="G521" s="1">
        <v>0.23180000000000001</v>
      </c>
      <c r="H521" s="1">
        <v>4.1430000000000002E-2</v>
      </c>
    </row>
    <row r="522" spans="1:8" x14ac:dyDescent="0.25">
      <c r="A522" t="s">
        <v>1415</v>
      </c>
      <c r="B522">
        <v>23</v>
      </c>
      <c r="C522">
        <v>16.661999999999999</v>
      </c>
      <c r="D522" s="3">
        <v>16.66</v>
      </c>
      <c r="E522" t="s">
        <v>463</v>
      </c>
      <c r="F522">
        <v>1983668</v>
      </c>
      <c r="G522" s="1">
        <v>2.24E-2</v>
      </c>
      <c r="H522" s="1">
        <v>4.0000000000000001E-3</v>
      </c>
    </row>
    <row r="523" spans="1:8" x14ac:dyDescent="0.25">
      <c r="A523" t="s">
        <v>1415</v>
      </c>
      <c r="B523">
        <v>24</v>
      </c>
      <c r="C523">
        <v>16.763999999999999</v>
      </c>
      <c r="D523" s="3">
        <v>16.760000000000002</v>
      </c>
      <c r="E523" t="s">
        <v>464</v>
      </c>
      <c r="F523">
        <v>1280100</v>
      </c>
      <c r="G523" s="1">
        <v>1.44E-2</v>
      </c>
      <c r="H523" s="1">
        <v>2.5799999999999998E-3</v>
      </c>
    </row>
    <row r="524" spans="1:8" x14ac:dyDescent="0.25">
      <c r="A524" t="s">
        <v>1415</v>
      </c>
      <c r="B524">
        <v>25</v>
      </c>
      <c r="C524">
        <v>17.062000000000001</v>
      </c>
      <c r="D524" s="3">
        <v>17.059999999999999</v>
      </c>
      <c r="E524" t="s">
        <v>465</v>
      </c>
      <c r="F524">
        <v>81880628</v>
      </c>
      <c r="G524" s="1">
        <v>0.92430000000000001</v>
      </c>
      <c r="H524" s="1">
        <v>0.16521</v>
      </c>
    </row>
    <row r="525" spans="1:8" x14ac:dyDescent="0.25">
      <c r="A525" t="s">
        <v>1415</v>
      </c>
      <c r="B525">
        <v>26</v>
      </c>
      <c r="C525">
        <v>17.454999999999998</v>
      </c>
      <c r="D525" s="3">
        <v>17.46</v>
      </c>
      <c r="E525" t="s">
        <v>466</v>
      </c>
      <c r="F525">
        <v>19296781</v>
      </c>
      <c r="G525" s="1">
        <v>0.21779999999999999</v>
      </c>
      <c r="H525" s="1">
        <v>3.8929999999999999E-2</v>
      </c>
    </row>
    <row r="526" spans="1:8" x14ac:dyDescent="0.25">
      <c r="A526" t="s">
        <v>1415</v>
      </c>
      <c r="B526">
        <v>27</v>
      </c>
      <c r="C526">
        <v>17.562000000000001</v>
      </c>
      <c r="D526" s="3">
        <v>17.559999999999999</v>
      </c>
      <c r="E526" t="s">
        <v>467</v>
      </c>
      <c r="F526">
        <v>3029456</v>
      </c>
      <c r="G526" s="1">
        <v>3.4200000000000001E-2</v>
      </c>
      <c r="H526" s="1">
        <v>6.11E-3</v>
      </c>
    </row>
    <row r="527" spans="1:8" x14ac:dyDescent="0.25">
      <c r="A527" t="s">
        <v>1415</v>
      </c>
      <c r="B527">
        <v>28</v>
      </c>
      <c r="C527">
        <v>17.710999999999999</v>
      </c>
      <c r="D527" s="3">
        <v>17.71</v>
      </c>
      <c r="E527" t="s">
        <v>468</v>
      </c>
      <c r="F527">
        <v>1495460</v>
      </c>
      <c r="G527" s="1">
        <v>1.6899999999999998E-2</v>
      </c>
      <c r="H527" s="1">
        <v>3.0200000000000001E-3</v>
      </c>
    </row>
    <row r="528" spans="1:8" x14ac:dyDescent="0.25">
      <c r="A528" t="s">
        <v>1415</v>
      </c>
      <c r="B528">
        <v>29</v>
      </c>
      <c r="C528">
        <v>17.803000000000001</v>
      </c>
      <c r="D528" s="3">
        <v>17.8</v>
      </c>
      <c r="E528" t="s">
        <v>469</v>
      </c>
      <c r="F528">
        <v>1865540</v>
      </c>
      <c r="G528" s="1">
        <v>2.1100000000000001E-2</v>
      </c>
      <c r="H528" s="1">
        <v>3.7599999999999999E-3</v>
      </c>
    </row>
    <row r="529" spans="1:8" x14ac:dyDescent="0.25">
      <c r="A529" t="s">
        <v>1415</v>
      </c>
      <c r="B529">
        <v>30</v>
      </c>
      <c r="C529">
        <v>17.916</v>
      </c>
      <c r="D529" s="3">
        <v>17.920000000000002</v>
      </c>
      <c r="E529" t="s">
        <v>470</v>
      </c>
      <c r="F529">
        <v>1990222</v>
      </c>
      <c r="G529" s="1">
        <v>2.2499999999999999E-2</v>
      </c>
      <c r="H529" s="1">
        <v>4.0200000000000001E-3</v>
      </c>
    </row>
    <row r="530" spans="1:8" x14ac:dyDescent="0.25">
      <c r="A530" t="s">
        <v>1415</v>
      </c>
      <c r="B530">
        <v>31</v>
      </c>
      <c r="C530">
        <v>18.018000000000001</v>
      </c>
      <c r="D530" s="3">
        <v>18.02</v>
      </c>
      <c r="E530" t="s">
        <v>471</v>
      </c>
      <c r="F530">
        <v>1203650</v>
      </c>
      <c r="G530" s="1">
        <v>1.3599999999999999E-2</v>
      </c>
      <c r="H530" s="1">
        <v>2.4299999999999999E-3</v>
      </c>
    </row>
    <row r="531" spans="1:8" x14ac:dyDescent="0.25">
      <c r="A531" t="s">
        <v>1415</v>
      </c>
      <c r="B531">
        <v>32</v>
      </c>
      <c r="C531">
        <v>18.061</v>
      </c>
      <c r="D531" s="3">
        <v>18.059999999999999</v>
      </c>
      <c r="E531">
        <v>45356</v>
      </c>
      <c r="F531">
        <v>1334653</v>
      </c>
      <c r="G531" s="1">
        <v>1.5100000000000001E-2</v>
      </c>
      <c r="H531" s="1">
        <v>2.6900000000000001E-3</v>
      </c>
    </row>
    <row r="532" spans="1:8" x14ac:dyDescent="0.25">
      <c r="A532" t="s">
        <v>1415</v>
      </c>
      <c r="B532">
        <v>33</v>
      </c>
      <c r="C532">
        <v>18.306999999999999</v>
      </c>
      <c r="D532" s="3">
        <v>18.309999999999999</v>
      </c>
      <c r="E532" t="s">
        <v>472</v>
      </c>
      <c r="F532">
        <v>1471387</v>
      </c>
      <c r="G532" s="1">
        <v>1.66E-2</v>
      </c>
      <c r="H532" s="1">
        <v>2.97E-3</v>
      </c>
    </row>
    <row r="533" spans="1:8" x14ac:dyDescent="0.25">
      <c r="A533" t="s">
        <v>1415</v>
      </c>
      <c r="B533">
        <v>34</v>
      </c>
      <c r="C533">
        <v>18.431999999999999</v>
      </c>
      <c r="D533" s="3">
        <v>18.43</v>
      </c>
      <c r="E533" t="s">
        <v>473</v>
      </c>
      <c r="F533">
        <v>1147474</v>
      </c>
      <c r="G533" s="1">
        <v>1.2999999999999999E-2</v>
      </c>
      <c r="H533" s="1">
        <v>2.32E-3</v>
      </c>
    </row>
    <row r="534" spans="1:8" x14ac:dyDescent="0.25">
      <c r="A534" t="s">
        <v>1415</v>
      </c>
      <c r="B534">
        <v>35</v>
      </c>
      <c r="C534">
        <v>18.728999999999999</v>
      </c>
      <c r="D534" s="3">
        <v>18.73</v>
      </c>
      <c r="E534" t="s">
        <v>474</v>
      </c>
      <c r="F534">
        <v>3700642</v>
      </c>
      <c r="G534" s="1">
        <v>4.1799999999999997E-2</v>
      </c>
      <c r="H534" s="1">
        <v>7.4700000000000001E-3</v>
      </c>
    </row>
    <row r="535" spans="1:8" x14ac:dyDescent="0.25">
      <c r="A535" t="s">
        <v>1415</v>
      </c>
      <c r="B535">
        <v>36</v>
      </c>
      <c r="C535">
        <v>18.843</v>
      </c>
      <c r="D535" s="3">
        <v>18.84</v>
      </c>
      <c r="E535" t="s">
        <v>475</v>
      </c>
      <c r="F535">
        <v>5178365</v>
      </c>
      <c r="G535" s="1">
        <v>5.8500000000000003E-2</v>
      </c>
      <c r="H535" s="1">
        <v>1.0449999999999999E-2</v>
      </c>
    </row>
    <row r="536" spans="1:8" x14ac:dyDescent="0.25">
      <c r="A536" t="s">
        <v>1415</v>
      </c>
      <c r="B536">
        <v>37</v>
      </c>
      <c r="C536">
        <v>19.408999999999999</v>
      </c>
      <c r="D536" s="3">
        <v>19.41</v>
      </c>
      <c r="E536" t="s">
        <v>476</v>
      </c>
      <c r="F536">
        <v>1367998</v>
      </c>
      <c r="G536" s="1">
        <v>1.54E-2</v>
      </c>
      <c r="H536" s="1">
        <v>2.7599999999999999E-3</v>
      </c>
    </row>
    <row r="537" spans="1:8" x14ac:dyDescent="0.25">
      <c r="A537" t="s">
        <v>1415</v>
      </c>
      <c r="B537">
        <v>38</v>
      </c>
      <c r="C537">
        <v>19.568000000000001</v>
      </c>
      <c r="D537" s="3">
        <v>19.57</v>
      </c>
      <c r="E537" t="s">
        <v>477</v>
      </c>
      <c r="F537">
        <v>1068688</v>
      </c>
      <c r="G537" s="1">
        <v>1.21E-2</v>
      </c>
      <c r="H537" s="1">
        <v>2.16E-3</v>
      </c>
    </row>
    <row r="538" spans="1:8" x14ac:dyDescent="0.25">
      <c r="A538" t="s">
        <v>1415</v>
      </c>
      <c r="B538">
        <v>39</v>
      </c>
      <c r="C538">
        <v>20.22</v>
      </c>
      <c r="D538" s="3">
        <v>20.22</v>
      </c>
      <c r="E538" t="s">
        <v>478</v>
      </c>
      <c r="F538">
        <v>7576095</v>
      </c>
      <c r="G538" s="1">
        <v>8.5500000000000007E-2</v>
      </c>
      <c r="H538" s="1">
        <v>1.529E-2</v>
      </c>
    </row>
    <row r="539" spans="1:8" x14ac:dyDescent="0.25">
      <c r="A539" t="s">
        <v>1415</v>
      </c>
      <c r="B539">
        <v>40</v>
      </c>
      <c r="C539">
        <v>21.175000000000001</v>
      </c>
      <c r="D539" s="3">
        <v>21.18</v>
      </c>
      <c r="E539" t="s">
        <v>479</v>
      </c>
      <c r="F539">
        <v>1906404</v>
      </c>
      <c r="G539" s="1">
        <v>2.1499999999999998E-2</v>
      </c>
      <c r="H539" s="1">
        <v>3.8500000000000001E-3</v>
      </c>
    </row>
    <row r="540" spans="1:8" x14ac:dyDescent="0.25">
      <c r="A540" t="s">
        <v>1415</v>
      </c>
      <c r="B540">
        <v>41</v>
      </c>
      <c r="C540">
        <v>21.402999999999999</v>
      </c>
      <c r="D540" s="3">
        <v>21.4</v>
      </c>
      <c r="E540" t="s">
        <v>480</v>
      </c>
      <c r="F540">
        <v>2355989</v>
      </c>
      <c r="G540" s="1">
        <v>2.6599999999999999E-2</v>
      </c>
      <c r="H540" s="1">
        <v>4.7499999999999999E-3</v>
      </c>
    </row>
    <row r="541" spans="1:8" x14ac:dyDescent="0.25">
      <c r="A541" t="s">
        <v>1415</v>
      </c>
      <c r="B541">
        <v>42</v>
      </c>
      <c r="C541">
        <v>22.512</v>
      </c>
      <c r="D541" s="3">
        <v>22.51</v>
      </c>
      <c r="E541" t="s">
        <v>481</v>
      </c>
      <c r="F541">
        <v>1518804</v>
      </c>
      <c r="G541" s="1">
        <v>1.7100000000000001E-2</v>
      </c>
      <c r="H541" s="1">
        <v>3.0599999999999998E-3</v>
      </c>
    </row>
    <row r="542" spans="1:8" x14ac:dyDescent="0.25">
      <c r="A542" t="s">
        <v>1415</v>
      </c>
      <c r="B542">
        <v>43</v>
      </c>
      <c r="C542">
        <v>23.48</v>
      </c>
      <c r="D542" s="3">
        <v>23.48</v>
      </c>
      <c r="E542" t="s">
        <v>482</v>
      </c>
      <c r="F542">
        <v>1394061</v>
      </c>
      <c r="G542" s="1">
        <v>1.5699999999999999E-2</v>
      </c>
      <c r="H542" s="1">
        <v>2.81E-3</v>
      </c>
    </row>
    <row r="543" spans="1:8" x14ac:dyDescent="0.25">
      <c r="A543" t="s">
        <v>1415</v>
      </c>
      <c r="B543">
        <v>44</v>
      </c>
      <c r="C543">
        <v>23.667999999999999</v>
      </c>
      <c r="D543" s="3">
        <v>23.67</v>
      </c>
      <c r="E543" t="s">
        <v>483</v>
      </c>
      <c r="F543">
        <v>1323631</v>
      </c>
      <c r="G543" s="1">
        <v>1.49E-2</v>
      </c>
      <c r="H543" s="1">
        <v>2.6700000000000001E-3</v>
      </c>
    </row>
    <row r="544" spans="1:8" x14ac:dyDescent="0.25">
      <c r="A544" t="s">
        <v>1415</v>
      </c>
      <c r="B544">
        <v>45</v>
      </c>
      <c r="C544">
        <v>23.923999999999999</v>
      </c>
      <c r="D544" s="3">
        <v>23.92</v>
      </c>
      <c r="E544" t="s">
        <v>484</v>
      </c>
      <c r="F544">
        <v>1682411</v>
      </c>
      <c r="G544" s="1">
        <v>1.9E-2</v>
      </c>
      <c r="H544" s="1">
        <v>3.3899999999999998E-3</v>
      </c>
    </row>
    <row r="545" spans="1:8" x14ac:dyDescent="0.25">
      <c r="A545" t="s">
        <v>1415</v>
      </c>
      <c r="B545">
        <v>46</v>
      </c>
      <c r="C545">
        <v>26.021000000000001</v>
      </c>
      <c r="D545" s="3">
        <v>26.02</v>
      </c>
      <c r="E545" t="s">
        <v>485</v>
      </c>
      <c r="F545">
        <v>1261467</v>
      </c>
      <c r="G545" s="1">
        <v>1.4200000000000001E-2</v>
      </c>
      <c r="H545" s="1">
        <v>2.5500000000000002E-3</v>
      </c>
    </row>
    <row r="546" spans="1:8" x14ac:dyDescent="0.25">
      <c r="A546" t="s">
        <v>1415</v>
      </c>
      <c r="B546">
        <v>47</v>
      </c>
      <c r="C546">
        <v>27.507999999999999</v>
      </c>
      <c r="D546" s="3">
        <v>27.51</v>
      </c>
      <c r="E546" t="s">
        <v>486</v>
      </c>
      <c r="F546">
        <v>1070530</v>
      </c>
      <c r="G546" s="1">
        <v>1.21E-2</v>
      </c>
      <c r="H546" s="1">
        <v>2.16E-3</v>
      </c>
    </row>
    <row r="547" spans="1:8" x14ac:dyDescent="0.25">
      <c r="A547" t="s">
        <v>1415</v>
      </c>
      <c r="B547">
        <v>48</v>
      </c>
      <c r="C547">
        <v>27.666</v>
      </c>
      <c r="D547" s="3">
        <v>27.67</v>
      </c>
      <c r="E547" t="s">
        <v>487</v>
      </c>
      <c r="F547">
        <v>1189443</v>
      </c>
      <c r="G547" s="1">
        <v>1.34E-2</v>
      </c>
      <c r="H547" s="1">
        <v>2.3999999999999998E-3</v>
      </c>
    </row>
    <row r="548" spans="1:8" x14ac:dyDescent="0.25">
      <c r="A548" t="s">
        <v>1415</v>
      </c>
      <c r="B548">
        <v>49</v>
      </c>
      <c r="C548">
        <v>28.481999999999999</v>
      </c>
      <c r="D548" s="3">
        <v>28.48</v>
      </c>
      <c r="E548">
        <v>2110720</v>
      </c>
      <c r="F548">
        <v>33165459</v>
      </c>
      <c r="G548" s="1">
        <v>0.37440000000000001</v>
      </c>
      <c r="H548" s="1">
        <v>6.6919999999999993E-2</v>
      </c>
    </row>
    <row r="549" spans="1:8" x14ac:dyDescent="0.25">
      <c r="A549" t="s">
        <v>1415</v>
      </c>
      <c r="B549">
        <v>50</v>
      </c>
      <c r="C549">
        <v>28.591999999999999</v>
      </c>
      <c r="D549" s="3">
        <v>28.59</v>
      </c>
      <c r="E549" t="s">
        <v>488</v>
      </c>
      <c r="F549">
        <v>2582114</v>
      </c>
      <c r="G549" s="1">
        <v>2.9100000000000001E-2</v>
      </c>
      <c r="H549" s="1">
        <v>5.2100000000000002E-3</v>
      </c>
    </row>
    <row r="550" spans="1:8" x14ac:dyDescent="0.25">
      <c r="A550" t="s">
        <v>1415</v>
      </c>
      <c r="B550">
        <v>51</v>
      </c>
      <c r="C550">
        <v>28.733000000000001</v>
      </c>
      <c r="D550" s="3">
        <v>28.73</v>
      </c>
      <c r="E550" t="s">
        <v>489</v>
      </c>
      <c r="F550">
        <v>5840233</v>
      </c>
      <c r="G550" s="1">
        <v>6.59E-2</v>
      </c>
      <c r="H550" s="1">
        <v>1.1780000000000001E-2</v>
      </c>
    </row>
    <row r="551" spans="1:8" x14ac:dyDescent="0.25">
      <c r="A551" t="s">
        <v>1415</v>
      </c>
      <c r="B551">
        <v>52</v>
      </c>
      <c r="C551">
        <v>28.891999999999999</v>
      </c>
      <c r="D551" s="3">
        <v>28.89</v>
      </c>
      <c r="E551">
        <v>812698</v>
      </c>
      <c r="F551">
        <v>10235273</v>
      </c>
      <c r="G551" s="1">
        <v>0.11550000000000001</v>
      </c>
      <c r="H551" s="1">
        <v>2.0650000000000002E-2</v>
      </c>
    </row>
    <row r="552" spans="1:8" x14ac:dyDescent="0.25">
      <c r="A552" t="s">
        <v>1415</v>
      </c>
      <c r="B552">
        <v>53</v>
      </c>
      <c r="C552">
        <v>29.047999999999998</v>
      </c>
      <c r="D552" s="3">
        <v>29.05</v>
      </c>
      <c r="E552">
        <v>7949319</v>
      </c>
      <c r="F552">
        <v>88591139</v>
      </c>
      <c r="G552" s="1">
        <v>0</v>
      </c>
      <c r="H552" s="1">
        <v>0.17874999999999999</v>
      </c>
    </row>
    <row r="553" spans="1:8" x14ac:dyDescent="0.25">
      <c r="A553" t="s">
        <v>1415</v>
      </c>
      <c r="B553">
        <v>54</v>
      </c>
      <c r="C553">
        <v>29.16</v>
      </c>
      <c r="D553" s="3">
        <v>29.16</v>
      </c>
      <c r="E553" t="s">
        <v>490</v>
      </c>
      <c r="F553">
        <v>1162353</v>
      </c>
      <c r="G553" s="1">
        <v>1.3100000000000001E-2</v>
      </c>
      <c r="H553" s="1">
        <v>2.3500000000000001E-3</v>
      </c>
    </row>
    <row r="554" spans="1:8" x14ac:dyDescent="0.25">
      <c r="A554" t="s">
        <v>1415</v>
      </c>
      <c r="B554">
        <v>55</v>
      </c>
      <c r="C554">
        <v>29.231000000000002</v>
      </c>
      <c r="D554" s="3">
        <v>29.23</v>
      </c>
      <c r="E554" t="s">
        <v>491</v>
      </c>
      <c r="F554">
        <v>1396730</v>
      </c>
      <c r="G554" s="1">
        <v>1.5800000000000002E-2</v>
      </c>
      <c r="H554" s="1">
        <v>2.82E-3</v>
      </c>
    </row>
    <row r="555" spans="1:8" x14ac:dyDescent="0.25">
      <c r="A555" t="s">
        <v>1415</v>
      </c>
      <c r="B555">
        <v>56</v>
      </c>
      <c r="C555">
        <v>29.43</v>
      </c>
      <c r="D555" s="3">
        <v>29.43</v>
      </c>
      <c r="E555" t="s">
        <v>492</v>
      </c>
      <c r="F555">
        <v>1095100</v>
      </c>
      <c r="G555" s="1">
        <v>1.24E-2</v>
      </c>
      <c r="H555" s="1">
        <v>2.2100000000000002E-3</v>
      </c>
    </row>
    <row r="556" spans="1:8" x14ac:dyDescent="0.25">
      <c r="A556" t="s">
        <v>1415</v>
      </c>
      <c r="B556">
        <v>57</v>
      </c>
      <c r="C556">
        <v>29.466999999999999</v>
      </c>
      <c r="D556" s="3">
        <v>29.47</v>
      </c>
      <c r="E556" t="s">
        <v>493</v>
      </c>
      <c r="F556">
        <v>1347986</v>
      </c>
      <c r="G556" s="1">
        <v>1.52E-2</v>
      </c>
      <c r="H556" s="1">
        <v>2.7200000000000002E-3</v>
      </c>
    </row>
    <row r="557" spans="1:8" x14ac:dyDescent="0.25">
      <c r="A557" t="s">
        <v>1415</v>
      </c>
      <c r="B557">
        <v>58</v>
      </c>
      <c r="C557">
        <v>29.742000000000001</v>
      </c>
      <c r="D557" s="3">
        <v>29.74</v>
      </c>
      <c r="E557">
        <v>734513</v>
      </c>
      <c r="F557">
        <v>8727880</v>
      </c>
      <c r="G557" s="1">
        <v>9.8500000000000004E-2</v>
      </c>
      <c r="H557" s="1">
        <v>1.7610000000000001E-2</v>
      </c>
    </row>
    <row r="558" spans="1:8" x14ac:dyDescent="0.25">
      <c r="A558" t="s">
        <v>1415</v>
      </c>
      <c r="B558">
        <v>59</v>
      </c>
      <c r="C558">
        <v>29.824999999999999</v>
      </c>
      <c r="D558" s="3">
        <v>29.83</v>
      </c>
      <c r="E558" t="s">
        <v>494</v>
      </c>
      <c r="F558">
        <v>5598108</v>
      </c>
      <c r="G558" s="1">
        <v>6.3200000000000006E-2</v>
      </c>
      <c r="H558" s="1">
        <v>1.1299999999999999E-2</v>
      </c>
    </row>
    <row r="559" spans="1:8" x14ac:dyDescent="0.25">
      <c r="A559" t="s">
        <v>1415</v>
      </c>
      <c r="B559">
        <v>60</v>
      </c>
      <c r="C559">
        <v>29.888000000000002</v>
      </c>
      <c r="D559" s="3">
        <v>29.89</v>
      </c>
      <c r="E559" t="s">
        <v>495</v>
      </c>
      <c r="F559">
        <v>1521154</v>
      </c>
      <c r="G559" s="1">
        <v>1.72E-2</v>
      </c>
      <c r="H559" s="1">
        <v>3.0699999999999998E-3</v>
      </c>
    </row>
    <row r="560" spans="1:8" x14ac:dyDescent="0.25">
      <c r="A560" t="s">
        <v>1415</v>
      </c>
      <c r="B560">
        <v>61</v>
      </c>
      <c r="C560">
        <v>30.452999999999999</v>
      </c>
      <c r="D560" s="3">
        <v>30.45</v>
      </c>
      <c r="E560" t="s">
        <v>496</v>
      </c>
      <c r="F560">
        <v>3465061</v>
      </c>
      <c r="G560" s="1">
        <v>3.9100000000000003E-2</v>
      </c>
      <c r="H560" s="1">
        <v>6.9899999999999997E-3</v>
      </c>
    </row>
    <row r="561" spans="1:8" x14ac:dyDescent="0.25">
      <c r="A561" t="s">
        <v>1415</v>
      </c>
      <c r="B561">
        <v>62</v>
      </c>
      <c r="C561">
        <v>31.265999999999998</v>
      </c>
      <c r="D561" s="3">
        <v>31.27</v>
      </c>
      <c r="E561" t="s">
        <v>497</v>
      </c>
      <c r="F561">
        <v>27124802</v>
      </c>
      <c r="G561" s="1">
        <v>0.30620000000000003</v>
      </c>
      <c r="H561" s="1">
        <v>5.4730000000000001E-2</v>
      </c>
    </row>
    <row r="562" spans="1:8" x14ac:dyDescent="0.25">
      <c r="A562" t="s">
        <v>1415</v>
      </c>
      <c r="B562">
        <v>63</v>
      </c>
      <c r="C562">
        <v>31.427</v>
      </c>
      <c r="D562" s="3">
        <v>31.43</v>
      </c>
      <c r="E562" t="s">
        <v>498</v>
      </c>
      <c r="F562">
        <v>2717534</v>
      </c>
      <c r="G562" s="1">
        <v>3.0700000000000002E-2</v>
      </c>
      <c r="H562" s="1">
        <v>5.4799999999999996E-3</v>
      </c>
    </row>
    <row r="563" spans="1:8" x14ac:dyDescent="0.25">
      <c r="A563" t="s">
        <v>1415</v>
      </c>
      <c r="B563">
        <v>64</v>
      </c>
      <c r="C563">
        <v>31.51</v>
      </c>
      <c r="D563" s="3">
        <v>31.51</v>
      </c>
      <c r="E563" t="s">
        <v>499</v>
      </c>
      <c r="F563">
        <v>1160399</v>
      </c>
      <c r="G563" s="1">
        <v>1.3100000000000001E-2</v>
      </c>
      <c r="H563" s="1">
        <v>2.3400000000000001E-3</v>
      </c>
    </row>
    <row r="564" spans="1:8" x14ac:dyDescent="0.25">
      <c r="A564" t="s">
        <v>1415</v>
      </c>
      <c r="B564">
        <v>65</v>
      </c>
      <c r="C564">
        <v>31.593</v>
      </c>
      <c r="D564" s="3">
        <v>31.59</v>
      </c>
      <c r="E564" t="s">
        <v>500</v>
      </c>
      <c r="F564">
        <v>2064338</v>
      </c>
      <c r="G564" s="1">
        <v>2.3300000000000001E-2</v>
      </c>
      <c r="H564" s="1">
        <v>4.1700000000000001E-3</v>
      </c>
    </row>
    <row r="565" spans="1:8" x14ac:dyDescent="0.25">
      <c r="A565" t="s">
        <v>1415</v>
      </c>
      <c r="B565">
        <v>66</v>
      </c>
      <c r="C565">
        <v>31.693999999999999</v>
      </c>
      <c r="D565" s="3">
        <v>31.69</v>
      </c>
      <c r="E565" t="s">
        <v>501</v>
      </c>
      <c r="F565">
        <v>1061746</v>
      </c>
      <c r="G565" s="1">
        <v>1.2E-2</v>
      </c>
      <c r="H565" s="1">
        <v>2.14E-3</v>
      </c>
    </row>
    <row r="566" spans="1:8" x14ac:dyDescent="0.25">
      <c r="A566" t="s">
        <v>1415</v>
      </c>
      <c r="B566">
        <v>67</v>
      </c>
      <c r="C566">
        <v>31.757000000000001</v>
      </c>
      <c r="D566" s="3">
        <v>31.76</v>
      </c>
      <c r="E566" t="s">
        <v>502</v>
      </c>
      <c r="F566">
        <v>1053183</v>
      </c>
      <c r="G566" s="1">
        <v>1.1900000000000001E-2</v>
      </c>
      <c r="H566" s="1">
        <v>2.1199999999999999E-3</v>
      </c>
    </row>
    <row r="567" spans="1:8" x14ac:dyDescent="0.25">
      <c r="A567" t="s">
        <v>1415</v>
      </c>
      <c r="B567">
        <v>68</v>
      </c>
      <c r="C567">
        <v>31.817</v>
      </c>
      <c r="D567" s="3">
        <v>31.82</v>
      </c>
      <c r="E567" t="s">
        <v>503</v>
      </c>
      <c r="F567">
        <v>2711531</v>
      </c>
      <c r="G567" s="1">
        <v>3.0599999999999999E-2</v>
      </c>
      <c r="H567" s="1">
        <v>5.47E-3</v>
      </c>
    </row>
    <row r="568" spans="1:8" x14ac:dyDescent="0.25">
      <c r="A568" t="s">
        <v>1415</v>
      </c>
      <c r="B568">
        <v>69</v>
      </c>
      <c r="C568">
        <v>31.986000000000001</v>
      </c>
      <c r="D568" s="3">
        <v>31.99</v>
      </c>
      <c r="E568">
        <v>190665</v>
      </c>
      <c r="F568">
        <v>4842807</v>
      </c>
      <c r="G568" s="1">
        <v>5.4699999999999999E-2</v>
      </c>
      <c r="H568" s="1">
        <v>9.7699999999999992E-3</v>
      </c>
    </row>
    <row r="569" spans="1:8" x14ac:dyDescent="0.25">
      <c r="A569" t="s">
        <v>1415</v>
      </c>
      <c r="B569">
        <v>70</v>
      </c>
      <c r="C569">
        <v>32.210999999999999</v>
      </c>
      <c r="D569" s="3">
        <v>32.21</v>
      </c>
      <c r="E569">
        <v>74710</v>
      </c>
      <c r="F569">
        <v>3177210</v>
      </c>
      <c r="G569" s="1">
        <v>3.5900000000000001E-2</v>
      </c>
      <c r="H569" s="1">
        <v>6.4099999999999999E-3</v>
      </c>
    </row>
    <row r="570" spans="1:8" x14ac:dyDescent="0.25">
      <c r="A570" t="s">
        <v>1415</v>
      </c>
      <c r="B570">
        <v>71</v>
      </c>
      <c r="C570">
        <v>32.737000000000002</v>
      </c>
      <c r="D570" s="3">
        <v>32.74</v>
      </c>
      <c r="E570" t="s">
        <v>504</v>
      </c>
      <c r="F570">
        <v>1798987</v>
      </c>
      <c r="G570" s="1">
        <v>2.0299999999999999E-2</v>
      </c>
      <c r="H570" s="1">
        <v>3.63E-3</v>
      </c>
    </row>
    <row r="571" spans="1:8" x14ac:dyDescent="0.25">
      <c r="A571" t="s">
        <v>1415</v>
      </c>
      <c r="B571">
        <v>72</v>
      </c>
      <c r="C571">
        <v>33.1</v>
      </c>
      <c r="D571" s="3">
        <v>33.1</v>
      </c>
      <c r="E571">
        <v>130897</v>
      </c>
      <c r="F571">
        <v>4157751</v>
      </c>
      <c r="G571" s="1">
        <v>4.6899999999999997E-2</v>
      </c>
      <c r="H571" s="1">
        <v>8.3899999999999999E-3</v>
      </c>
    </row>
    <row r="572" spans="1:8" x14ac:dyDescent="0.25">
      <c r="A572" t="s">
        <v>1415</v>
      </c>
      <c r="B572">
        <v>73</v>
      </c>
      <c r="C572">
        <v>33.713000000000001</v>
      </c>
      <c r="D572" s="3">
        <v>33.71</v>
      </c>
      <c r="E572">
        <v>42807</v>
      </c>
      <c r="F572">
        <v>1430889</v>
      </c>
      <c r="G572" s="1">
        <v>1.6199999999999999E-2</v>
      </c>
      <c r="H572" s="1">
        <v>2.8900000000000002E-3</v>
      </c>
    </row>
    <row r="573" spans="1:8" x14ac:dyDescent="0.25">
      <c r="A573" t="s">
        <v>1416</v>
      </c>
      <c r="B573">
        <v>1</v>
      </c>
      <c r="C573">
        <v>4.8869999999999996</v>
      </c>
      <c r="D573" s="3">
        <v>4.8899999999999997</v>
      </c>
      <c r="E573" t="s">
        <v>505</v>
      </c>
      <c r="F573">
        <v>21748622</v>
      </c>
      <c r="G573" s="1">
        <v>0.13320000000000001</v>
      </c>
      <c r="H573" s="1">
        <v>3.4950000000000002E-2</v>
      </c>
    </row>
    <row r="574" spans="1:8" x14ac:dyDescent="0.25">
      <c r="A574" t="s">
        <v>1416</v>
      </c>
      <c r="B574">
        <v>2</v>
      </c>
      <c r="C574">
        <v>5.2060000000000004</v>
      </c>
      <c r="D574" s="3">
        <v>5.21</v>
      </c>
      <c r="E574" t="s">
        <v>506</v>
      </c>
      <c r="F574">
        <v>2638687</v>
      </c>
      <c r="G574" s="1">
        <v>1.6199999999999999E-2</v>
      </c>
      <c r="H574" s="1">
        <v>4.2399999999999998E-3</v>
      </c>
    </row>
    <row r="575" spans="1:8" x14ac:dyDescent="0.25">
      <c r="A575" t="s">
        <v>1416</v>
      </c>
      <c r="B575">
        <v>3</v>
      </c>
      <c r="C575">
        <v>5.3040000000000003</v>
      </c>
      <c r="D575" s="3">
        <v>5.3</v>
      </c>
      <c r="E575" t="s">
        <v>507</v>
      </c>
      <c r="F575">
        <v>1221381</v>
      </c>
      <c r="G575" s="1">
        <v>7.4999999999999997E-3</v>
      </c>
      <c r="H575" s="1">
        <v>1.9599999999999999E-3</v>
      </c>
    </row>
    <row r="576" spans="1:8" x14ac:dyDescent="0.25">
      <c r="A576" t="s">
        <v>1416</v>
      </c>
      <c r="B576">
        <v>4</v>
      </c>
      <c r="C576">
        <v>5.3550000000000004</v>
      </c>
      <c r="D576" s="3">
        <v>5.36</v>
      </c>
      <c r="E576" t="s">
        <v>508</v>
      </c>
      <c r="F576">
        <v>1268175</v>
      </c>
      <c r="G576" s="1">
        <v>7.7999999999999996E-3</v>
      </c>
      <c r="H576" s="1">
        <v>2.0400000000000001E-3</v>
      </c>
    </row>
    <row r="577" spans="1:8" x14ac:dyDescent="0.25">
      <c r="A577" t="s">
        <v>1416</v>
      </c>
      <c r="B577">
        <v>5</v>
      </c>
      <c r="C577">
        <v>6.1070000000000002</v>
      </c>
      <c r="D577" s="3">
        <v>6.11</v>
      </c>
      <c r="E577" t="s">
        <v>509</v>
      </c>
      <c r="F577">
        <v>1002829</v>
      </c>
      <c r="G577" s="1">
        <v>6.1000000000000004E-3</v>
      </c>
      <c r="H577" s="1">
        <v>1.6100000000000001E-3</v>
      </c>
    </row>
    <row r="578" spans="1:8" x14ac:dyDescent="0.25">
      <c r="A578" t="s">
        <v>1416</v>
      </c>
      <c r="B578">
        <v>6</v>
      </c>
      <c r="C578">
        <v>6.4939999999999998</v>
      </c>
      <c r="D578" s="3">
        <v>6.49</v>
      </c>
      <c r="E578" t="s">
        <v>510</v>
      </c>
      <c r="F578">
        <v>4473856</v>
      </c>
      <c r="G578" s="1">
        <v>2.7400000000000001E-2</v>
      </c>
      <c r="H578" s="1">
        <v>7.1900000000000002E-3</v>
      </c>
    </row>
    <row r="579" spans="1:8" x14ac:dyDescent="0.25">
      <c r="A579" t="s">
        <v>1416</v>
      </c>
      <c r="B579">
        <v>7</v>
      </c>
      <c r="C579">
        <v>8.2650000000000006</v>
      </c>
      <c r="D579" s="3">
        <v>8.27</v>
      </c>
      <c r="E579" t="s">
        <v>511</v>
      </c>
      <c r="F579">
        <v>3928087</v>
      </c>
      <c r="G579" s="1">
        <v>2.41E-2</v>
      </c>
      <c r="H579" s="1">
        <v>6.3099999999999996E-3</v>
      </c>
    </row>
    <row r="580" spans="1:8" x14ac:dyDescent="0.25">
      <c r="A580" t="s">
        <v>1416</v>
      </c>
      <c r="B580">
        <v>8</v>
      </c>
      <c r="C580">
        <v>8.9269999999999996</v>
      </c>
      <c r="D580" s="3">
        <v>8.93</v>
      </c>
      <c r="E580" t="s">
        <v>512</v>
      </c>
      <c r="F580">
        <v>1678559</v>
      </c>
      <c r="G580" s="1">
        <v>1.03E-2</v>
      </c>
      <c r="H580" s="1">
        <v>2.7000000000000001E-3</v>
      </c>
    </row>
    <row r="581" spans="1:8" x14ac:dyDescent="0.25">
      <c r="A581" t="s">
        <v>1416</v>
      </c>
      <c r="B581">
        <v>9</v>
      </c>
      <c r="C581">
        <v>9.1880000000000006</v>
      </c>
      <c r="D581" s="3">
        <v>9.19</v>
      </c>
      <c r="E581" t="s">
        <v>513</v>
      </c>
      <c r="F581">
        <v>2412684</v>
      </c>
      <c r="G581" s="1">
        <v>1.4800000000000001E-2</v>
      </c>
      <c r="H581" s="1">
        <v>3.8800000000000002E-3</v>
      </c>
    </row>
    <row r="582" spans="1:8" x14ac:dyDescent="0.25">
      <c r="A582" t="s">
        <v>1416</v>
      </c>
      <c r="B582">
        <v>10</v>
      </c>
      <c r="C582">
        <v>9.2590000000000003</v>
      </c>
      <c r="D582" s="3">
        <v>9.26</v>
      </c>
      <c r="E582" t="s">
        <v>514</v>
      </c>
      <c r="F582">
        <v>2930853</v>
      </c>
      <c r="G582" s="1">
        <v>1.7999999999999999E-2</v>
      </c>
      <c r="H582" s="1">
        <v>4.7099999999999998E-3</v>
      </c>
    </row>
    <row r="583" spans="1:8" x14ac:dyDescent="0.25">
      <c r="A583" t="s">
        <v>1416</v>
      </c>
      <c r="B583">
        <v>11</v>
      </c>
      <c r="C583">
        <v>9.5139999999999993</v>
      </c>
      <c r="D583" s="3">
        <v>9.51</v>
      </c>
      <c r="E583" t="s">
        <v>515</v>
      </c>
      <c r="F583">
        <v>1337002</v>
      </c>
      <c r="G583" s="1">
        <v>8.2000000000000007E-3</v>
      </c>
      <c r="H583" s="1">
        <v>2.15E-3</v>
      </c>
    </row>
    <row r="584" spans="1:8" x14ac:dyDescent="0.25">
      <c r="A584" t="s">
        <v>1416</v>
      </c>
      <c r="B584">
        <v>12</v>
      </c>
      <c r="C584">
        <v>9.6560000000000006</v>
      </c>
      <c r="D584" s="3">
        <v>9.66</v>
      </c>
      <c r="E584" t="s">
        <v>516</v>
      </c>
      <c r="F584">
        <v>16295903</v>
      </c>
      <c r="G584" s="1">
        <v>9.98E-2</v>
      </c>
      <c r="H584" s="1">
        <v>2.6190000000000001E-2</v>
      </c>
    </row>
    <row r="585" spans="1:8" x14ac:dyDescent="0.25">
      <c r="A585" t="s">
        <v>1416</v>
      </c>
      <c r="B585">
        <v>13</v>
      </c>
      <c r="C585">
        <v>9.8249999999999993</v>
      </c>
      <c r="D585" s="3">
        <v>9.83</v>
      </c>
      <c r="E585">
        <v>304581</v>
      </c>
      <c r="F585">
        <v>10445741</v>
      </c>
      <c r="G585" s="1">
        <v>6.4000000000000001E-2</v>
      </c>
      <c r="H585" s="1">
        <v>1.6789999999999999E-2</v>
      </c>
    </row>
    <row r="586" spans="1:8" x14ac:dyDescent="0.25">
      <c r="A586" t="s">
        <v>1416</v>
      </c>
      <c r="B586">
        <v>14</v>
      </c>
      <c r="C586">
        <v>10.297000000000001</v>
      </c>
      <c r="D586" s="3">
        <v>10.3</v>
      </c>
      <c r="E586" t="s">
        <v>517</v>
      </c>
      <c r="F586">
        <v>1223854</v>
      </c>
      <c r="G586" s="1">
        <v>7.4999999999999997E-3</v>
      </c>
      <c r="H586" s="1">
        <v>1.97E-3</v>
      </c>
    </row>
    <row r="587" spans="1:8" x14ac:dyDescent="0.25">
      <c r="A587" t="s">
        <v>1416</v>
      </c>
      <c r="B587">
        <v>15</v>
      </c>
      <c r="C587">
        <v>10.58</v>
      </c>
      <c r="D587" s="3">
        <v>10.58</v>
      </c>
      <c r="E587" t="s">
        <v>518</v>
      </c>
      <c r="F587">
        <v>1416036</v>
      </c>
      <c r="G587" s="1">
        <v>8.6999999999999994E-3</v>
      </c>
      <c r="H587" s="1">
        <v>2.2799999999999999E-3</v>
      </c>
    </row>
    <row r="588" spans="1:8" x14ac:dyDescent="0.25">
      <c r="A588" t="s">
        <v>1416</v>
      </c>
      <c r="B588">
        <v>16</v>
      </c>
      <c r="C588">
        <v>11.086</v>
      </c>
      <c r="D588" s="3">
        <v>11.09</v>
      </c>
      <c r="E588" t="s">
        <v>519</v>
      </c>
      <c r="F588">
        <v>1437042</v>
      </c>
      <c r="G588" s="1">
        <v>8.8000000000000005E-3</v>
      </c>
      <c r="H588" s="1">
        <v>2.31E-3</v>
      </c>
    </row>
    <row r="589" spans="1:8" x14ac:dyDescent="0.25">
      <c r="A589" t="s">
        <v>1416</v>
      </c>
      <c r="B589">
        <v>17</v>
      </c>
      <c r="C589">
        <v>11.22</v>
      </c>
      <c r="D589" s="3">
        <v>11.22</v>
      </c>
      <c r="E589" t="s">
        <v>520</v>
      </c>
      <c r="F589">
        <v>1491403</v>
      </c>
      <c r="G589" s="1">
        <v>9.1000000000000004E-3</v>
      </c>
      <c r="H589" s="1">
        <v>2.3999999999999998E-3</v>
      </c>
    </row>
    <row r="590" spans="1:8" x14ac:dyDescent="0.25">
      <c r="A590" t="s">
        <v>1416</v>
      </c>
      <c r="B590">
        <v>18</v>
      </c>
      <c r="C590">
        <v>11.271000000000001</v>
      </c>
      <c r="D590" s="3">
        <v>11.27</v>
      </c>
      <c r="E590" t="s">
        <v>521</v>
      </c>
      <c r="F590">
        <v>1396631</v>
      </c>
      <c r="G590" s="1">
        <v>8.6E-3</v>
      </c>
      <c r="H590" s="1">
        <v>2.2399999999999998E-3</v>
      </c>
    </row>
    <row r="591" spans="1:8" x14ac:dyDescent="0.25">
      <c r="A591" t="s">
        <v>1416</v>
      </c>
      <c r="B591">
        <v>19</v>
      </c>
      <c r="C591">
        <v>11.412000000000001</v>
      </c>
      <c r="D591" s="3">
        <v>11.41</v>
      </c>
      <c r="E591" t="s">
        <v>522</v>
      </c>
      <c r="F591">
        <v>1014121</v>
      </c>
      <c r="G591" s="1">
        <v>6.1999999999999998E-3</v>
      </c>
      <c r="H591" s="1">
        <v>1.6299999999999999E-3</v>
      </c>
    </row>
    <row r="592" spans="1:8" x14ac:dyDescent="0.25">
      <c r="A592" t="s">
        <v>1416</v>
      </c>
      <c r="B592">
        <v>20</v>
      </c>
      <c r="C592">
        <v>11.631</v>
      </c>
      <c r="D592" s="3">
        <v>11.63</v>
      </c>
      <c r="E592" t="s">
        <v>523</v>
      </c>
      <c r="F592">
        <v>1854165</v>
      </c>
      <c r="G592" s="1">
        <v>1.14E-2</v>
      </c>
      <c r="H592" s="1">
        <v>2.98E-3</v>
      </c>
    </row>
    <row r="593" spans="1:8" x14ac:dyDescent="0.25">
      <c r="A593" t="s">
        <v>1416</v>
      </c>
      <c r="B593">
        <v>21</v>
      </c>
      <c r="C593">
        <v>12.706</v>
      </c>
      <c r="D593" s="3">
        <v>12.71</v>
      </c>
      <c r="E593" t="s">
        <v>524</v>
      </c>
      <c r="F593">
        <v>1083257</v>
      </c>
      <c r="G593" s="1">
        <v>6.6E-3</v>
      </c>
      <c r="H593" s="1">
        <v>1.74E-3</v>
      </c>
    </row>
    <row r="594" spans="1:8" x14ac:dyDescent="0.25">
      <c r="A594" t="s">
        <v>1416</v>
      </c>
      <c r="B594">
        <v>22</v>
      </c>
      <c r="C594">
        <v>12.843</v>
      </c>
      <c r="D594" s="3">
        <v>12.84</v>
      </c>
      <c r="E594" t="s">
        <v>525</v>
      </c>
      <c r="F594">
        <v>33201203</v>
      </c>
      <c r="G594" s="1">
        <v>0.20330000000000001</v>
      </c>
      <c r="H594" s="1">
        <v>5.3350000000000002E-2</v>
      </c>
    </row>
    <row r="595" spans="1:8" x14ac:dyDescent="0.25">
      <c r="A595" t="s">
        <v>1416</v>
      </c>
      <c r="B595">
        <v>23</v>
      </c>
      <c r="C595">
        <v>13.226000000000001</v>
      </c>
      <c r="D595" s="3">
        <v>13.23</v>
      </c>
      <c r="E595" t="s">
        <v>526</v>
      </c>
      <c r="F595">
        <v>1274368</v>
      </c>
      <c r="G595" s="1">
        <v>7.7999999999999996E-3</v>
      </c>
      <c r="H595" s="1">
        <v>2.0500000000000002E-3</v>
      </c>
    </row>
    <row r="596" spans="1:8" x14ac:dyDescent="0.25">
      <c r="A596" t="s">
        <v>1416</v>
      </c>
      <c r="B596">
        <v>24</v>
      </c>
      <c r="C596">
        <v>14.526999999999999</v>
      </c>
      <c r="D596" s="3">
        <v>14.53</v>
      </c>
      <c r="E596" t="s">
        <v>527</v>
      </c>
      <c r="F596">
        <v>2442523</v>
      </c>
      <c r="G596" s="1">
        <v>1.4999999999999999E-2</v>
      </c>
      <c r="H596" s="1">
        <v>3.9199999999999999E-3</v>
      </c>
    </row>
    <row r="597" spans="1:8" x14ac:dyDescent="0.25">
      <c r="A597" t="s">
        <v>1416</v>
      </c>
      <c r="B597">
        <v>25</v>
      </c>
      <c r="C597">
        <v>14.579000000000001</v>
      </c>
      <c r="D597" s="3">
        <v>14.58</v>
      </c>
      <c r="E597" t="s">
        <v>528</v>
      </c>
      <c r="F597">
        <v>3726279</v>
      </c>
      <c r="G597" s="1">
        <v>2.2800000000000001E-2</v>
      </c>
      <c r="H597" s="1">
        <v>5.9899999999999997E-3</v>
      </c>
    </row>
    <row r="598" spans="1:8" x14ac:dyDescent="0.25">
      <c r="A598" t="s">
        <v>1416</v>
      </c>
      <c r="B598">
        <v>26</v>
      </c>
      <c r="C598">
        <v>15.045999999999999</v>
      </c>
      <c r="D598" s="3">
        <v>15.05</v>
      </c>
      <c r="E598" t="s">
        <v>529</v>
      </c>
      <c r="F598">
        <v>1724334</v>
      </c>
      <c r="G598" s="1">
        <v>1.06E-2</v>
      </c>
      <c r="H598" s="1">
        <v>2.7699999999999999E-3</v>
      </c>
    </row>
    <row r="599" spans="1:8" x14ac:dyDescent="0.25">
      <c r="A599" t="s">
        <v>1416</v>
      </c>
      <c r="B599">
        <v>27</v>
      </c>
      <c r="C599">
        <v>15.272</v>
      </c>
      <c r="D599" s="3">
        <v>15.27</v>
      </c>
      <c r="E599" t="s">
        <v>530</v>
      </c>
      <c r="F599">
        <v>1040288</v>
      </c>
      <c r="G599" s="1">
        <v>6.4000000000000003E-3</v>
      </c>
      <c r="H599" s="1">
        <v>1.67E-3</v>
      </c>
    </row>
    <row r="600" spans="1:8" x14ac:dyDescent="0.25">
      <c r="A600" t="s">
        <v>1416</v>
      </c>
      <c r="B600">
        <v>28</v>
      </c>
      <c r="C600">
        <v>15.34</v>
      </c>
      <c r="D600" s="3">
        <v>15.34</v>
      </c>
      <c r="E600" t="s">
        <v>531</v>
      </c>
      <c r="F600">
        <v>3491790</v>
      </c>
      <c r="G600" s="1">
        <v>2.1399999999999999E-2</v>
      </c>
      <c r="H600" s="1">
        <v>5.6100000000000004E-3</v>
      </c>
    </row>
    <row r="601" spans="1:8" x14ac:dyDescent="0.25">
      <c r="A601" t="s">
        <v>1416</v>
      </c>
      <c r="B601">
        <v>29</v>
      </c>
      <c r="C601">
        <v>15.465999999999999</v>
      </c>
      <c r="D601" s="3">
        <v>15.47</v>
      </c>
      <c r="E601" t="s">
        <v>532</v>
      </c>
      <c r="F601">
        <v>1268014</v>
      </c>
      <c r="G601" s="1">
        <v>7.7999999999999996E-3</v>
      </c>
      <c r="H601" s="1">
        <v>2.0400000000000001E-3</v>
      </c>
    </row>
    <row r="602" spans="1:8" x14ac:dyDescent="0.25">
      <c r="A602" t="s">
        <v>1416</v>
      </c>
      <c r="B602">
        <v>30</v>
      </c>
      <c r="C602">
        <v>15.708</v>
      </c>
      <c r="D602" s="3">
        <v>15.71</v>
      </c>
      <c r="E602" t="s">
        <v>533</v>
      </c>
      <c r="F602">
        <v>2061737</v>
      </c>
      <c r="G602" s="1">
        <v>1.26E-2</v>
      </c>
      <c r="H602" s="1">
        <v>3.31E-3</v>
      </c>
    </row>
    <row r="603" spans="1:8" x14ac:dyDescent="0.25">
      <c r="A603" t="s">
        <v>1416</v>
      </c>
      <c r="B603">
        <v>31</v>
      </c>
      <c r="C603">
        <v>15.875999999999999</v>
      </c>
      <c r="D603" s="3">
        <v>15.88</v>
      </c>
      <c r="E603" t="s">
        <v>534</v>
      </c>
      <c r="F603">
        <v>9633324</v>
      </c>
      <c r="G603" s="1">
        <v>5.8999999999999997E-2</v>
      </c>
      <c r="H603" s="1">
        <v>1.5480000000000001E-2</v>
      </c>
    </row>
    <row r="604" spans="1:8" x14ac:dyDescent="0.25">
      <c r="A604" t="s">
        <v>1416</v>
      </c>
      <c r="B604">
        <v>32</v>
      </c>
      <c r="C604">
        <v>16.66</v>
      </c>
      <c r="D604" s="3">
        <v>16.66</v>
      </c>
      <c r="E604" t="s">
        <v>535</v>
      </c>
      <c r="F604">
        <v>6907776</v>
      </c>
      <c r="G604" s="1">
        <v>4.2299999999999997E-2</v>
      </c>
      <c r="H604" s="1">
        <v>1.11E-2</v>
      </c>
    </row>
    <row r="605" spans="1:8" x14ac:dyDescent="0.25">
      <c r="A605" t="s">
        <v>1416</v>
      </c>
      <c r="B605">
        <v>33</v>
      </c>
      <c r="C605">
        <v>16.765000000000001</v>
      </c>
      <c r="D605" s="3">
        <v>16.77</v>
      </c>
      <c r="E605" t="s">
        <v>536</v>
      </c>
      <c r="F605">
        <v>3919734</v>
      </c>
      <c r="G605" s="1">
        <v>2.4E-2</v>
      </c>
      <c r="H605" s="1">
        <v>6.3E-3</v>
      </c>
    </row>
    <row r="606" spans="1:8" x14ac:dyDescent="0.25">
      <c r="A606" t="s">
        <v>1416</v>
      </c>
      <c r="B606">
        <v>34</v>
      </c>
      <c r="C606">
        <v>17.146999999999998</v>
      </c>
      <c r="D606" s="3">
        <v>17.149999999999999</v>
      </c>
      <c r="E606" t="s">
        <v>537</v>
      </c>
      <c r="F606">
        <v>163277385</v>
      </c>
      <c r="G606" s="1">
        <v>0</v>
      </c>
      <c r="H606" s="1">
        <v>0.26236999999999999</v>
      </c>
    </row>
    <row r="607" spans="1:8" x14ac:dyDescent="0.25">
      <c r="A607" t="s">
        <v>1416</v>
      </c>
      <c r="B607">
        <v>35</v>
      </c>
      <c r="C607">
        <v>17.459</v>
      </c>
      <c r="D607" s="3">
        <v>17.46</v>
      </c>
      <c r="E607" t="s">
        <v>538</v>
      </c>
      <c r="F607">
        <v>13275449</v>
      </c>
      <c r="G607" s="1">
        <v>8.1299999999999997E-2</v>
      </c>
      <c r="H607" s="1">
        <v>2.1329999999999998E-2</v>
      </c>
    </row>
    <row r="608" spans="1:8" x14ac:dyDescent="0.25">
      <c r="A608" t="s">
        <v>1416</v>
      </c>
      <c r="B608">
        <v>36</v>
      </c>
      <c r="C608">
        <v>17.71</v>
      </c>
      <c r="D608" s="3">
        <v>17.71</v>
      </c>
      <c r="E608" t="s">
        <v>539</v>
      </c>
      <c r="F608">
        <v>1187467</v>
      </c>
      <c r="G608" s="1">
        <v>7.3000000000000001E-3</v>
      </c>
      <c r="H608" s="1">
        <v>1.91E-3</v>
      </c>
    </row>
    <row r="609" spans="1:8" x14ac:dyDescent="0.25">
      <c r="A609" t="s">
        <v>1416</v>
      </c>
      <c r="B609">
        <v>37</v>
      </c>
      <c r="C609">
        <v>17.803000000000001</v>
      </c>
      <c r="D609" s="3">
        <v>17.8</v>
      </c>
      <c r="E609" t="s">
        <v>540</v>
      </c>
      <c r="F609">
        <v>2105218</v>
      </c>
      <c r="G609" s="1">
        <v>1.29E-2</v>
      </c>
      <c r="H609" s="1">
        <v>3.3800000000000002E-3</v>
      </c>
    </row>
    <row r="610" spans="1:8" x14ac:dyDescent="0.25">
      <c r="A610" t="s">
        <v>1416</v>
      </c>
      <c r="B610">
        <v>38</v>
      </c>
      <c r="C610">
        <v>18.055</v>
      </c>
      <c r="D610" s="3">
        <v>18.059999999999999</v>
      </c>
      <c r="E610" t="s">
        <v>541</v>
      </c>
      <c r="F610">
        <v>3831391</v>
      </c>
      <c r="G610" s="1">
        <v>2.35E-2</v>
      </c>
      <c r="H610" s="1">
        <v>6.1599999999999997E-3</v>
      </c>
    </row>
    <row r="611" spans="1:8" x14ac:dyDescent="0.25">
      <c r="A611" t="s">
        <v>1416</v>
      </c>
      <c r="B611">
        <v>39</v>
      </c>
      <c r="C611">
        <v>18.305</v>
      </c>
      <c r="D611" s="3">
        <v>18.309999999999999</v>
      </c>
      <c r="E611" t="s">
        <v>542</v>
      </c>
      <c r="F611">
        <v>2281552</v>
      </c>
      <c r="G611" s="1">
        <v>1.4E-2</v>
      </c>
      <c r="H611" s="1">
        <v>3.6700000000000001E-3</v>
      </c>
    </row>
    <row r="612" spans="1:8" x14ac:dyDescent="0.25">
      <c r="A612" t="s">
        <v>1416</v>
      </c>
      <c r="B612">
        <v>40</v>
      </c>
      <c r="C612">
        <v>18.728000000000002</v>
      </c>
      <c r="D612" s="3">
        <v>18.73</v>
      </c>
      <c r="E612" t="s">
        <v>543</v>
      </c>
      <c r="F612">
        <v>1842583</v>
      </c>
      <c r="G612" s="1">
        <v>1.1299999999999999E-2</v>
      </c>
      <c r="H612" s="1">
        <v>2.96E-3</v>
      </c>
    </row>
    <row r="613" spans="1:8" x14ac:dyDescent="0.25">
      <c r="A613" t="s">
        <v>1416</v>
      </c>
      <c r="B613">
        <v>41</v>
      </c>
      <c r="C613">
        <v>18.841999999999999</v>
      </c>
      <c r="D613" s="3">
        <v>18.84</v>
      </c>
      <c r="E613" t="s">
        <v>544</v>
      </c>
      <c r="F613">
        <v>4402272</v>
      </c>
      <c r="G613" s="1">
        <v>2.7E-2</v>
      </c>
      <c r="H613" s="1">
        <v>7.0699999999999999E-3</v>
      </c>
    </row>
    <row r="614" spans="1:8" x14ac:dyDescent="0.25">
      <c r="A614" t="s">
        <v>1416</v>
      </c>
      <c r="B614">
        <v>42</v>
      </c>
      <c r="C614">
        <v>20.225000000000001</v>
      </c>
      <c r="D614" s="3">
        <v>20.23</v>
      </c>
      <c r="E614" t="s">
        <v>545</v>
      </c>
      <c r="F614">
        <v>2848831</v>
      </c>
      <c r="G614" s="1">
        <v>1.7399999999999999E-2</v>
      </c>
      <c r="H614" s="1">
        <v>4.5799999999999999E-3</v>
      </c>
    </row>
    <row r="615" spans="1:8" x14ac:dyDescent="0.25">
      <c r="A615" t="s">
        <v>1416</v>
      </c>
      <c r="B615">
        <v>43</v>
      </c>
      <c r="C615">
        <v>20.882999999999999</v>
      </c>
      <c r="D615" s="3">
        <v>20.88</v>
      </c>
      <c r="E615" t="s">
        <v>546</v>
      </c>
      <c r="F615">
        <v>1087277</v>
      </c>
      <c r="G615" s="1">
        <v>6.7000000000000002E-3</v>
      </c>
      <c r="H615" s="1">
        <v>1.75E-3</v>
      </c>
    </row>
    <row r="616" spans="1:8" x14ac:dyDescent="0.25">
      <c r="A616" t="s">
        <v>1416</v>
      </c>
      <c r="B616">
        <v>44</v>
      </c>
      <c r="C616">
        <v>20.969000000000001</v>
      </c>
      <c r="D616" s="3">
        <v>20.97</v>
      </c>
      <c r="E616" t="s">
        <v>547</v>
      </c>
      <c r="F616">
        <v>2151807</v>
      </c>
      <c r="G616" s="1">
        <v>1.32E-2</v>
      </c>
      <c r="H616" s="1">
        <v>3.46E-3</v>
      </c>
    </row>
    <row r="617" spans="1:8" x14ac:dyDescent="0.25">
      <c r="A617" t="s">
        <v>1416</v>
      </c>
      <c r="B617">
        <v>45</v>
      </c>
      <c r="C617">
        <v>21.172000000000001</v>
      </c>
      <c r="D617" s="3">
        <v>21.17</v>
      </c>
      <c r="E617" t="s">
        <v>548</v>
      </c>
      <c r="F617">
        <v>1524032</v>
      </c>
      <c r="G617" s="1">
        <v>9.2999999999999992E-3</v>
      </c>
      <c r="H617" s="1">
        <v>2.4499999999999999E-3</v>
      </c>
    </row>
    <row r="618" spans="1:8" x14ac:dyDescent="0.25">
      <c r="A618" t="s">
        <v>1416</v>
      </c>
      <c r="B618">
        <v>46</v>
      </c>
      <c r="C618">
        <v>21.4</v>
      </c>
      <c r="D618" s="3">
        <v>21.4</v>
      </c>
      <c r="E618" t="s">
        <v>549</v>
      </c>
      <c r="F618">
        <v>2134778</v>
      </c>
      <c r="G618" s="1">
        <v>1.3100000000000001E-2</v>
      </c>
      <c r="H618" s="1">
        <v>3.4299999999999999E-3</v>
      </c>
    </row>
    <row r="619" spans="1:8" x14ac:dyDescent="0.25">
      <c r="A619" t="s">
        <v>1416</v>
      </c>
      <c r="B619">
        <v>47</v>
      </c>
      <c r="C619">
        <v>22.509</v>
      </c>
      <c r="D619" s="3">
        <v>22.51</v>
      </c>
      <c r="E619" t="s">
        <v>550</v>
      </c>
      <c r="F619">
        <v>1071739</v>
      </c>
      <c r="G619" s="1">
        <v>6.6E-3</v>
      </c>
      <c r="H619" s="1">
        <v>1.72E-3</v>
      </c>
    </row>
    <row r="620" spans="1:8" x14ac:dyDescent="0.25">
      <c r="A620" t="s">
        <v>1416</v>
      </c>
      <c r="B620">
        <v>48</v>
      </c>
      <c r="C620">
        <v>23.475999999999999</v>
      </c>
      <c r="D620" s="3">
        <v>23.48</v>
      </c>
      <c r="E620" t="s">
        <v>551</v>
      </c>
      <c r="F620">
        <v>3817384</v>
      </c>
      <c r="G620" s="1">
        <v>2.3400000000000001E-2</v>
      </c>
      <c r="H620" s="1">
        <v>6.13E-3</v>
      </c>
    </row>
    <row r="621" spans="1:8" x14ac:dyDescent="0.25">
      <c r="A621" t="s">
        <v>1416</v>
      </c>
      <c r="B621">
        <v>49</v>
      </c>
      <c r="C621">
        <v>23.664999999999999</v>
      </c>
      <c r="D621" s="3">
        <v>23.67</v>
      </c>
      <c r="E621" t="s">
        <v>552</v>
      </c>
      <c r="F621">
        <v>2256598</v>
      </c>
      <c r="G621" s="1">
        <v>1.38E-2</v>
      </c>
      <c r="H621" s="1">
        <v>3.63E-3</v>
      </c>
    </row>
    <row r="622" spans="1:8" x14ac:dyDescent="0.25">
      <c r="A622" t="s">
        <v>1416</v>
      </c>
      <c r="B622">
        <v>50</v>
      </c>
      <c r="C622">
        <v>23.914999999999999</v>
      </c>
      <c r="D622" s="3">
        <v>23.92</v>
      </c>
      <c r="E622" t="s">
        <v>553</v>
      </c>
      <c r="F622">
        <v>1430232</v>
      </c>
      <c r="G622" s="1">
        <v>8.8000000000000005E-3</v>
      </c>
      <c r="H622" s="1">
        <v>2.3E-3</v>
      </c>
    </row>
    <row r="623" spans="1:8" x14ac:dyDescent="0.25">
      <c r="A623" t="s">
        <v>1416</v>
      </c>
      <c r="B623">
        <v>51</v>
      </c>
      <c r="C623">
        <v>24.041</v>
      </c>
      <c r="D623" s="3">
        <v>24.04</v>
      </c>
      <c r="E623" t="s">
        <v>554</v>
      </c>
      <c r="F623">
        <v>1897469</v>
      </c>
      <c r="G623" s="1">
        <v>1.1599999999999999E-2</v>
      </c>
      <c r="H623" s="1">
        <v>3.0500000000000002E-3</v>
      </c>
    </row>
    <row r="624" spans="1:8" x14ac:dyDescent="0.25">
      <c r="A624" t="s">
        <v>1416</v>
      </c>
      <c r="B624">
        <v>52</v>
      </c>
      <c r="C624">
        <v>24.259</v>
      </c>
      <c r="D624" s="3">
        <v>24.26</v>
      </c>
      <c r="E624" t="s">
        <v>555</v>
      </c>
      <c r="F624">
        <v>1433603</v>
      </c>
      <c r="G624" s="1">
        <v>8.8000000000000005E-3</v>
      </c>
      <c r="H624" s="1">
        <v>2.3E-3</v>
      </c>
    </row>
    <row r="625" spans="1:8" x14ac:dyDescent="0.25">
      <c r="A625" t="s">
        <v>1416</v>
      </c>
      <c r="B625">
        <v>53</v>
      </c>
      <c r="C625">
        <v>25.375</v>
      </c>
      <c r="D625" s="3">
        <v>25.38</v>
      </c>
      <c r="E625" t="s">
        <v>556</v>
      </c>
      <c r="F625">
        <v>1906658</v>
      </c>
      <c r="G625" s="1">
        <v>1.17E-2</v>
      </c>
      <c r="H625" s="1">
        <v>3.0599999999999998E-3</v>
      </c>
    </row>
    <row r="626" spans="1:8" x14ac:dyDescent="0.25">
      <c r="A626" t="s">
        <v>1416</v>
      </c>
      <c r="B626">
        <v>54</v>
      </c>
      <c r="C626">
        <v>25.850999999999999</v>
      </c>
      <c r="D626" s="3">
        <v>25.85</v>
      </c>
      <c r="E626" t="s">
        <v>557</v>
      </c>
      <c r="F626">
        <v>1786353</v>
      </c>
      <c r="G626" s="1">
        <v>1.09E-2</v>
      </c>
      <c r="H626" s="1">
        <v>2.8700000000000002E-3</v>
      </c>
    </row>
    <row r="627" spans="1:8" x14ac:dyDescent="0.25">
      <c r="A627" t="s">
        <v>1416</v>
      </c>
      <c r="B627">
        <v>55</v>
      </c>
      <c r="C627">
        <v>26.018999999999998</v>
      </c>
      <c r="D627" s="3">
        <v>26.02</v>
      </c>
      <c r="E627" t="s">
        <v>558</v>
      </c>
      <c r="F627">
        <v>1400797</v>
      </c>
      <c r="G627" s="1">
        <v>8.6E-3</v>
      </c>
      <c r="H627" s="1">
        <v>2.2499999999999998E-3</v>
      </c>
    </row>
    <row r="628" spans="1:8" x14ac:dyDescent="0.25">
      <c r="A628" t="s">
        <v>1416</v>
      </c>
      <c r="B628">
        <v>56</v>
      </c>
      <c r="C628">
        <v>26.283000000000001</v>
      </c>
      <c r="D628" s="3">
        <v>26.28</v>
      </c>
      <c r="E628" t="s">
        <v>559</v>
      </c>
      <c r="F628">
        <v>1339848</v>
      </c>
      <c r="G628" s="1">
        <v>8.2000000000000007E-3</v>
      </c>
      <c r="H628" s="1">
        <v>2.15E-3</v>
      </c>
    </row>
    <row r="629" spans="1:8" x14ac:dyDescent="0.25">
      <c r="A629" t="s">
        <v>1416</v>
      </c>
      <c r="B629">
        <v>57</v>
      </c>
      <c r="C629">
        <v>27.119</v>
      </c>
      <c r="D629" s="3">
        <v>27.12</v>
      </c>
      <c r="E629" t="s">
        <v>560</v>
      </c>
      <c r="F629">
        <v>1136333</v>
      </c>
      <c r="G629" s="1">
        <v>7.0000000000000001E-3</v>
      </c>
      <c r="H629" s="1">
        <v>1.83E-3</v>
      </c>
    </row>
    <row r="630" spans="1:8" x14ac:dyDescent="0.25">
      <c r="A630" t="s">
        <v>1416</v>
      </c>
      <c r="B630">
        <v>58</v>
      </c>
      <c r="C630">
        <v>27.428000000000001</v>
      </c>
      <c r="D630" s="3">
        <v>27.43</v>
      </c>
      <c r="E630" t="s">
        <v>561</v>
      </c>
      <c r="F630">
        <v>1252852</v>
      </c>
      <c r="G630" s="1">
        <v>7.7000000000000002E-3</v>
      </c>
      <c r="H630" s="1">
        <v>2.0100000000000001E-3</v>
      </c>
    </row>
    <row r="631" spans="1:8" x14ac:dyDescent="0.25">
      <c r="A631" t="s">
        <v>1416</v>
      </c>
      <c r="B631">
        <v>59</v>
      </c>
      <c r="C631">
        <v>27.506</v>
      </c>
      <c r="D631" s="3">
        <v>27.51</v>
      </c>
      <c r="E631" t="s">
        <v>562</v>
      </c>
      <c r="F631">
        <v>3314135</v>
      </c>
      <c r="G631" s="1">
        <v>2.0299999999999999E-2</v>
      </c>
      <c r="H631" s="1">
        <v>5.3299999999999997E-3</v>
      </c>
    </row>
    <row r="632" spans="1:8" x14ac:dyDescent="0.25">
      <c r="A632" t="s">
        <v>1416</v>
      </c>
      <c r="B632">
        <v>60</v>
      </c>
      <c r="C632">
        <v>27.663</v>
      </c>
      <c r="D632" s="3">
        <v>27.66</v>
      </c>
      <c r="E632" t="s">
        <v>563</v>
      </c>
      <c r="F632">
        <v>1874737</v>
      </c>
      <c r="G632" s="1">
        <v>1.15E-2</v>
      </c>
      <c r="H632" s="1">
        <v>3.0100000000000001E-3</v>
      </c>
    </row>
    <row r="633" spans="1:8" x14ac:dyDescent="0.25">
      <c r="A633" t="s">
        <v>1416</v>
      </c>
      <c r="B633">
        <v>61</v>
      </c>
      <c r="C633">
        <v>28.481000000000002</v>
      </c>
      <c r="D633" s="3">
        <v>28.48</v>
      </c>
      <c r="E633">
        <v>2725250</v>
      </c>
      <c r="F633">
        <v>37369962</v>
      </c>
      <c r="G633" s="1">
        <v>0.22889999999999999</v>
      </c>
      <c r="H633" s="1">
        <v>6.0049999999999999E-2</v>
      </c>
    </row>
    <row r="634" spans="1:8" x14ac:dyDescent="0.25">
      <c r="A634" t="s">
        <v>1416</v>
      </c>
      <c r="B634">
        <v>62</v>
      </c>
      <c r="C634">
        <v>28.594999999999999</v>
      </c>
      <c r="D634" s="3">
        <v>28.6</v>
      </c>
      <c r="E634" t="s">
        <v>564</v>
      </c>
      <c r="F634">
        <v>2919541</v>
      </c>
      <c r="G634" s="1">
        <v>1.7899999999999999E-2</v>
      </c>
      <c r="H634" s="1">
        <v>4.6899999999999997E-3</v>
      </c>
    </row>
    <row r="635" spans="1:8" x14ac:dyDescent="0.25">
      <c r="A635" t="s">
        <v>1416</v>
      </c>
      <c r="B635">
        <v>63</v>
      </c>
      <c r="C635">
        <v>28.731999999999999</v>
      </c>
      <c r="D635" s="3">
        <v>28.73</v>
      </c>
      <c r="E635" t="s">
        <v>565</v>
      </c>
      <c r="F635">
        <v>7754463</v>
      </c>
      <c r="G635" s="1">
        <v>4.7500000000000001E-2</v>
      </c>
      <c r="H635" s="1">
        <v>1.2460000000000001E-2</v>
      </c>
    </row>
    <row r="636" spans="1:8" x14ac:dyDescent="0.25">
      <c r="A636" t="s">
        <v>1416</v>
      </c>
      <c r="B636">
        <v>64</v>
      </c>
      <c r="C636">
        <v>28.891999999999999</v>
      </c>
      <c r="D636" s="3">
        <v>28.89</v>
      </c>
      <c r="E636">
        <v>1057274</v>
      </c>
      <c r="F636">
        <v>13361797</v>
      </c>
      <c r="G636" s="1">
        <v>8.1799999999999998E-2</v>
      </c>
      <c r="H636" s="1">
        <v>2.147E-2</v>
      </c>
    </row>
    <row r="637" spans="1:8" x14ac:dyDescent="0.25">
      <c r="A637" t="s">
        <v>1416</v>
      </c>
      <c r="B637">
        <v>65</v>
      </c>
      <c r="C637">
        <v>29.048999999999999</v>
      </c>
      <c r="D637" s="3">
        <v>29.05</v>
      </c>
      <c r="E637">
        <v>9944478</v>
      </c>
      <c r="F637">
        <v>109356804</v>
      </c>
      <c r="G637" s="1">
        <v>0.66979999999999995</v>
      </c>
      <c r="H637" s="1">
        <v>0.17573</v>
      </c>
    </row>
    <row r="638" spans="1:8" x14ac:dyDescent="0.25">
      <c r="A638" t="s">
        <v>1416</v>
      </c>
      <c r="B638">
        <v>66</v>
      </c>
      <c r="C638">
        <v>29.16</v>
      </c>
      <c r="D638" s="3">
        <v>29.16</v>
      </c>
      <c r="E638" t="s">
        <v>566</v>
      </c>
      <c r="F638">
        <v>2160015</v>
      </c>
      <c r="G638" s="1">
        <v>1.32E-2</v>
      </c>
      <c r="H638" s="1">
        <v>3.47E-3</v>
      </c>
    </row>
    <row r="639" spans="1:8" x14ac:dyDescent="0.25">
      <c r="A639" t="s">
        <v>1416</v>
      </c>
      <c r="B639">
        <v>67</v>
      </c>
      <c r="C639">
        <v>29.231000000000002</v>
      </c>
      <c r="D639" s="3">
        <v>29.23</v>
      </c>
      <c r="E639" t="s">
        <v>567</v>
      </c>
      <c r="F639">
        <v>4704586</v>
      </c>
      <c r="G639" s="1">
        <v>2.8799999999999999E-2</v>
      </c>
      <c r="H639" s="1">
        <v>7.5599999999999999E-3</v>
      </c>
    </row>
    <row r="640" spans="1:8" x14ac:dyDescent="0.25">
      <c r="A640" t="s">
        <v>1416</v>
      </c>
      <c r="B640">
        <v>68</v>
      </c>
      <c r="C640">
        <v>29.422999999999998</v>
      </c>
      <c r="D640" s="3">
        <v>29.42</v>
      </c>
      <c r="E640" t="s">
        <v>568</v>
      </c>
      <c r="F640">
        <v>2028273</v>
      </c>
      <c r="G640" s="1">
        <v>1.24E-2</v>
      </c>
      <c r="H640" s="1">
        <v>3.2599999999999999E-3</v>
      </c>
    </row>
    <row r="641" spans="1:8" x14ac:dyDescent="0.25">
      <c r="A641" t="s">
        <v>1416</v>
      </c>
      <c r="B641">
        <v>69</v>
      </c>
      <c r="C641">
        <v>29.463000000000001</v>
      </c>
      <c r="D641" s="3">
        <v>29.46</v>
      </c>
      <c r="E641" t="s">
        <v>569</v>
      </c>
      <c r="F641">
        <v>2543900</v>
      </c>
      <c r="G641" s="1">
        <v>1.5599999999999999E-2</v>
      </c>
      <c r="H641" s="1">
        <v>4.0899999999999999E-3</v>
      </c>
    </row>
    <row r="642" spans="1:8" x14ac:dyDescent="0.25">
      <c r="A642" t="s">
        <v>1416</v>
      </c>
      <c r="B642">
        <v>70</v>
      </c>
      <c r="C642">
        <v>29.617999999999999</v>
      </c>
      <c r="D642" s="3">
        <v>29.62</v>
      </c>
      <c r="E642" t="s">
        <v>570</v>
      </c>
      <c r="F642">
        <v>1400370</v>
      </c>
      <c r="G642" s="1">
        <v>8.6E-3</v>
      </c>
      <c r="H642" s="1">
        <v>2.2499999999999998E-3</v>
      </c>
    </row>
    <row r="643" spans="1:8" x14ac:dyDescent="0.25">
      <c r="A643" t="s">
        <v>1416</v>
      </c>
      <c r="B643">
        <v>71</v>
      </c>
      <c r="C643">
        <v>29.741</v>
      </c>
      <c r="D643" s="3">
        <v>29.74</v>
      </c>
      <c r="E643">
        <v>1100255</v>
      </c>
      <c r="F643">
        <v>13538089</v>
      </c>
      <c r="G643" s="1">
        <v>8.2900000000000001E-2</v>
      </c>
      <c r="H643" s="1">
        <v>2.1749999999999999E-2</v>
      </c>
    </row>
    <row r="644" spans="1:8" x14ac:dyDescent="0.25">
      <c r="A644" t="s">
        <v>1416</v>
      </c>
      <c r="B644">
        <v>72</v>
      </c>
      <c r="C644">
        <v>29.826000000000001</v>
      </c>
      <c r="D644" s="3">
        <v>29.83</v>
      </c>
      <c r="E644" t="s">
        <v>571</v>
      </c>
      <c r="F644">
        <v>14072041</v>
      </c>
      <c r="G644" s="1">
        <v>8.6199999999999999E-2</v>
      </c>
      <c r="H644" s="1">
        <v>2.2610000000000002E-2</v>
      </c>
    </row>
    <row r="645" spans="1:8" x14ac:dyDescent="0.25">
      <c r="A645" t="s">
        <v>1416</v>
      </c>
      <c r="B645">
        <v>73</v>
      </c>
      <c r="C645">
        <v>29.882000000000001</v>
      </c>
      <c r="D645" s="3">
        <v>29.88</v>
      </c>
      <c r="E645" t="s">
        <v>572</v>
      </c>
      <c r="F645">
        <v>3334296</v>
      </c>
      <c r="G645" s="1">
        <v>2.0400000000000001E-2</v>
      </c>
      <c r="H645" s="1">
        <v>5.3600000000000002E-3</v>
      </c>
    </row>
    <row r="646" spans="1:8" x14ac:dyDescent="0.25">
      <c r="A646" t="s">
        <v>1416</v>
      </c>
      <c r="B646">
        <v>74</v>
      </c>
      <c r="C646">
        <v>29.934000000000001</v>
      </c>
      <c r="D646" s="3">
        <v>29.93</v>
      </c>
      <c r="E646" t="s">
        <v>573</v>
      </c>
      <c r="F646">
        <v>1197255</v>
      </c>
      <c r="G646" s="1">
        <v>7.3000000000000001E-3</v>
      </c>
      <c r="H646" s="1">
        <v>1.92E-3</v>
      </c>
    </row>
    <row r="647" spans="1:8" x14ac:dyDescent="0.25">
      <c r="A647" t="s">
        <v>1416</v>
      </c>
      <c r="B647">
        <v>75</v>
      </c>
      <c r="C647">
        <v>30.015000000000001</v>
      </c>
      <c r="D647" s="3">
        <v>30.02</v>
      </c>
      <c r="E647" t="s">
        <v>574</v>
      </c>
      <c r="F647">
        <v>1244290</v>
      </c>
      <c r="G647" s="1">
        <v>7.6E-3</v>
      </c>
      <c r="H647" s="1">
        <v>2E-3</v>
      </c>
    </row>
    <row r="648" spans="1:8" x14ac:dyDescent="0.25">
      <c r="A648" t="s">
        <v>1416</v>
      </c>
      <c r="B648">
        <v>76</v>
      </c>
      <c r="C648">
        <v>30.11</v>
      </c>
      <c r="D648" s="3">
        <v>30.11</v>
      </c>
      <c r="E648" t="s">
        <v>575</v>
      </c>
      <c r="F648">
        <v>1376249</v>
      </c>
      <c r="G648" s="1">
        <v>8.3999999999999995E-3</v>
      </c>
      <c r="H648" s="1">
        <v>2.2100000000000002E-3</v>
      </c>
    </row>
    <row r="649" spans="1:8" x14ac:dyDescent="0.25">
      <c r="A649" t="s">
        <v>1416</v>
      </c>
      <c r="B649">
        <v>77</v>
      </c>
      <c r="C649">
        <v>30.175000000000001</v>
      </c>
      <c r="D649" s="3">
        <v>30.18</v>
      </c>
      <c r="E649">
        <v>124462</v>
      </c>
      <c r="F649">
        <v>1658275</v>
      </c>
      <c r="G649" s="1">
        <v>1.0200000000000001E-2</v>
      </c>
      <c r="H649" s="1">
        <v>2.66E-3</v>
      </c>
    </row>
    <row r="650" spans="1:8" x14ac:dyDescent="0.25">
      <c r="A650" t="s">
        <v>1416</v>
      </c>
      <c r="B650">
        <v>78</v>
      </c>
      <c r="C650">
        <v>30.254999999999999</v>
      </c>
      <c r="D650" s="3">
        <v>30.26</v>
      </c>
      <c r="E650" t="s">
        <v>576</v>
      </c>
      <c r="F650">
        <v>1189159</v>
      </c>
      <c r="G650" s="1">
        <v>7.3000000000000001E-3</v>
      </c>
      <c r="H650" s="1">
        <v>1.91E-3</v>
      </c>
    </row>
    <row r="651" spans="1:8" x14ac:dyDescent="0.25">
      <c r="A651" t="s">
        <v>1416</v>
      </c>
      <c r="B651">
        <v>79</v>
      </c>
      <c r="C651">
        <v>31.986999999999998</v>
      </c>
      <c r="D651" s="3">
        <v>31.99</v>
      </c>
      <c r="E651">
        <v>185879</v>
      </c>
      <c r="F651">
        <v>4276339</v>
      </c>
      <c r="G651" s="1">
        <v>2.6200000000000001E-2</v>
      </c>
      <c r="H651" s="1">
        <v>6.8700000000000002E-3</v>
      </c>
    </row>
    <row r="652" spans="1:8" x14ac:dyDescent="0.25">
      <c r="A652" t="s">
        <v>1416</v>
      </c>
      <c r="B652">
        <v>80</v>
      </c>
      <c r="C652">
        <v>32.734000000000002</v>
      </c>
      <c r="D652" s="3">
        <v>32.729999999999997</v>
      </c>
      <c r="E652" t="s">
        <v>577</v>
      </c>
      <c r="F652">
        <v>2633379</v>
      </c>
      <c r="G652" s="1">
        <v>1.61E-2</v>
      </c>
      <c r="H652" s="1">
        <v>4.2300000000000003E-3</v>
      </c>
    </row>
    <row r="653" spans="1:8" x14ac:dyDescent="0.25">
      <c r="A653" t="s">
        <v>1416</v>
      </c>
      <c r="B653">
        <v>81</v>
      </c>
      <c r="C653">
        <v>33.1</v>
      </c>
      <c r="D653" s="3">
        <v>33.1</v>
      </c>
      <c r="E653">
        <v>253635</v>
      </c>
      <c r="F653">
        <v>9638832</v>
      </c>
      <c r="G653" s="1">
        <v>5.8999999999999997E-2</v>
      </c>
      <c r="H653" s="1">
        <v>1.549E-2</v>
      </c>
    </row>
    <row r="654" spans="1:8" x14ac:dyDescent="0.25">
      <c r="A654" t="s">
        <v>1416</v>
      </c>
      <c r="B654">
        <v>82</v>
      </c>
      <c r="C654">
        <v>33.347999999999999</v>
      </c>
      <c r="D654" s="3">
        <v>33.35</v>
      </c>
      <c r="E654">
        <v>42568</v>
      </c>
      <c r="F654">
        <v>1591861</v>
      </c>
      <c r="G654" s="1">
        <v>9.7000000000000003E-3</v>
      </c>
      <c r="H654" s="1">
        <v>2.5600000000000002E-3</v>
      </c>
    </row>
    <row r="655" spans="1:8" x14ac:dyDescent="0.25">
      <c r="A655" t="s">
        <v>1416</v>
      </c>
      <c r="B655">
        <v>83</v>
      </c>
      <c r="C655">
        <v>33.692</v>
      </c>
      <c r="D655" s="3">
        <v>33.69</v>
      </c>
      <c r="E655">
        <v>73899</v>
      </c>
      <c r="F655">
        <v>2108103</v>
      </c>
      <c r="G655" s="1">
        <v>1.29E-2</v>
      </c>
      <c r="H655" s="1">
        <v>3.3899999999999998E-3</v>
      </c>
    </row>
    <row r="656" spans="1:8" x14ac:dyDescent="0.25">
      <c r="A656" t="s">
        <v>1417</v>
      </c>
      <c r="B656">
        <v>1</v>
      </c>
      <c r="C656">
        <v>4.8970000000000002</v>
      </c>
      <c r="D656" s="3">
        <v>4.9000000000000004</v>
      </c>
      <c r="E656" t="s">
        <v>578</v>
      </c>
      <c r="F656">
        <v>9808696</v>
      </c>
      <c r="G656" s="1">
        <v>8.9599999999999999E-2</v>
      </c>
      <c r="H656" s="1">
        <v>8.3300000000000006E-3</v>
      </c>
    </row>
    <row r="657" spans="1:8" x14ac:dyDescent="0.25">
      <c r="A657" t="s">
        <v>1417</v>
      </c>
      <c r="B657">
        <v>2</v>
      </c>
      <c r="C657">
        <v>5.94</v>
      </c>
      <c r="D657" s="3">
        <v>5.94</v>
      </c>
      <c r="E657" t="s">
        <v>579</v>
      </c>
      <c r="F657">
        <v>2764599</v>
      </c>
      <c r="G657" s="1">
        <v>2.53E-2</v>
      </c>
      <c r="H657" s="1">
        <v>2.3500000000000001E-3</v>
      </c>
    </row>
    <row r="658" spans="1:8" x14ac:dyDescent="0.25">
      <c r="A658" t="s">
        <v>1417</v>
      </c>
      <c r="B658">
        <v>3</v>
      </c>
      <c r="C658">
        <v>6.101</v>
      </c>
      <c r="D658" s="3">
        <v>6.1</v>
      </c>
      <c r="E658" t="s">
        <v>580</v>
      </c>
      <c r="F658">
        <v>1460202</v>
      </c>
      <c r="G658" s="1">
        <v>1.3299999999999999E-2</v>
      </c>
      <c r="H658" s="1">
        <v>1.24E-3</v>
      </c>
    </row>
    <row r="659" spans="1:8" x14ac:dyDescent="0.25">
      <c r="A659" t="s">
        <v>1417</v>
      </c>
      <c r="B659">
        <v>4</v>
      </c>
      <c r="C659">
        <v>6.27</v>
      </c>
      <c r="D659" s="3">
        <v>6.27</v>
      </c>
      <c r="E659" t="s">
        <v>581</v>
      </c>
      <c r="F659">
        <v>1154742</v>
      </c>
      <c r="G659" s="1">
        <v>1.06E-2</v>
      </c>
      <c r="H659" s="1">
        <v>9.7999999999999997E-4</v>
      </c>
    </row>
    <row r="660" spans="1:8" x14ac:dyDescent="0.25">
      <c r="A660" t="s">
        <v>1417</v>
      </c>
      <c r="B660">
        <v>5</v>
      </c>
      <c r="C660">
        <v>6.4980000000000002</v>
      </c>
      <c r="D660" s="3">
        <v>6.5</v>
      </c>
      <c r="E660" t="s">
        <v>582</v>
      </c>
      <c r="F660">
        <v>4013294</v>
      </c>
      <c r="G660" s="1">
        <v>3.6700000000000003E-2</v>
      </c>
      <c r="H660" s="1">
        <v>3.4099999999999998E-3</v>
      </c>
    </row>
    <row r="661" spans="1:8" x14ac:dyDescent="0.25">
      <c r="A661" t="s">
        <v>1417</v>
      </c>
      <c r="B661">
        <v>6</v>
      </c>
      <c r="C661">
        <v>7.1210000000000004</v>
      </c>
      <c r="D661" s="3">
        <v>7.12</v>
      </c>
      <c r="E661" t="s">
        <v>583</v>
      </c>
      <c r="F661">
        <v>1292976</v>
      </c>
      <c r="G661" s="1">
        <v>1.18E-2</v>
      </c>
      <c r="H661" s="1">
        <v>1.1000000000000001E-3</v>
      </c>
    </row>
    <row r="662" spans="1:8" x14ac:dyDescent="0.25">
      <c r="A662" t="s">
        <v>1417</v>
      </c>
      <c r="B662">
        <v>7</v>
      </c>
      <c r="C662">
        <v>8.1159999999999997</v>
      </c>
      <c r="D662" s="3">
        <v>8.1199999999999992</v>
      </c>
      <c r="E662" t="s">
        <v>584</v>
      </c>
      <c r="F662">
        <v>4079905</v>
      </c>
      <c r="G662" s="1">
        <v>3.73E-2</v>
      </c>
      <c r="H662" s="1">
        <v>3.46E-3</v>
      </c>
    </row>
    <row r="663" spans="1:8" x14ac:dyDescent="0.25">
      <c r="A663" t="s">
        <v>1417</v>
      </c>
      <c r="B663">
        <v>8</v>
      </c>
      <c r="C663">
        <v>8.2279999999999998</v>
      </c>
      <c r="D663" s="3">
        <v>8.23</v>
      </c>
      <c r="E663" t="s">
        <v>585</v>
      </c>
      <c r="F663">
        <v>9308401</v>
      </c>
      <c r="G663" s="1">
        <v>8.5099999999999995E-2</v>
      </c>
      <c r="H663" s="1">
        <v>7.9000000000000008E-3</v>
      </c>
    </row>
    <row r="664" spans="1:8" x14ac:dyDescent="0.25">
      <c r="A664" t="s">
        <v>1417</v>
      </c>
      <c r="B664">
        <v>9</v>
      </c>
      <c r="C664">
        <v>8.6349999999999998</v>
      </c>
      <c r="D664" s="3">
        <v>8.64</v>
      </c>
      <c r="E664" t="s">
        <v>586</v>
      </c>
      <c r="F664">
        <v>3986774</v>
      </c>
      <c r="G664" s="1">
        <v>3.6400000000000002E-2</v>
      </c>
      <c r="H664" s="1">
        <v>3.3899999999999998E-3</v>
      </c>
    </row>
    <row r="665" spans="1:8" x14ac:dyDescent="0.25">
      <c r="A665" t="s">
        <v>1417</v>
      </c>
      <c r="B665">
        <v>10</v>
      </c>
      <c r="C665">
        <v>8.7729999999999997</v>
      </c>
      <c r="D665" s="3">
        <v>8.77</v>
      </c>
      <c r="E665" t="s">
        <v>587</v>
      </c>
      <c r="F665">
        <v>2340638</v>
      </c>
      <c r="G665" s="1">
        <v>2.1399999999999999E-2</v>
      </c>
      <c r="H665" s="1">
        <v>1.99E-3</v>
      </c>
    </row>
    <row r="666" spans="1:8" x14ac:dyDescent="0.25">
      <c r="A666" t="s">
        <v>1417</v>
      </c>
      <c r="B666">
        <v>11</v>
      </c>
      <c r="C666">
        <v>8.9179999999999993</v>
      </c>
      <c r="D666" s="3">
        <v>8.92</v>
      </c>
      <c r="E666" t="s">
        <v>588</v>
      </c>
      <c r="F666">
        <v>5696975</v>
      </c>
      <c r="G666" s="1">
        <v>5.21E-2</v>
      </c>
      <c r="H666" s="1">
        <v>4.8399999999999997E-3</v>
      </c>
    </row>
    <row r="667" spans="1:8" x14ac:dyDescent="0.25">
      <c r="A667" t="s">
        <v>1417</v>
      </c>
      <c r="B667">
        <v>12</v>
      </c>
      <c r="C667">
        <v>9.1950000000000003</v>
      </c>
      <c r="D667" s="3">
        <v>9.1999999999999993</v>
      </c>
      <c r="E667" t="s">
        <v>589</v>
      </c>
      <c r="F667">
        <v>24702201</v>
      </c>
      <c r="G667" s="1">
        <v>0.22570000000000001</v>
      </c>
      <c r="H667" s="1">
        <v>2.0979999999999999E-2</v>
      </c>
    </row>
    <row r="668" spans="1:8" x14ac:dyDescent="0.25">
      <c r="A668" t="s">
        <v>1417</v>
      </c>
      <c r="B668">
        <v>13</v>
      </c>
      <c r="C668">
        <v>9.3089999999999993</v>
      </c>
      <c r="D668" s="3">
        <v>9.31</v>
      </c>
      <c r="E668" t="s">
        <v>590</v>
      </c>
      <c r="F668">
        <v>7565477</v>
      </c>
      <c r="G668" s="1">
        <v>6.9099999999999995E-2</v>
      </c>
      <c r="H668" s="1">
        <v>6.4200000000000004E-3</v>
      </c>
    </row>
    <row r="669" spans="1:8" x14ac:dyDescent="0.25">
      <c r="A669" t="s">
        <v>1417</v>
      </c>
      <c r="B669">
        <v>14</v>
      </c>
      <c r="C669">
        <v>9.5129999999999999</v>
      </c>
      <c r="D669" s="3">
        <v>9.51</v>
      </c>
      <c r="E669" t="s">
        <v>591</v>
      </c>
      <c r="F669">
        <v>5727207</v>
      </c>
      <c r="G669" s="1">
        <v>5.2299999999999999E-2</v>
      </c>
      <c r="H669" s="1">
        <v>4.8599999999999997E-3</v>
      </c>
    </row>
    <row r="670" spans="1:8" x14ac:dyDescent="0.25">
      <c r="A670" t="s">
        <v>1417</v>
      </c>
      <c r="B670">
        <v>15</v>
      </c>
      <c r="C670">
        <v>9.5790000000000006</v>
      </c>
      <c r="D670" s="3">
        <v>9.58</v>
      </c>
      <c r="E670" t="s">
        <v>592</v>
      </c>
      <c r="F670">
        <v>2741039</v>
      </c>
      <c r="G670" s="1">
        <v>2.5000000000000001E-2</v>
      </c>
      <c r="H670" s="1">
        <v>2.33E-3</v>
      </c>
    </row>
    <row r="671" spans="1:8" x14ac:dyDescent="0.25">
      <c r="A671" t="s">
        <v>1417</v>
      </c>
      <c r="B671">
        <v>16</v>
      </c>
      <c r="C671">
        <v>9.6590000000000007</v>
      </c>
      <c r="D671" s="3">
        <v>9.66</v>
      </c>
      <c r="E671" t="s">
        <v>593</v>
      </c>
      <c r="F671">
        <v>16195795</v>
      </c>
      <c r="G671" s="1">
        <v>0.14799999999999999</v>
      </c>
      <c r="H671" s="1">
        <v>1.375E-2</v>
      </c>
    </row>
    <row r="672" spans="1:8" x14ac:dyDescent="0.25">
      <c r="A672" t="s">
        <v>1417</v>
      </c>
      <c r="B672">
        <v>17</v>
      </c>
      <c r="C672">
        <v>9.8379999999999992</v>
      </c>
      <c r="D672" s="3">
        <v>9.84</v>
      </c>
      <c r="E672">
        <v>106690</v>
      </c>
      <c r="F672">
        <v>5953767</v>
      </c>
      <c r="G672" s="1">
        <v>5.4399999999999997E-2</v>
      </c>
      <c r="H672" s="1">
        <v>5.0600000000000003E-3</v>
      </c>
    </row>
    <row r="673" spans="1:8" x14ac:dyDescent="0.25">
      <c r="A673" t="s">
        <v>1417</v>
      </c>
      <c r="B673">
        <v>18</v>
      </c>
      <c r="C673">
        <v>9.9390000000000001</v>
      </c>
      <c r="D673" s="3">
        <v>9.94</v>
      </c>
      <c r="E673">
        <v>69145</v>
      </c>
      <c r="F673">
        <v>3031035</v>
      </c>
      <c r="G673" s="1">
        <v>2.7699999999999999E-2</v>
      </c>
      <c r="H673" s="1">
        <v>2.5699999999999998E-3</v>
      </c>
    </row>
    <row r="674" spans="1:8" x14ac:dyDescent="0.25">
      <c r="A674" t="s">
        <v>1417</v>
      </c>
      <c r="B674">
        <v>19</v>
      </c>
      <c r="C674">
        <v>10.048999999999999</v>
      </c>
      <c r="D674" s="3">
        <v>10.050000000000001</v>
      </c>
      <c r="E674">
        <v>78973</v>
      </c>
      <c r="F674">
        <v>4210143</v>
      </c>
      <c r="G674" s="1">
        <v>3.85E-2</v>
      </c>
      <c r="H674" s="1">
        <v>3.5799999999999998E-3</v>
      </c>
    </row>
    <row r="675" spans="1:8" x14ac:dyDescent="0.25">
      <c r="A675" t="s">
        <v>1417</v>
      </c>
      <c r="B675">
        <v>20</v>
      </c>
      <c r="C675">
        <v>10.196999999999999</v>
      </c>
      <c r="D675" s="3">
        <v>10.199999999999999</v>
      </c>
      <c r="E675">
        <v>105698</v>
      </c>
      <c r="F675">
        <v>6075028</v>
      </c>
      <c r="G675" s="1">
        <v>5.5500000000000001E-2</v>
      </c>
      <c r="H675" s="1">
        <v>5.1599999999999997E-3</v>
      </c>
    </row>
    <row r="676" spans="1:8" x14ac:dyDescent="0.25">
      <c r="A676" t="s">
        <v>1417</v>
      </c>
      <c r="B676">
        <v>21</v>
      </c>
      <c r="C676">
        <v>10.291</v>
      </c>
      <c r="D676" s="3">
        <v>10.29</v>
      </c>
      <c r="E676" t="s">
        <v>594</v>
      </c>
      <c r="F676">
        <v>23621018</v>
      </c>
      <c r="G676" s="1">
        <v>0.21590000000000001</v>
      </c>
      <c r="H676" s="1">
        <v>2.0060000000000001E-2</v>
      </c>
    </row>
    <row r="677" spans="1:8" x14ac:dyDescent="0.25">
      <c r="A677" t="s">
        <v>1417</v>
      </c>
      <c r="B677">
        <v>22</v>
      </c>
      <c r="C677">
        <v>10.409000000000001</v>
      </c>
      <c r="D677" s="3">
        <v>10.41</v>
      </c>
      <c r="E677" t="s">
        <v>595</v>
      </c>
      <c r="F677">
        <v>3059305</v>
      </c>
      <c r="G677" s="1">
        <v>2.8000000000000001E-2</v>
      </c>
      <c r="H677" s="1">
        <v>2.5999999999999999E-3</v>
      </c>
    </row>
    <row r="678" spans="1:8" x14ac:dyDescent="0.25">
      <c r="A678" t="s">
        <v>1417</v>
      </c>
      <c r="B678">
        <v>23</v>
      </c>
      <c r="C678">
        <v>10.585000000000001</v>
      </c>
      <c r="D678" s="3">
        <v>10.59</v>
      </c>
      <c r="E678" t="s">
        <v>596</v>
      </c>
      <c r="F678">
        <v>98510925</v>
      </c>
      <c r="G678" s="1">
        <v>0.90029999999999999</v>
      </c>
      <c r="H678" s="1">
        <v>8.3659999999999998E-2</v>
      </c>
    </row>
    <row r="679" spans="1:8" x14ac:dyDescent="0.25">
      <c r="A679" t="s">
        <v>1417</v>
      </c>
      <c r="B679">
        <v>24</v>
      </c>
      <c r="C679">
        <v>10.753</v>
      </c>
      <c r="D679" s="3">
        <v>10.75</v>
      </c>
      <c r="E679" t="s">
        <v>597</v>
      </c>
      <c r="F679">
        <v>52994703</v>
      </c>
      <c r="G679" s="1">
        <v>0.48430000000000001</v>
      </c>
      <c r="H679" s="1">
        <v>4.4999999999999998E-2</v>
      </c>
    </row>
    <row r="680" spans="1:8" x14ac:dyDescent="0.25">
      <c r="A680" t="s">
        <v>1417</v>
      </c>
      <c r="B680">
        <v>25</v>
      </c>
      <c r="C680">
        <v>10.95</v>
      </c>
      <c r="D680" s="3">
        <v>10.95</v>
      </c>
      <c r="E680" t="s">
        <v>598</v>
      </c>
      <c r="F680">
        <v>14805883</v>
      </c>
      <c r="G680" s="1">
        <v>0.1353</v>
      </c>
      <c r="H680" s="1">
        <v>1.257E-2</v>
      </c>
    </row>
    <row r="681" spans="1:8" x14ac:dyDescent="0.25">
      <c r="A681" t="s">
        <v>1417</v>
      </c>
      <c r="B681">
        <v>26</v>
      </c>
      <c r="C681">
        <v>11.055999999999999</v>
      </c>
      <c r="D681" s="3">
        <v>11.06</v>
      </c>
      <c r="E681" t="s">
        <v>599</v>
      </c>
      <c r="F681">
        <v>8581362</v>
      </c>
      <c r="G681" s="1">
        <v>7.8399999999999997E-2</v>
      </c>
      <c r="H681" s="1">
        <v>7.2899999999999996E-3</v>
      </c>
    </row>
    <row r="682" spans="1:8" x14ac:dyDescent="0.25">
      <c r="A682" t="s">
        <v>1417</v>
      </c>
      <c r="B682">
        <v>27</v>
      </c>
      <c r="C682">
        <v>11.131</v>
      </c>
      <c r="D682" s="3">
        <v>11.13</v>
      </c>
      <c r="E682" t="s">
        <v>600</v>
      </c>
      <c r="F682">
        <v>14458387</v>
      </c>
      <c r="G682" s="1">
        <v>0.1321</v>
      </c>
      <c r="H682" s="1">
        <v>1.2279999999999999E-2</v>
      </c>
    </row>
    <row r="683" spans="1:8" x14ac:dyDescent="0.25">
      <c r="A683" t="s">
        <v>1417</v>
      </c>
      <c r="B683">
        <v>28</v>
      </c>
      <c r="C683">
        <v>11.21</v>
      </c>
      <c r="D683" s="3">
        <v>11.21</v>
      </c>
      <c r="E683" t="s">
        <v>601</v>
      </c>
      <c r="F683">
        <v>45114114</v>
      </c>
      <c r="G683" s="1">
        <v>0.4123</v>
      </c>
      <c r="H683" s="1">
        <v>3.8309999999999997E-2</v>
      </c>
    </row>
    <row r="684" spans="1:8" x14ac:dyDescent="0.25">
      <c r="A684" t="s">
        <v>1417</v>
      </c>
      <c r="B684">
        <v>29</v>
      </c>
      <c r="C684">
        <v>11.375999999999999</v>
      </c>
      <c r="D684" s="3">
        <v>11.38</v>
      </c>
      <c r="E684" t="s">
        <v>602</v>
      </c>
      <c r="F684">
        <v>15053968</v>
      </c>
      <c r="G684" s="1">
        <v>0.1376</v>
      </c>
      <c r="H684" s="1">
        <v>1.278E-2</v>
      </c>
    </row>
    <row r="685" spans="1:8" x14ac:dyDescent="0.25">
      <c r="A685" t="s">
        <v>1417</v>
      </c>
      <c r="B685">
        <v>30</v>
      </c>
      <c r="C685">
        <v>11.457000000000001</v>
      </c>
      <c r="D685" s="3">
        <v>11.46</v>
      </c>
      <c r="E685" t="s">
        <v>603</v>
      </c>
      <c r="F685">
        <v>10572167</v>
      </c>
      <c r="G685" s="1">
        <v>9.6600000000000005E-2</v>
      </c>
      <c r="H685" s="1">
        <v>8.9800000000000001E-3</v>
      </c>
    </row>
    <row r="686" spans="1:8" x14ac:dyDescent="0.25">
      <c r="A686" t="s">
        <v>1417</v>
      </c>
      <c r="B686">
        <v>31</v>
      </c>
      <c r="C686">
        <v>11.551</v>
      </c>
      <c r="D686" s="3">
        <v>11.55</v>
      </c>
      <c r="E686" t="s">
        <v>604</v>
      </c>
      <c r="F686">
        <v>24190097</v>
      </c>
      <c r="G686" s="1">
        <v>0.22109999999999999</v>
      </c>
      <c r="H686" s="1">
        <v>2.0539999999999999E-2</v>
      </c>
    </row>
    <row r="687" spans="1:8" x14ac:dyDescent="0.25">
      <c r="A687" t="s">
        <v>1417</v>
      </c>
      <c r="B687">
        <v>32</v>
      </c>
      <c r="C687">
        <v>11.603999999999999</v>
      </c>
      <c r="D687" s="3">
        <v>11.6</v>
      </c>
      <c r="E687" t="s">
        <v>605</v>
      </c>
      <c r="F687">
        <v>31936566</v>
      </c>
      <c r="G687" s="1">
        <v>0.29189999999999999</v>
      </c>
      <c r="H687" s="1">
        <v>2.7119999999999998E-2</v>
      </c>
    </row>
    <row r="688" spans="1:8" x14ac:dyDescent="0.25">
      <c r="A688" t="s">
        <v>1417</v>
      </c>
      <c r="B688">
        <v>33</v>
      </c>
      <c r="C688">
        <v>11.765000000000001</v>
      </c>
      <c r="D688" s="3">
        <v>11.77</v>
      </c>
      <c r="E688" t="s">
        <v>606</v>
      </c>
      <c r="F688">
        <v>15187565</v>
      </c>
      <c r="G688" s="1">
        <v>0.13880000000000001</v>
      </c>
      <c r="H688" s="1">
        <v>1.29E-2</v>
      </c>
    </row>
    <row r="689" spans="1:8" x14ac:dyDescent="0.25">
      <c r="A689" t="s">
        <v>1417</v>
      </c>
      <c r="B689">
        <v>34</v>
      </c>
      <c r="C689">
        <v>11.91</v>
      </c>
      <c r="D689" s="3">
        <v>11.91</v>
      </c>
      <c r="E689" t="s">
        <v>607</v>
      </c>
      <c r="F689">
        <v>21351735</v>
      </c>
      <c r="G689" s="1">
        <v>0.1951</v>
      </c>
      <c r="H689" s="1">
        <v>1.813E-2</v>
      </c>
    </row>
    <row r="690" spans="1:8" x14ac:dyDescent="0.25">
      <c r="A690" t="s">
        <v>1417</v>
      </c>
      <c r="B690">
        <v>35</v>
      </c>
      <c r="C690">
        <v>11.962</v>
      </c>
      <c r="D690" s="3">
        <v>11.96</v>
      </c>
      <c r="E690" t="s">
        <v>608</v>
      </c>
      <c r="F690">
        <v>9567509</v>
      </c>
      <c r="G690" s="1">
        <v>8.7400000000000005E-2</v>
      </c>
      <c r="H690" s="1">
        <v>8.1200000000000005E-3</v>
      </c>
    </row>
    <row r="691" spans="1:8" x14ac:dyDescent="0.25">
      <c r="A691" t="s">
        <v>1417</v>
      </c>
      <c r="B691">
        <v>36</v>
      </c>
      <c r="C691">
        <v>12.021000000000001</v>
      </c>
      <c r="D691" s="3">
        <v>12.02</v>
      </c>
      <c r="E691" t="s">
        <v>609</v>
      </c>
      <c r="F691">
        <v>8820767</v>
      </c>
      <c r="G691" s="1">
        <v>8.0600000000000005E-2</v>
      </c>
      <c r="H691" s="1">
        <v>7.4900000000000001E-3</v>
      </c>
    </row>
    <row r="692" spans="1:8" x14ac:dyDescent="0.25">
      <c r="A692" t="s">
        <v>1417</v>
      </c>
      <c r="B692">
        <v>37</v>
      </c>
      <c r="C692">
        <v>12.124000000000001</v>
      </c>
      <c r="D692" s="3">
        <v>12.12</v>
      </c>
      <c r="E692" t="s">
        <v>610</v>
      </c>
      <c r="F692">
        <v>10634254</v>
      </c>
      <c r="G692" s="1">
        <v>9.7199999999999995E-2</v>
      </c>
      <c r="H692" s="1">
        <v>9.0299999999999998E-3</v>
      </c>
    </row>
    <row r="693" spans="1:8" x14ac:dyDescent="0.25">
      <c r="A693" t="s">
        <v>1417</v>
      </c>
      <c r="B693">
        <v>38</v>
      </c>
      <c r="C693">
        <v>12.224</v>
      </c>
      <c r="D693" s="3">
        <v>12.22</v>
      </c>
      <c r="E693" t="s">
        <v>611</v>
      </c>
      <c r="F693">
        <v>89019188</v>
      </c>
      <c r="G693" s="1">
        <v>0.8135</v>
      </c>
      <c r="H693" s="1">
        <v>7.5600000000000001E-2</v>
      </c>
    </row>
    <row r="694" spans="1:8" x14ac:dyDescent="0.25">
      <c r="A694" t="s">
        <v>1417</v>
      </c>
      <c r="B694">
        <v>39</v>
      </c>
      <c r="C694">
        <v>12.492000000000001</v>
      </c>
      <c r="D694" s="3">
        <v>12.49</v>
      </c>
      <c r="E694" t="s">
        <v>612</v>
      </c>
      <c r="F694">
        <v>5024395</v>
      </c>
      <c r="G694" s="1">
        <v>4.5900000000000003E-2</v>
      </c>
      <c r="H694" s="1">
        <v>4.2700000000000004E-3</v>
      </c>
    </row>
    <row r="695" spans="1:8" x14ac:dyDescent="0.25">
      <c r="A695" t="s">
        <v>1417</v>
      </c>
      <c r="B695">
        <v>40</v>
      </c>
      <c r="C695">
        <v>12.537000000000001</v>
      </c>
      <c r="D695" s="3">
        <v>12.54</v>
      </c>
      <c r="E695" t="s">
        <v>613</v>
      </c>
      <c r="F695">
        <v>7202024</v>
      </c>
      <c r="G695" s="1">
        <v>6.5799999999999997E-2</v>
      </c>
      <c r="H695" s="1">
        <v>6.1199999999999996E-3</v>
      </c>
    </row>
    <row r="696" spans="1:8" x14ac:dyDescent="0.25">
      <c r="A696" t="s">
        <v>1417</v>
      </c>
      <c r="B696">
        <v>41</v>
      </c>
      <c r="C696">
        <v>12.583</v>
      </c>
      <c r="D696" s="3">
        <v>12.58</v>
      </c>
      <c r="E696" t="s">
        <v>614</v>
      </c>
      <c r="F696">
        <v>1630905</v>
      </c>
      <c r="G696" s="1">
        <v>1.49E-2</v>
      </c>
      <c r="H696" s="1">
        <v>1.3799999999999999E-3</v>
      </c>
    </row>
    <row r="697" spans="1:8" x14ac:dyDescent="0.25">
      <c r="A697" t="s">
        <v>1417</v>
      </c>
      <c r="B697">
        <v>42</v>
      </c>
      <c r="C697">
        <v>12.638999999999999</v>
      </c>
      <c r="D697" s="3">
        <v>12.64</v>
      </c>
      <c r="E697" t="s">
        <v>615</v>
      </c>
      <c r="F697">
        <v>7531588</v>
      </c>
      <c r="G697" s="1">
        <v>6.88E-2</v>
      </c>
      <c r="H697" s="1">
        <v>6.4000000000000003E-3</v>
      </c>
    </row>
    <row r="698" spans="1:8" x14ac:dyDescent="0.25">
      <c r="A698" t="s">
        <v>1417</v>
      </c>
      <c r="B698">
        <v>43</v>
      </c>
      <c r="C698">
        <v>12.701000000000001</v>
      </c>
      <c r="D698" s="3">
        <v>12.7</v>
      </c>
      <c r="E698" t="s">
        <v>616</v>
      </c>
      <c r="F698">
        <v>18959192</v>
      </c>
      <c r="G698" s="1">
        <v>0.17330000000000001</v>
      </c>
      <c r="H698" s="1">
        <v>1.61E-2</v>
      </c>
    </row>
    <row r="699" spans="1:8" x14ac:dyDescent="0.25">
      <c r="A699" t="s">
        <v>1417</v>
      </c>
      <c r="B699">
        <v>44</v>
      </c>
      <c r="C699">
        <v>12.846</v>
      </c>
      <c r="D699" s="3">
        <v>12.85</v>
      </c>
      <c r="E699" t="s">
        <v>617</v>
      </c>
      <c r="F699">
        <v>109425591</v>
      </c>
      <c r="G699" s="1">
        <v>0</v>
      </c>
      <c r="H699" s="1">
        <v>9.2929999999999999E-2</v>
      </c>
    </row>
    <row r="700" spans="1:8" x14ac:dyDescent="0.25">
      <c r="A700" t="s">
        <v>1417</v>
      </c>
      <c r="B700">
        <v>45</v>
      </c>
      <c r="C700">
        <v>13.156000000000001</v>
      </c>
      <c r="D700" s="3">
        <v>13.16</v>
      </c>
      <c r="E700" t="s">
        <v>618</v>
      </c>
      <c r="F700">
        <v>8088901</v>
      </c>
      <c r="G700" s="1">
        <v>7.3899999999999993E-2</v>
      </c>
      <c r="H700" s="1">
        <v>6.8700000000000002E-3</v>
      </c>
    </row>
    <row r="701" spans="1:8" x14ac:dyDescent="0.25">
      <c r="A701" t="s">
        <v>1417</v>
      </c>
      <c r="B701">
        <v>46</v>
      </c>
      <c r="C701">
        <v>13.247999999999999</v>
      </c>
      <c r="D701" s="3">
        <v>13.25</v>
      </c>
      <c r="E701" t="s">
        <v>619</v>
      </c>
      <c r="F701">
        <v>8176468</v>
      </c>
      <c r="G701" s="1">
        <v>7.4700000000000003E-2</v>
      </c>
      <c r="H701" s="1">
        <v>6.94E-3</v>
      </c>
    </row>
    <row r="702" spans="1:8" x14ac:dyDescent="0.25">
      <c r="A702" t="s">
        <v>1417</v>
      </c>
      <c r="B702">
        <v>47</v>
      </c>
      <c r="C702">
        <v>13.324</v>
      </c>
      <c r="D702" s="3">
        <v>13.32</v>
      </c>
      <c r="E702" t="s">
        <v>620</v>
      </c>
      <c r="F702">
        <v>4561111</v>
      </c>
      <c r="G702" s="1">
        <v>4.1700000000000001E-2</v>
      </c>
      <c r="H702" s="1">
        <v>3.8700000000000002E-3</v>
      </c>
    </row>
    <row r="703" spans="1:8" x14ac:dyDescent="0.25">
      <c r="A703" t="s">
        <v>1417</v>
      </c>
      <c r="B703">
        <v>48</v>
      </c>
      <c r="C703">
        <v>13.41</v>
      </c>
      <c r="D703" s="3">
        <v>13.41</v>
      </c>
      <c r="E703" t="s">
        <v>621</v>
      </c>
      <c r="F703">
        <v>11243542</v>
      </c>
      <c r="G703" s="1">
        <v>0.1028</v>
      </c>
      <c r="H703" s="1">
        <v>9.5499999999999995E-3</v>
      </c>
    </row>
    <row r="704" spans="1:8" x14ac:dyDescent="0.25">
      <c r="A704" t="s">
        <v>1417</v>
      </c>
      <c r="B704">
        <v>49</v>
      </c>
      <c r="C704">
        <v>13.448</v>
      </c>
      <c r="D704" s="3">
        <v>13.45</v>
      </c>
      <c r="E704" t="s">
        <v>622</v>
      </c>
      <c r="F704">
        <v>7250399</v>
      </c>
      <c r="G704" s="1">
        <v>6.6299999999999998E-2</v>
      </c>
      <c r="H704" s="1">
        <v>6.1599999999999997E-3</v>
      </c>
    </row>
    <row r="705" spans="1:8" x14ac:dyDescent="0.25">
      <c r="A705" t="s">
        <v>1417</v>
      </c>
      <c r="B705">
        <v>50</v>
      </c>
      <c r="C705">
        <v>13.537000000000001</v>
      </c>
      <c r="D705" s="3">
        <v>13.54</v>
      </c>
      <c r="E705" t="s">
        <v>623</v>
      </c>
      <c r="F705">
        <v>7650097</v>
      </c>
      <c r="G705" s="1">
        <v>6.9900000000000004E-2</v>
      </c>
      <c r="H705" s="1">
        <v>6.4999999999999997E-3</v>
      </c>
    </row>
    <row r="706" spans="1:8" x14ac:dyDescent="0.25">
      <c r="A706" t="s">
        <v>1417</v>
      </c>
      <c r="B706">
        <v>51</v>
      </c>
      <c r="C706">
        <v>13.63</v>
      </c>
      <c r="D706" s="3">
        <v>13.63</v>
      </c>
      <c r="E706" t="s">
        <v>624</v>
      </c>
      <c r="F706">
        <v>4010569</v>
      </c>
      <c r="G706" s="1">
        <v>3.6700000000000003E-2</v>
      </c>
      <c r="H706" s="1">
        <v>3.4099999999999998E-3</v>
      </c>
    </row>
    <row r="707" spans="1:8" x14ac:dyDescent="0.25">
      <c r="A707" t="s">
        <v>1417</v>
      </c>
      <c r="B707">
        <v>52</v>
      </c>
      <c r="C707">
        <v>13.694000000000001</v>
      </c>
      <c r="D707" s="3">
        <v>13.69</v>
      </c>
      <c r="E707" t="s">
        <v>625</v>
      </c>
      <c r="F707">
        <v>8014462</v>
      </c>
      <c r="G707" s="1">
        <v>7.3200000000000001E-2</v>
      </c>
      <c r="H707" s="1">
        <v>6.8100000000000001E-3</v>
      </c>
    </row>
    <row r="708" spans="1:8" x14ac:dyDescent="0.25">
      <c r="A708" t="s">
        <v>1417</v>
      </c>
      <c r="B708">
        <v>53</v>
      </c>
      <c r="C708">
        <v>13.842000000000001</v>
      </c>
      <c r="D708" s="3">
        <v>13.84</v>
      </c>
      <c r="E708" t="s">
        <v>626</v>
      </c>
      <c r="F708">
        <v>4100164</v>
      </c>
      <c r="G708" s="1">
        <v>3.7499999999999999E-2</v>
      </c>
      <c r="H708" s="1">
        <v>3.48E-3</v>
      </c>
    </row>
    <row r="709" spans="1:8" x14ac:dyDescent="0.25">
      <c r="A709" t="s">
        <v>1417</v>
      </c>
      <c r="B709">
        <v>54</v>
      </c>
      <c r="C709">
        <v>13.927</v>
      </c>
      <c r="D709" s="3">
        <v>13.93</v>
      </c>
      <c r="E709" t="s">
        <v>627</v>
      </c>
      <c r="F709">
        <v>3786525</v>
      </c>
      <c r="G709" s="1">
        <v>3.4599999999999999E-2</v>
      </c>
      <c r="H709" s="1">
        <v>3.2200000000000002E-3</v>
      </c>
    </row>
    <row r="710" spans="1:8" x14ac:dyDescent="0.25">
      <c r="A710" t="s">
        <v>1417</v>
      </c>
      <c r="B710">
        <v>55</v>
      </c>
      <c r="C710">
        <v>14.077</v>
      </c>
      <c r="D710" s="3">
        <v>14.08</v>
      </c>
      <c r="E710" t="s">
        <v>628</v>
      </c>
      <c r="F710">
        <v>5796981</v>
      </c>
      <c r="G710" s="1">
        <v>5.2999999999999999E-2</v>
      </c>
      <c r="H710" s="1">
        <v>4.9199999999999999E-3</v>
      </c>
    </row>
    <row r="711" spans="1:8" x14ac:dyDescent="0.25">
      <c r="A711" t="s">
        <v>1417</v>
      </c>
      <c r="B711">
        <v>56</v>
      </c>
      <c r="C711">
        <v>14.223000000000001</v>
      </c>
      <c r="D711" s="3">
        <v>14.22</v>
      </c>
      <c r="E711" t="s">
        <v>629</v>
      </c>
      <c r="F711">
        <v>4889079</v>
      </c>
      <c r="G711" s="1">
        <v>4.4699999999999997E-2</v>
      </c>
      <c r="H711" s="1">
        <v>4.15E-3</v>
      </c>
    </row>
    <row r="712" spans="1:8" x14ac:dyDescent="0.25">
      <c r="A712" t="s">
        <v>1417</v>
      </c>
      <c r="B712">
        <v>57</v>
      </c>
      <c r="C712">
        <v>14.412000000000001</v>
      </c>
      <c r="D712" s="3">
        <v>14.41</v>
      </c>
      <c r="E712" t="s">
        <v>630</v>
      </c>
      <c r="F712">
        <v>11199745</v>
      </c>
      <c r="G712" s="1">
        <v>0.1024</v>
      </c>
      <c r="H712" s="1">
        <v>9.5099999999999994E-3</v>
      </c>
    </row>
    <row r="713" spans="1:8" x14ac:dyDescent="0.25">
      <c r="A713" t="s">
        <v>1417</v>
      </c>
      <c r="B713">
        <v>58</v>
      </c>
      <c r="C713">
        <v>14.534000000000001</v>
      </c>
      <c r="D713" s="3">
        <v>14.53</v>
      </c>
      <c r="E713" t="s">
        <v>631</v>
      </c>
      <c r="F713">
        <v>7054169</v>
      </c>
      <c r="G713" s="1">
        <v>6.4500000000000002E-2</v>
      </c>
      <c r="H713" s="1">
        <v>5.9899999999999997E-3</v>
      </c>
    </row>
    <row r="714" spans="1:8" x14ac:dyDescent="0.25">
      <c r="A714" t="s">
        <v>1417</v>
      </c>
      <c r="B714">
        <v>59</v>
      </c>
      <c r="C714">
        <v>14.581</v>
      </c>
      <c r="D714" s="3">
        <v>14.58</v>
      </c>
      <c r="E714" t="s">
        <v>632</v>
      </c>
      <c r="F714">
        <v>2025713</v>
      </c>
      <c r="G714" s="1">
        <v>1.8499999999999999E-2</v>
      </c>
      <c r="H714" s="1">
        <v>1.72E-3</v>
      </c>
    </row>
    <row r="715" spans="1:8" x14ac:dyDescent="0.25">
      <c r="A715" t="s">
        <v>1417</v>
      </c>
      <c r="B715">
        <v>60</v>
      </c>
      <c r="C715">
        <v>14.688000000000001</v>
      </c>
      <c r="D715" s="3">
        <v>14.69</v>
      </c>
      <c r="E715" t="s">
        <v>633</v>
      </c>
      <c r="F715">
        <v>11815956</v>
      </c>
      <c r="G715" s="1">
        <v>0.108</v>
      </c>
      <c r="H715" s="1">
        <v>1.0030000000000001E-2</v>
      </c>
    </row>
    <row r="716" spans="1:8" x14ac:dyDescent="0.25">
      <c r="A716" t="s">
        <v>1417</v>
      </c>
      <c r="B716">
        <v>61</v>
      </c>
      <c r="C716">
        <v>14.824999999999999</v>
      </c>
      <c r="D716" s="3">
        <v>14.83</v>
      </c>
      <c r="E716" t="s">
        <v>634</v>
      </c>
      <c r="F716">
        <v>10117596</v>
      </c>
      <c r="G716" s="1">
        <v>9.2499999999999999E-2</v>
      </c>
      <c r="H716" s="1">
        <v>8.5900000000000004E-3</v>
      </c>
    </row>
    <row r="717" spans="1:8" x14ac:dyDescent="0.25">
      <c r="A717" t="s">
        <v>1417</v>
      </c>
      <c r="B717">
        <v>62</v>
      </c>
      <c r="C717">
        <v>15.045</v>
      </c>
      <c r="D717" s="3">
        <v>15.05</v>
      </c>
      <c r="E717" t="s">
        <v>635</v>
      </c>
      <c r="F717">
        <v>4555339</v>
      </c>
      <c r="G717" s="1">
        <v>4.1599999999999998E-2</v>
      </c>
      <c r="H717" s="1">
        <v>3.8700000000000002E-3</v>
      </c>
    </row>
    <row r="718" spans="1:8" x14ac:dyDescent="0.25">
      <c r="A718" t="s">
        <v>1417</v>
      </c>
      <c r="B718">
        <v>63</v>
      </c>
      <c r="C718">
        <v>15.116</v>
      </c>
      <c r="D718" s="3">
        <v>15.12</v>
      </c>
      <c r="E718" t="s">
        <v>636</v>
      </c>
      <c r="F718">
        <v>1272986</v>
      </c>
      <c r="G718" s="1">
        <v>1.1599999999999999E-2</v>
      </c>
      <c r="H718" s="1">
        <v>1.08E-3</v>
      </c>
    </row>
    <row r="719" spans="1:8" x14ac:dyDescent="0.25">
      <c r="A719" t="s">
        <v>1417</v>
      </c>
      <c r="B719">
        <v>64</v>
      </c>
      <c r="C719">
        <v>15.14</v>
      </c>
      <c r="D719" s="3">
        <v>15.14</v>
      </c>
      <c r="E719" t="s">
        <v>637</v>
      </c>
      <c r="F719">
        <v>1381987</v>
      </c>
      <c r="G719" s="1">
        <v>1.26E-2</v>
      </c>
      <c r="H719" s="1">
        <v>1.17E-3</v>
      </c>
    </row>
    <row r="720" spans="1:8" x14ac:dyDescent="0.25">
      <c r="A720" t="s">
        <v>1417</v>
      </c>
      <c r="B720">
        <v>65</v>
      </c>
      <c r="C720">
        <v>15.202999999999999</v>
      </c>
      <c r="D720" s="3">
        <v>15.2</v>
      </c>
      <c r="E720" t="s">
        <v>638</v>
      </c>
      <c r="F720">
        <v>1615974</v>
      </c>
      <c r="G720" s="1">
        <v>1.4800000000000001E-2</v>
      </c>
      <c r="H720" s="1">
        <v>1.3699999999999999E-3</v>
      </c>
    </row>
    <row r="721" spans="1:8" x14ac:dyDescent="0.25">
      <c r="A721" t="s">
        <v>1417</v>
      </c>
      <c r="B721">
        <v>66</v>
      </c>
      <c r="C721">
        <v>15.28</v>
      </c>
      <c r="D721" s="3">
        <v>15.28</v>
      </c>
      <c r="E721" t="s">
        <v>639</v>
      </c>
      <c r="F721">
        <v>4728395</v>
      </c>
      <c r="G721" s="1">
        <v>4.3200000000000002E-2</v>
      </c>
      <c r="H721" s="1">
        <v>4.0200000000000001E-3</v>
      </c>
    </row>
    <row r="722" spans="1:8" x14ac:dyDescent="0.25">
      <c r="A722" t="s">
        <v>1417</v>
      </c>
      <c r="B722">
        <v>67</v>
      </c>
      <c r="C722">
        <v>15.398999999999999</v>
      </c>
      <c r="D722" s="3">
        <v>15.4</v>
      </c>
      <c r="E722" t="s">
        <v>640</v>
      </c>
      <c r="F722">
        <v>2459585</v>
      </c>
      <c r="G722" s="1">
        <v>2.2499999999999999E-2</v>
      </c>
      <c r="H722" s="1">
        <v>2.0899999999999998E-3</v>
      </c>
    </row>
    <row r="723" spans="1:8" x14ac:dyDescent="0.25">
      <c r="A723" t="s">
        <v>1417</v>
      </c>
      <c r="B723">
        <v>68</v>
      </c>
      <c r="C723">
        <v>15.545</v>
      </c>
      <c r="D723" s="3">
        <v>15.55</v>
      </c>
      <c r="E723" t="s">
        <v>641</v>
      </c>
      <c r="F723">
        <v>4769018</v>
      </c>
      <c r="G723" s="1">
        <v>4.36E-2</v>
      </c>
      <c r="H723" s="1">
        <v>4.0499999999999998E-3</v>
      </c>
    </row>
    <row r="724" spans="1:8" x14ac:dyDescent="0.25">
      <c r="A724" t="s">
        <v>1417</v>
      </c>
      <c r="B724">
        <v>69</v>
      </c>
      <c r="C724">
        <v>15.714</v>
      </c>
      <c r="D724" s="3">
        <v>15.71</v>
      </c>
      <c r="E724" t="s">
        <v>642</v>
      </c>
      <c r="F724">
        <v>7959181</v>
      </c>
      <c r="G724" s="1">
        <v>7.2700000000000001E-2</v>
      </c>
      <c r="H724" s="1">
        <v>6.7600000000000004E-3</v>
      </c>
    </row>
    <row r="725" spans="1:8" x14ac:dyDescent="0.25">
      <c r="A725" t="s">
        <v>1417</v>
      </c>
      <c r="B725">
        <v>70</v>
      </c>
      <c r="C725">
        <v>15.875</v>
      </c>
      <c r="D725" s="3">
        <v>15.88</v>
      </c>
      <c r="E725" t="s">
        <v>643</v>
      </c>
      <c r="F725">
        <v>15952091</v>
      </c>
      <c r="G725" s="1">
        <v>0.14580000000000001</v>
      </c>
      <c r="H725" s="1">
        <v>1.355E-2</v>
      </c>
    </row>
    <row r="726" spans="1:8" x14ac:dyDescent="0.25">
      <c r="A726" t="s">
        <v>1417</v>
      </c>
      <c r="B726">
        <v>71</v>
      </c>
      <c r="C726">
        <v>16.122</v>
      </c>
      <c r="D726" s="3">
        <v>16.12</v>
      </c>
      <c r="E726" t="s">
        <v>644</v>
      </c>
      <c r="F726">
        <v>4856335</v>
      </c>
      <c r="G726" s="1">
        <v>4.4400000000000002E-2</v>
      </c>
      <c r="H726" s="1">
        <v>4.1200000000000004E-3</v>
      </c>
    </row>
    <row r="727" spans="1:8" x14ac:dyDescent="0.25">
      <c r="A727" t="s">
        <v>1417</v>
      </c>
      <c r="B727">
        <v>72</v>
      </c>
      <c r="C727">
        <v>16.285</v>
      </c>
      <c r="D727" s="3">
        <v>16.29</v>
      </c>
      <c r="E727" t="s">
        <v>645</v>
      </c>
      <c r="F727">
        <v>1030352</v>
      </c>
      <c r="G727" s="1">
        <v>9.4000000000000004E-3</v>
      </c>
      <c r="H727" s="1">
        <v>8.7000000000000001E-4</v>
      </c>
    </row>
    <row r="728" spans="1:8" x14ac:dyDescent="0.25">
      <c r="A728" t="s">
        <v>1417</v>
      </c>
      <c r="B728">
        <v>73</v>
      </c>
      <c r="C728">
        <v>16.341000000000001</v>
      </c>
      <c r="D728" s="3">
        <v>16.34</v>
      </c>
      <c r="E728" t="s">
        <v>646</v>
      </c>
      <c r="F728">
        <v>1303463</v>
      </c>
      <c r="G728" s="1">
        <v>1.1900000000000001E-2</v>
      </c>
      <c r="H728" s="1">
        <v>1.1100000000000001E-3</v>
      </c>
    </row>
    <row r="729" spans="1:8" x14ac:dyDescent="0.25">
      <c r="A729" t="s">
        <v>1417</v>
      </c>
      <c r="B729">
        <v>74</v>
      </c>
      <c r="C729">
        <v>16.667000000000002</v>
      </c>
      <c r="D729" s="3">
        <v>16.670000000000002</v>
      </c>
      <c r="E729" t="s">
        <v>647</v>
      </c>
      <c r="F729">
        <v>2355062</v>
      </c>
      <c r="G729" s="1">
        <v>2.1499999999999998E-2</v>
      </c>
      <c r="H729" s="1">
        <v>2E-3</v>
      </c>
    </row>
    <row r="730" spans="1:8" x14ac:dyDescent="0.25">
      <c r="A730" t="s">
        <v>1417</v>
      </c>
      <c r="B730">
        <v>75</v>
      </c>
      <c r="C730">
        <v>16.943000000000001</v>
      </c>
      <c r="D730" s="3">
        <v>16.940000000000001</v>
      </c>
      <c r="E730" t="s">
        <v>648</v>
      </c>
      <c r="F730">
        <v>17437156</v>
      </c>
      <c r="G730" s="1">
        <v>0.15939999999999999</v>
      </c>
      <c r="H730" s="1">
        <v>1.481E-2</v>
      </c>
    </row>
    <row r="731" spans="1:8" x14ac:dyDescent="0.25">
      <c r="A731" t="s">
        <v>1417</v>
      </c>
      <c r="B731">
        <v>76</v>
      </c>
      <c r="C731">
        <v>17.024000000000001</v>
      </c>
      <c r="D731" s="3">
        <v>17.02</v>
      </c>
      <c r="E731" t="s">
        <v>649</v>
      </c>
      <c r="F731">
        <v>35997031</v>
      </c>
      <c r="G731" s="1">
        <v>0.32900000000000001</v>
      </c>
      <c r="H731" s="1">
        <v>3.057E-2</v>
      </c>
    </row>
    <row r="732" spans="1:8" x14ac:dyDescent="0.25">
      <c r="A732" t="s">
        <v>1417</v>
      </c>
      <c r="B732">
        <v>77</v>
      </c>
      <c r="C732">
        <v>17.286000000000001</v>
      </c>
      <c r="D732" s="3">
        <v>17.29</v>
      </c>
      <c r="E732" t="s">
        <v>650</v>
      </c>
      <c r="F732">
        <v>3841419</v>
      </c>
      <c r="G732" s="1">
        <v>3.5099999999999999E-2</v>
      </c>
      <c r="H732" s="1">
        <v>3.2599999999999999E-3</v>
      </c>
    </row>
    <row r="733" spans="1:8" x14ac:dyDescent="0.25">
      <c r="A733" t="s">
        <v>1417</v>
      </c>
      <c r="B733">
        <v>78</v>
      </c>
      <c r="C733">
        <v>17.463000000000001</v>
      </c>
      <c r="D733" s="3">
        <v>17.46</v>
      </c>
      <c r="E733" t="s">
        <v>651</v>
      </c>
      <c r="F733">
        <v>4254522</v>
      </c>
      <c r="G733" s="1">
        <v>3.8899999999999997E-2</v>
      </c>
      <c r="H733" s="1">
        <v>3.6099999999999999E-3</v>
      </c>
    </row>
    <row r="734" spans="1:8" x14ac:dyDescent="0.25">
      <c r="A734" t="s">
        <v>1417</v>
      </c>
      <c r="B734">
        <v>79</v>
      </c>
      <c r="C734">
        <v>17.568999999999999</v>
      </c>
      <c r="D734" s="3">
        <v>17.57</v>
      </c>
      <c r="E734" t="s">
        <v>652</v>
      </c>
      <c r="F734">
        <v>2171602</v>
      </c>
      <c r="G734" s="1">
        <v>1.9800000000000002E-2</v>
      </c>
      <c r="H734" s="1">
        <v>1.8400000000000001E-3</v>
      </c>
    </row>
    <row r="735" spans="1:8" x14ac:dyDescent="0.25">
      <c r="A735" t="s">
        <v>1417</v>
      </c>
      <c r="B735">
        <v>80</v>
      </c>
      <c r="C735">
        <v>17.798999999999999</v>
      </c>
      <c r="D735" s="3">
        <v>17.8</v>
      </c>
      <c r="E735" t="s">
        <v>653</v>
      </c>
      <c r="F735">
        <v>16157985</v>
      </c>
      <c r="G735" s="1">
        <v>0.1477</v>
      </c>
      <c r="H735" s="1">
        <v>1.372E-2</v>
      </c>
    </row>
    <row r="736" spans="1:8" x14ac:dyDescent="0.25">
      <c r="A736" t="s">
        <v>1417</v>
      </c>
      <c r="B736">
        <v>81</v>
      </c>
      <c r="C736">
        <v>17.914999999999999</v>
      </c>
      <c r="D736" s="3">
        <v>17.920000000000002</v>
      </c>
      <c r="E736" t="s">
        <v>654</v>
      </c>
      <c r="F736">
        <v>1296357</v>
      </c>
      <c r="G736" s="1">
        <v>1.18E-2</v>
      </c>
      <c r="H736" s="1">
        <v>1.1000000000000001E-3</v>
      </c>
    </row>
    <row r="737" spans="1:8" x14ac:dyDescent="0.25">
      <c r="A737" t="s">
        <v>1417</v>
      </c>
      <c r="B737">
        <v>82</v>
      </c>
      <c r="C737">
        <v>18.469000000000001</v>
      </c>
      <c r="D737" s="3">
        <v>18.47</v>
      </c>
      <c r="E737" t="s">
        <v>655</v>
      </c>
      <c r="F737">
        <v>5144336</v>
      </c>
      <c r="G737" s="1">
        <v>4.7E-2</v>
      </c>
      <c r="H737" s="1">
        <v>4.3699999999999998E-3</v>
      </c>
    </row>
    <row r="738" spans="1:8" x14ac:dyDescent="0.25">
      <c r="A738" t="s">
        <v>1417</v>
      </c>
      <c r="B738">
        <v>83</v>
      </c>
      <c r="C738">
        <v>18.731000000000002</v>
      </c>
      <c r="D738" s="3">
        <v>18.73</v>
      </c>
      <c r="E738" t="s">
        <v>656</v>
      </c>
      <c r="F738">
        <v>2593392</v>
      </c>
      <c r="G738" s="1">
        <v>2.3699999999999999E-2</v>
      </c>
      <c r="H738" s="1">
        <v>2.2000000000000001E-3</v>
      </c>
    </row>
    <row r="739" spans="1:8" x14ac:dyDescent="0.25">
      <c r="A739" t="s">
        <v>1417</v>
      </c>
      <c r="B739">
        <v>84</v>
      </c>
      <c r="C739">
        <v>18.843</v>
      </c>
      <c r="D739" s="3">
        <v>18.84</v>
      </c>
      <c r="E739" t="s">
        <v>657</v>
      </c>
      <c r="F739">
        <v>4485213</v>
      </c>
      <c r="G739" s="1">
        <v>4.1000000000000002E-2</v>
      </c>
      <c r="H739" s="1">
        <v>3.81E-3</v>
      </c>
    </row>
    <row r="740" spans="1:8" x14ac:dyDescent="0.25">
      <c r="A740" t="s">
        <v>1417</v>
      </c>
      <c r="B740">
        <v>85</v>
      </c>
      <c r="C740">
        <v>19.559999999999999</v>
      </c>
      <c r="D740" s="3">
        <v>19.559999999999999</v>
      </c>
      <c r="E740" t="s">
        <v>658</v>
      </c>
      <c r="F740">
        <v>1148860</v>
      </c>
      <c r="G740" s="1">
        <v>1.0500000000000001E-2</v>
      </c>
      <c r="H740" s="1">
        <v>9.7999999999999997E-4</v>
      </c>
    </row>
    <row r="741" spans="1:8" x14ac:dyDescent="0.25">
      <c r="A741" t="s">
        <v>1417</v>
      </c>
      <c r="B741">
        <v>86</v>
      </c>
      <c r="C741">
        <v>20.23</v>
      </c>
      <c r="D741" s="3">
        <v>20.23</v>
      </c>
      <c r="E741" t="s">
        <v>659</v>
      </c>
      <c r="F741">
        <v>1391298</v>
      </c>
      <c r="G741" s="1">
        <v>1.2699999999999999E-2</v>
      </c>
      <c r="H741" s="1">
        <v>1.1800000000000001E-3</v>
      </c>
    </row>
    <row r="742" spans="1:8" x14ac:dyDescent="0.25">
      <c r="A742" t="s">
        <v>1417</v>
      </c>
      <c r="B742">
        <v>87</v>
      </c>
      <c r="C742">
        <v>20.655999999999999</v>
      </c>
      <c r="D742" s="3">
        <v>20.66</v>
      </c>
      <c r="E742" t="s">
        <v>660</v>
      </c>
      <c r="F742">
        <v>3844968</v>
      </c>
      <c r="G742" s="1">
        <v>3.5099999999999999E-2</v>
      </c>
      <c r="H742" s="1">
        <v>3.2699999999999999E-3</v>
      </c>
    </row>
    <row r="743" spans="1:8" x14ac:dyDescent="0.25">
      <c r="A743" t="s">
        <v>1417</v>
      </c>
      <c r="B743">
        <v>88</v>
      </c>
      <c r="C743">
        <v>21.405999999999999</v>
      </c>
      <c r="D743" s="3">
        <v>21.41</v>
      </c>
      <c r="E743" t="s">
        <v>661</v>
      </c>
      <c r="F743">
        <v>2005188</v>
      </c>
      <c r="G743" s="1">
        <v>1.83E-2</v>
      </c>
      <c r="H743" s="1">
        <v>1.6999999999999999E-3</v>
      </c>
    </row>
    <row r="744" spans="1:8" x14ac:dyDescent="0.25">
      <c r="A744" t="s">
        <v>1417</v>
      </c>
      <c r="B744">
        <v>89</v>
      </c>
      <c r="C744">
        <v>23.846</v>
      </c>
      <c r="D744" s="3">
        <v>23.85</v>
      </c>
      <c r="E744" t="s">
        <v>662</v>
      </c>
      <c r="F744">
        <v>3423148</v>
      </c>
      <c r="G744" s="1">
        <v>3.1300000000000001E-2</v>
      </c>
      <c r="H744" s="1">
        <v>2.9099999999999998E-3</v>
      </c>
    </row>
    <row r="745" spans="1:8" x14ac:dyDescent="0.25">
      <c r="A745" t="s">
        <v>1417</v>
      </c>
      <c r="B745">
        <v>90</v>
      </c>
      <c r="C745">
        <v>28.484000000000002</v>
      </c>
      <c r="D745" s="3">
        <v>28.48</v>
      </c>
      <c r="E745">
        <v>456137</v>
      </c>
      <c r="F745">
        <v>8022212</v>
      </c>
      <c r="G745" s="1">
        <v>7.3300000000000004E-2</v>
      </c>
      <c r="H745" s="1">
        <v>6.8100000000000001E-3</v>
      </c>
    </row>
    <row r="746" spans="1:8" x14ac:dyDescent="0.25">
      <c r="A746" t="s">
        <v>1417</v>
      </c>
      <c r="B746">
        <v>91</v>
      </c>
      <c r="C746">
        <v>28.733000000000001</v>
      </c>
      <c r="D746" s="3">
        <v>28.73</v>
      </c>
      <c r="E746" t="s">
        <v>663</v>
      </c>
      <c r="F746">
        <v>2138065</v>
      </c>
      <c r="G746" s="1">
        <v>1.95E-2</v>
      </c>
      <c r="H746" s="1">
        <v>1.82E-3</v>
      </c>
    </row>
    <row r="747" spans="1:8" x14ac:dyDescent="0.25">
      <c r="A747" t="s">
        <v>1417</v>
      </c>
      <c r="B747">
        <v>92</v>
      </c>
      <c r="C747">
        <v>28.893000000000001</v>
      </c>
      <c r="D747" s="3">
        <v>28.89</v>
      </c>
      <c r="E747">
        <v>234068</v>
      </c>
      <c r="F747">
        <v>3159471</v>
      </c>
      <c r="G747" s="1">
        <v>2.8899999999999999E-2</v>
      </c>
      <c r="H747" s="1">
        <v>2.6800000000000001E-3</v>
      </c>
    </row>
    <row r="748" spans="1:8" x14ac:dyDescent="0.25">
      <c r="A748" t="s">
        <v>1417</v>
      </c>
      <c r="B748">
        <v>93</v>
      </c>
      <c r="C748">
        <v>29.047999999999998</v>
      </c>
      <c r="D748" s="3">
        <v>29.05</v>
      </c>
      <c r="E748">
        <v>2508954</v>
      </c>
      <c r="F748">
        <v>29675665</v>
      </c>
      <c r="G748" s="1">
        <v>0.2712</v>
      </c>
      <c r="H748" s="1">
        <v>2.52E-2</v>
      </c>
    </row>
    <row r="749" spans="1:8" x14ac:dyDescent="0.25">
      <c r="A749" t="s">
        <v>1417</v>
      </c>
      <c r="B749">
        <v>94</v>
      </c>
      <c r="C749">
        <v>29.420999999999999</v>
      </c>
      <c r="D749" s="3">
        <v>29.42</v>
      </c>
      <c r="E749">
        <v>51959</v>
      </c>
      <c r="F749">
        <v>1613100</v>
      </c>
      <c r="G749" s="1">
        <v>1.47E-2</v>
      </c>
      <c r="H749" s="1">
        <v>1.3699999999999999E-3</v>
      </c>
    </row>
    <row r="750" spans="1:8" x14ac:dyDescent="0.25">
      <c r="A750" t="s">
        <v>1417</v>
      </c>
      <c r="B750">
        <v>95</v>
      </c>
      <c r="C750">
        <v>29.468</v>
      </c>
      <c r="D750" s="3">
        <v>29.47</v>
      </c>
      <c r="E750" t="s">
        <v>664</v>
      </c>
      <c r="F750">
        <v>1612427</v>
      </c>
      <c r="G750" s="1">
        <v>1.47E-2</v>
      </c>
      <c r="H750" s="1">
        <v>1.3699999999999999E-3</v>
      </c>
    </row>
    <row r="751" spans="1:8" x14ac:dyDescent="0.25">
      <c r="A751" t="s">
        <v>1417</v>
      </c>
      <c r="B751">
        <v>96</v>
      </c>
      <c r="C751">
        <v>29.742999999999999</v>
      </c>
      <c r="D751" s="3">
        <v>29.74</v>
      </c>
      <c r="E751">
        <v>387089</v>
      </c>
      <c r="F751">
        <v>5993714</v>
      </c>
      <c r="G751" s="1">
        <v>5.4800000000000001E-2</v>
      </c>
      <c r="H751" s="1">
        <v>5.0899999999999999E-3</v>
      </c>
    </row>
    <row r="752" spans="1:8" x14ac:dyDescent="0.25">
      <c r="A752" t="s">
        <v>1417</v>
      </c>
      <c r="B752">
        <v>97</v>
      </c>
      <c r="C752">
        <v>29.826000000000001</v>
      </c>
      <c r="D752" s="3">
        <v>29.83</v>
      </c>
      <c r="E752" t="s">
        <v>665</v>
      </c>
      <c r="F752">
        <v>4774548</v>
      </c>
      <c r="G752" s="1">
        <v>4.36E-2</v>
      </c>
      <c r="H752" s="1">
        <v>4.0499999999999998E-3</v>
      </c>
    </row>
    <row r="753" spans="1:8" x14ac:dyDescent="0.25">
      <c r="A753" t="s">
        <v>1417</v>
      </c>
      <c r="B753">
        <v>98</v>
      </c>
      <c r="C753">
        <v>29.898</v>
      </c>
      <c r="D753" s="3">
        <v>29.9</v>
      </c>
      <c r="E753" t="s">
        <v>666</v>
      </c>
      <c r="F753">
        <v>2923145</v>
      </c>
      <c r="G753" s="1">
        <v>2.6700000000000002E-2</v>
      </c>
      <c r="H753" s="1">
        <v>2.48E-3</v>
      </c>
    </row>
    <row r="754" spans="1:8" x14ac:dyDescent="0.25">
      <c r="A754" t="s">
        <v>1417</v>
      </c>
      <c r="B754">
        <v>99</v>
      </c>
      <c r="C754">
        <v>30.175999999999998</v>
      </c>
      <c r="D754" s="3">
        <v>30.18</v>
      </c>
      <c r="E754">
        <v>84715</v>
      </c>
      <c r="F754">
        <v>1033540</v>
      </c>
      <c r="G754" s="1">
        <v>9.4000000000000004E-3</v>
      </c>
      <c r="H754" s="1">
        <v>8.8000000000000003E-4</v>
      </c>
    </row>
    <row r="755" spans="1:8" x14ac:dyDescent="0.25">
      <c r="A755" t="s">
        <v>1417</v>
      </c>
      <c r="B755">
        <v>100</v>
      </c>
      <c r="C755">
        <v>30.259</v>
      </c>
      <c r="D755" s="3">
        <v>30.26</v>
      </c>
      <c r="E755" t="s">
        <v>667</v>
      </c>
      <c r="F755">
        <v>1501396</v>
      </c>
      <c r="G755" s="1">
        <v>1.37E-2</v>
      </c>
      <c r="H755" s="1">
        <v>1.2800000000000001E-3</v>
      </c>
    </row>
    <row r="756" spans="1:8" x14ac:dyDescent="0.25">
      <c r="A756" t="s">
        <v>1417</v>
      </c>
      <c r="B756">
        <v>101</v>
      </c>
      <c r="C756">
        <v>31.018000000000001</v>
      </c>
      <c r="D756" s="3">
        <v>31.02</v>
      </c>
      <c r="E756" t="s">
        <v>668</v>
      </c>
      <c r="F756">
        <v>1385966</v>
      </c>
      <c r="G756" s="1">
        <v>1.2699999999999999E-2</v>
      </c>
      <c r="H756" s="1">
        <v>1.1800000000000001E-3</v>
      </c>
    </row>
    <row r="757" spans="1:8" x14ac:dyDescent="0.25">
      <c r="A757" t="s">
        <v>1417</v>
      </c>
      <c r="B757">
        <v>102</v>
      </c>
      <c r="C757">
        <v>31.114999999999998</v>
      </c>
      <c r="D757" s="3">
        <v>31.12</v>
      </c>
      <c r="E757" t="s">
        <v>669</v>
      </c>
      <c r="F757">
        <v>1114189</v>
      </c>
      <c r="G757" s="1">
        <v>1.0200000000000001E-2</v>
      </c>
      <c r="H757" s="1">
        <v>9.5E-4</v>
      </c>
    </row>
    <row r="758" spans="1:8" x14ac:dyDescent="0.25">
      <c r="A758" t="s">
        <v>1417</v>
      </c>
      <c r="B758">
        <v>103</v>
      </c>
      <c r="C758">
        <v>31.268000000000001</v>
      </c>
      <c r="D758" s="3">
        <v>31.27</v>
      </c>
      <c r="E758" t="s">
        <v>670</v>
      </c>
      <c r="F758">
        <v>1299449</v>
      </c>
      <c r="G758" s="1">
        <v>1.1900000000000001E-2</v>
      </c>
      <c r="H758" s="1">
        <v>1.1000000000000001E-3</v>
      </c>
    </row>
    <row r="759" spans="1:8" x14ac:dyDescent="0.25">
      <c r="A759" t="s">
        <v>1417</v>
      </c>
      <c r="B759">
        <v>104</v>
      </c>
      <c r="C759">
        <v>31.402999999999999</v>
      </c>
      <c r="D759" s="3">
        <v>31.4</v>
      </c>
      <c r="E759" t="s">
        <v>671</v>
      </c>
      <c r="F759">
        <v>1068570</v>
      </c>
      <c r="G759" s="1">
        <v>9.7999999999999997E-3</v>
      </c>
      <c r="H759" s="1">
        <v>9.1E-4</v>
      </c>
    </row>
    <row r="760" spans="1:8" x14ac:dyDescent="0.25">
      <c r="A760" t="s">
        <v>1417</v>
      </c>
      <c r="B760">
        <v>105</v>
      </c>
      <c r="C760">
        <v>31.495999999999999</v>
      </c>
      <c r="D760" s="3">
        <v>31.5</v>
      </c>
      <c r="E760" t="s">
        <v>672</v>
      </c>
      <c r="F760">
        <v>1116816</v>
      </c>
      <c r="G760" s="1">
        <v>1.0200000000000001E-2</v>
      </c>
      <c r="H760" s="1">
        <v>9.5E-4</v>
      </c>
    </row>
    <row r="761" spans="1:8" x14ac:dyDescent="0.25">
      <c r="A761" t="s">
        <v>1417</v>
      </c>
      <c r="B761">
        <v>106</v>
      </c>
      <c r="C761">
        <v>31.542000000000002</v>
      </c>
      <c r="D761" s="3">
        <v>31.54</v>
      </c>
      <c r="E761" t="s">
        <v>673</v>
      </c>
      <c r="F761">
        <v>1361678</v>
      </c>
      <c r="G761" s="1">
        <v>1.24E-2</v>
      </c>
      <c r="H761" s="1">
        <v>1.16E-3</v>
      </c>
    </row>
    <row r="762" spans="1:8" x14ac:dyDescent="0.25">
      <c r="A762" t="s">
        <v>1417</v>
      </c>
      <c r="B762">
        <v>107</v>
      </c>
      <c r="C762">
        <v>31.841000000000001</v>
      </c>
      <c r="D762" s="3">
        <v>31.84</v>
      </c>
      <c r="E762" t="s">
        <v>674</v>
      </c>
      <c r="F762">
        <v>43861696</v>
      </c>
      <c r="G762" s="1">
        <v>0.40079999999999999</v>
      </c>
      <c r="H762" s="1">
        <v>3.7249999999999998E-2</v>
      </c>
    </row>
    <row r="763" spans="1:8" x14ac:dyDescent="0.25">
      <c r="A763" t="s">
        <v>1417</v>
      </c>
      <c r="B763">
        <v>108</v>
      </c>
      <c r="C763">
        <v>31.988</v>
      </c>
      <c r="D763" s="3">
        <v>31.99</v>
      </c>
      <c r="E763">
        <v>143966</v>
      </c>
      <c r="F763">
        <v>4445419</v>
      </c>
      <c r="G763" s="1">
        <v>4.0599999999999997E-2</v>
      </c>
      <c r="H763" s="1">
        <v>3.7799999999999999E-3</v>
      </c>
    </row>
    <row r="764" spans="1:8" x14ac:dyDescent="0.25">
      <c r="A764" t="s">
        <v>1417</v>
      </c>
      <c r="B764">
        <v>109</v>
      </c>
      <c r="C764">
        <v>32.731999999999999</v>
      </c>
      <c r="D764" s="3">
        <v>32.729999999999997</v>
      </c>
      <c r="E764" t="s">
        <v>675</v>
      </c>
      <c r="F764">
        <v>2801281</v>
      </c>
      <c r="G764" s="1">
        <v>2.5600000000000001E-2</v>
      </c>
      <c r="H764" s="1">
        <v>2.3800000000000002E-3</v>
      </c>
    </row>
    <row r="765" spans="1:8" x14ac:dyDescent="0.25">
      <c r="A765" t="s">
        <v>1417</v>
      </c>
      <c r="B765">
        <v>110</v>
      </c>
      <c r="C765">
        <v>33.103999999999999</v>
      </c>
      <c r="D765" s="3">
        <v>33.1</v>
      </c>
      <c r="E765">
        <v>223810</v>
      </c>
      <c r="F765">
        <v>8080966</v>
      </c>
      <c r="G765" s="1">
        <v>7.3800000000000004E-2</v>
      </c>
      <c r="H765" s="1">
        <v>6.8599999999999998E-3</v>
      </c>
    </row>
    <row r="766" spans="1:8" x14ac:dyDescent="0.25">
      <c r="A766" t="s">
        <v>1418</v>
      </c>
      <c r="B766">
        <v>1</v>
      </c>
      <c r="C766">
        <v>4.9089999999999998</v>
      </c>
      <c r="D766" s="3">
        <v>4.91</v>
      </c>
      <c r="E766" t="s">
        <v>676</v>
      </c>
      <c r="F766">
        <v>3004995</v>
      </c>
      <c r="G766" s="1">
        <v>8.2900000000000001E-2</v>
      </c>
      <c r="H766" s="1">
        <v>1.643E-2</v>
      </c>
    </row>
    <row r="767" spans="1:8" x14ac:dyDescent="0.25">
      <c r="A767" t="s">
        <v>1418</v>
      </c>
      <c r="B767">
        <v>2</v>
      </c>
      <c r="C767">
        <v>6.2679999999999998</v>
      </c>
      <c r="D767" s="3">
        <v>6.27</v>
      </c>
      <c r="E767" t="s">
        <v>677</v>
      </c>
      <c r="F767">
        <v>1832158</v>
      </c>
      <c r="G767" s="1">
        <v>5.0500000000000003E-2</v>
      </c>
      <c r="H767" s="1">
        <v>1.0019999999999999E-2</v>
      </c>
    </row>
    <row r="768" spans="1:8" x14ac:dyDescent="0.25">
      <c r="A768" t="s">
        <v>1418</v>
      </c>
      <c r="B768">
        <v>3</v>
      </c>
      <c r="C768">
        <v>6.4989999999999997</v>
      </c>
      <c r="D768" s="3">
        <v>6.5</v>
      </c>
      <c r="E768" t="s">
        <v>678</v>
      </c>
      <c r="F768">
        <v>1734733</v>
      </c>
      <c r="G768" s="1">
        <v>4.7899999999999998E-2</v>
      </c>
      <c r="H768" s="1">
        <v>9.4800000000000006E-3</v>
      </c>
    </row>
    <row r="769" spans="1:8" x14ac:dyDescent="0.25">
      <c r="A769" t="s">
        <v>1418</v>
      </c>
      <c r="B769">
        <v>4</v>
      </c>
      <c r="C769">
        <v>8.1189999999999998</v>
      </c>
      <c r="D769" s="3">
        <v>8.1199999999999992</v>
      </c>
      <c r="E769" t="s">
        <v>679</v>
      </c>
      <c r="F769">
        <v>2494739</v>
      </c>
      <c r="G769" s="1">
        <v>6.88E-2</v>
      </c>
      <c r="H769" s="1">
        <v>1.3639999999999999E-2</v>
      </c>
    </row>
    <row r="770" spans="1:8" x14ac:dyDescent="0.25">
      <c r="A770" t="s">
        <v>1418</v>
      </c>
      <c r="B770">
        <v>5</v>
      </c>
      <c r="C770">
        <v>8.2360000000000007</v>
      </c>
      <c r="D770" s="3">
        <v>8.24</v>
      </c>
      <c r="E770" t="s">
        <v>680</v>
      </c>
      <c r="F770">
        <v>1834875</v>
      </c>
      <c r="G770" s="1">
        <v>5.0599999999999999E-2</v>
      </c>
      <c r="H770" s="1">
        <v>1.0030000000000001E-2</v>
      </c>
    </row>
    <row r="771" spans="1:8" x14ac:dyDescent="0.25">
      <c r="A771" t="s">
        <v>1418</v>
      </c>
      <c r="B771">
        <v>6</v>
      </c>
      <c r="C771">
        <v>8.9580000000000002</v>
      </c>
      <c r="D771" s="3">
        <v>8.9600000000000009</v>
      </c>
      <c r="E771" t="s">
        <v>681</v>
      </c>
      <c r="F771">
        <v>1811111</v>
      </c>
      <c r="G771" s="1">
        <v>0.05</v>
      </c>
      <c r="H771" s="1">
        <v>9.9000000000000008E-3</v>
      </c>
    </row>
    <row r="772" spans="1:8" x14ac:dyDescent="0.25">
      <c r="A772" t="s">
        <v>1418</v>
      </c>
      <c r="B772">
        <v>7</v>
      </c>
      <c r="C772">
        <v>9.1940000000000008</v>
      </c>
      <c r="D772" s="3">
        <v>9.19</v>
      </c>
      <c r="E772" t="s">
        <v>682</v>
      </c>
      <c r="F772">
        <v>1319244</v>
      </c>
      <c r="G772" s="1">
        <v>3.6400000000000002E-2</v>
      </c>
      <c r="H772" s="1">
        <v>7.2100000000000003E-3</v>
      </c>
    </row>
    <row r="773" spans="1:8" x14ac:dyDescent="0.25">
      <c r="A773" t="s">
        <v>1418</v>
      </c>
      <c r="B773">
        <v>8</v>
      </c>
      <c r="C773">
        <v>9.6669999999999998</v>
      </c>
      <c r="D773" s="3">
        <v>9.67</v>
      </c>
      <c r="E773" t="s">
        <v>683</v>
      </c>
      <c r="F773">
        <v>3646881</v>
      </c>
      <c r="G773" s="1">
        <v>0.10059999999999999</v>
      </c>
      <c r="H773" s="1">
        <v>1.9939999999999999E-2</v>
      </c>
    </row>
    <row r="774" spans="1:8" x14ac:dyDescent="0.25">
      <c r="A774" t="s">
        <v>1418</v>
      </c>
      <c r="B774">
        <v>9</v>
      </c>
      <c r="C774">
        <v>10.291</v>
      </c>
      <c r="D774" s="3">
        <v>10.29</v>
      </c>
      <c r="E774" t="s">
        <v>684</v>
      </c>
      <c r="F774">
        <v>1407031</v>
      </c>
      <c r="G774" s="1">
        <v>3.8800000000000001E-2</v>
      </c>
      <c r="H774" s="1">
        <v>7.6899999999999998E-3</v>
      </c>
    </row>
    <row r="775" spans="1:8" x14ac:dyDescent="0.25">
      <c r="A775" t="s">
        <v>1418</v>
      </c>
      <c r="B775">
        <v>10</v>
      </c>
      <c r="C775">
        <v>10.59</v>
      </c>
      <c r="D775" s="3">
        <v>10.59</v>
      </c>
      <c r="E775" t="s">
        <v>685</v>
      </c>
      <c r="F775">
        <v>12924272</v>
      </c>
      <c r="G775" s="1">
        <v>0.35659999999999997</v>
      </c>
      <c r="H775" s="1">
        <v>7.0660000000000001E-2</v>
      </c>
    </row>
    <row r="776" spans="1:8" x14ac:dyDescent="0.25">
      <c r="A776" t="s">
        <v>1418</v>
      </c>
      <c r="B776">
        <v>11</v>
      </c>
      <c r="C776">
        <v>10.763</v>
      </c>
      <c r="D776" s="3">
        <v>10.76</v>
      </c>
      <c r="E776" t="s">
        <v>686</v>
      </c>
      <c r="F776">
        <v>4350058</v>
      </c>
      <c r="G776" s="1">
        <v>0.12</v>
      </c>
      <c r="H776" s="1">
        <v>2.3779999999999999E-2</v>
      </c>
    </row>
    <row r="777" spans="1:8" x14ac:dyDescent="0.25">
      <c r="A777" t="s">
        <v>1418</v>
      </c>
      <c r="B777">
        <v>12</v>
      </c>
      <c r="C777">
        <v>11.141999999999999</v>
      </c>
      <c r="D777" s="3">
        <v>11.14</v>
      </c>
      <c r="E777" t="s">
        <v>687</v>
      </c>
      <c r="F777">
        <v>2024621</v>
      </c>
      <c r="G777" s="1">
        <v>5.5899999999999998E-2</v>
      </c>
      <c r="H777" s="1">
        <v>1.107E-2</v>
      </c>
    </row>
    <row r="778" spans="1:8" x14ac:dyDescent="0.25">
      <c r="A778" t="s">
        <v>1418</v>
      </c>
      <c r="B778">
        <v>13</v>
      </c>
      <c r="C778">
        <v>11.21</v>
      </c>
      <c r="D778" s="3">
        <v>11.21</v>
      </c>
      <c r="E778" t="s">
        <v>688</v>
      </c>
      <c r="F778">
        <v>5660523</v>
      </c>
      <c r="G778" s="1">
        <v>0.15620000000000001</v>
      </c>
      <c r="H778" s="1">
        <v>3.0949999999999998E-2</v>
      </c>
    </row>
    <row r="779" spans="1:8" x14ac:dyDescent="0.25">
      <c r="A779" t="s">
        <v>1418</v>
      </c>
      <c r="B779">
        <v>14</v>
      </c>
      <c r="C779">
        <v>11.558</v>
      </c>
      <c r="D779" s="3">
        <v>11.56</v>
      </c>
      <c r="E779" t="s">
        <v>689</v>
      </c>
      <c r="F779">
        <v>2694392</v>
      </c>
      <c r="G779" s="1">
        <v>7.4300000000000005E-2</v>
      </c>
      <c r="H779" s="1">
        <v>1.473E-2</v>
      </c>
    </row>
    <row r="780" spans="1:8" x14ac:dyDescent="0.25">
      <c r="A780" t="s">
        <v>1418</v>
      </c>
      <c r="B780">
        <v>15</v>
      </c>
      <c r="C780">
        <v>11.641999999999999</v>
      </c>
      <c r="D780" s="3">
        <v>11.64</v>
      </c>
      <c r="E780" t="s">
        <v>690</v>
      </c>
      <c r="F780">
        <v>2872840</v>
      </c>
      <c r="G780" s="1">
        <v>7.9299999999999995E-2</v>
      </c>
      <c r="H780" s="1">
        <v>1.5709999999999998E-2</v>
      </c>
    </row>
    <row r="781" spans="1:8" x14ac:dyDescent="0.25">
      <c r="A781" t="s">
        <v>1418</v>
      </c>
      <c r="B781">
        <v>16</v>
      </c>
      <c r="C781">
        <v>11.776</v>
      </c>
      <c r="D781" s="3">
        <v>11.78</v>
      </c>
      <c r="E781" t="s">
        <v>691</v>
      </c>
      <c r="F781">
        <v>1528692</v>
      </c>
      <c r="G781" s="1">
        <v>4.2200000000000001E-2</v>
      </c>
      <c r="H781" s="1">
        <v>8.3599999999999994E-3</v>
      </c>
    </row>
    <row r="782" spans="1:8" x14ac:dyDescent="0.25">
      <c r="A782" t="s">
        <v>1418</v>
      </c>
      <c r="B782">
        <v>17</v>
      </c>
      <c r="C782">
        <v>11.914999999999999</v>
      </c>
      <c r="D782" s="3">
        <v>11.92</v>
      </c>
      <c r="E782" t="s">
        <v>692</v>
      </c>
      <c r="F782">
        <v>2301657</v>
      </c>
      <c r="G782" s="1">
        <v>6.3500000000000001E-2</v>
      </c>
      <c r="H782" s="1">
        <v>1.2579999999999999E-2</v>
      </c>
    </row>
    <row r="783" spans="1:8" x14ac:dyDescent="0.25">
      <c r="A783" t="s">
        <v>1418</v>
      </c>
      <c r="B783">
        <v>18</v>
      </c>
      <c r="C783">
        <v>11.967000000000001</v>
      </c>
      <c r="D783" s="3">
        <v>11.97</v>
      </c>
      <c r="E783" t="s">
        <v>693</v>
      </c>
      <c r="F783">
        <v>1029749</v>
      </c>
      <c r="G783" s="1">
        <v>2.8400000000000002E-2</v>
      </c>
      <c r="H783" s="1">
        <v>5.6299999999999996E-3</v>
      </c>
    </row>
    <row r="784" spans="1:8" x14ac:dyDescent="0.25">
      <c r="A784" t="s">
        <v>1418</v>
      </c>
      <c r="B784">
        <v>19</v>
      </c>
      <c r="C784">
        <v>12.128</v>
      </c>
      <c r="D784" s="3">
        <v>12.13</v>
      </c>
      <c r="E784" t="s">
        <v>694</v>
      </c>
      <c r="F784">
        <v>1536326</v>
      </c>
      <c r="G784" s="1">
        <v>4.24E-2</v>
      </c>
      <c r="H784" s="1">
        <v>8.3999999999999995E-3</v>
      </c>
    </row>
    <row r="785" spans="1:8" x14ac:dyDescent="0.25">
      <c r="A785" t="s">
        <v>1418</v>
      </c>
      <c r="B785">
        <v>20</v>
      </c>
      <c r="C785">
        <v>12.228999999999999</v>
      </c>
      <c r="D785" s="3">
        <v>12.23</v>
      </c>
      <c r="E785" t="s">
        <v>695</v>
      </c>
      <c r="F785">
        <v>3534803</v>
      </c>
      <c r="G785" s="1">
        <v>9.7500000000000003E-2</v>
      </c>
      <c r="H785" s="1">
        <v>1.932E-2</v>
      </c>
    </row>
    <row r="786" spans="1:8" x14ac:dyDescent="0.25">
      <c r="A786" t="s">
        <v>1418</v>
      </c>
      <c r="B786">
        <v>21</v>
      </c>
      <c r="C786">
        <v>12.311999999999999</v>
      </c>
      <c r="D786" s="3">
        <v>12.31</v>
      </c>
      <c r="E786" t="s">
        <v>696</v>
      </c>
      <c r="F786">
        <v>1480443</v>
      </c>
      <c r="G786" s="1">
        <v>4.0800000000000003E-2</v>
      </c>
      <c r="H786" s="1">
        <v>8.09E-3</v>
      </c>
    </row>
    <row r="787" spans="1:8" x14ac:dyDescent="0.25">
      <c r="A787" t="s">
        <v>1418</v>
      </c>
      <c r="B787">
        <v>22</v>
      </c>
      <c r="C787">
        <v>12.537000000000001</v>
      </c>
      <c r="D787" s="3">
        <v>12.54</v>
      </c>
      <c r="E787" t="s">
        <v>697</v>
      </c>
      <c r="F787">
        <v>2397203</v>
      </c>
      <c r="G787" s="1">
        <v>6.6100000000000006E-2</v>
      </c>
      <c r="H787" s="1">
        <v>1.311E-2</v>
      </c>
    </row>
    <row r="788" spans="1:8" x14ac:dyDescent="0.25">
      <c r="A788" t="s">
        <v>1418</v>
      </c>
      <c r="B788">
        <v>23</v>
      </c>
      <c r="C788">
        <v>12.704000000000001</v>
      </c>
      <c r="D788" s="3">
        <v>12.7</v>
      </c>
      <c r="E788" t="s">
        <v>698</v>
      </c>
      <c r="F788">
        <v>1229038</v>
      </c>
      <c r="G788" s="1">
        <v>3.39E-2</v>
      </c>
      <c r="H788" s="1">
        <v>6.7200000000000003E-3</v>
      </c>
    </row>
    <row r="789" spans="1:8" x14ac:dyDescent="0.25">
      <c r="A789" t="s">
        <v>1418</v>
      </c>
      <c r="B789">
        <v>24</v>
      </c>
      <c r="C789">
        <v>12.845000000000001</v>
      </c>
      <c r="D789" s="3">
        <v>12.85</v>
      </c>
      <c r="E789" t="s">
        <v>699</v>
      </c>
      <c r="F789">
        <v>26454325</v>
      </c>
      <c r="G789" s="1">
        <v>0.7298</v>
      </c>
      <c r="H789" s="1">
        <v>0.14462</v>
      </c>
    </row>
    <row r="790" spans="1:8" x14ac:dyDescent="0.25">
      <c r="A790" t="s">
        <v>1418</v>
      </c>
      <c r="B790">
        <v>25</v>
      </c>
      <c r="C790">
        <v>13.321999999999999</v>
      </c>
      <c r="D790" s="3">
        <v>13.32</v>
      </c>
      <c r="E790" t="s">
        <v>700</v>
      </c>
      <c r="F790">
        <v>1370193</v>
      </c>
      <c r="G790" s="1">
        <v>3.78E-2</v>
      </c>
      <c r="H790" s="1">
        <v>7.4900000000000001E-3</v>
      </c>
    </row>
    <row r="791" spans="1:8" x14ac:dyDescent="0.25">
      <c r="A791" t="s">
        <v>1418</v>
      </c>
      <c r="B791">
        <v>26</v>
      </c>
      <c r="C791">
        <v>14.621</v>
      </c>
      <c r="D791" s="3">
        <v>14.62</v>
      </c>
      <c r="E791" t="s">
        <v>701</v>
      </c>
      <c r="F791">
        <v>1038265</v>
      </c>
      <c r="G791" s="1">
        <v>2.86E-2</v>
      </c>
      <c r="H791" s="1">
        <v>5.6800000000000002E-3</v>
      </c>
    </row>
    <row r="792" spans="1:8" x14ac:dyDescent="0.25">
      <c r="A792" t="s">
        <v>1418</v>
      </c>
      <c r="B792">
        <v>27</v>
      </c>
      <c r="C792">
        <v>15.881</v>
      </c>
      <c r="D792" s="3">
        <v>15.88</v>
      </c>
      <c r="E792" t="s">
        <v>702</v>
      </c>
      <c r="F792">
        <v>5945962</v>
      </c>
      <c r="G792" s="1">
        <v>0.16400000000000001</v>
      </c>
      <c r="H792" s="1">
        <v>3.2509999999999997E-2</v>
      </c>
    </row>
    <row r="793" spans="1:8" x14ac:dyDescent="0.25">
      <c r="A793" t="s">
        <v>1418</v>
      </c>
      <c r="B793">
        <v>28</v>
      </c>
      <c r="C793">
        <v>16.934999999999999</v>
      </c>
      <c r="D793" s="3">
        <v>16.940000000000001</v>
      </c>
      <c r="E793" t="s">
        <v>703</v>
      </c>
      <c r="F793">
        <v>6292058</v>
      </c>
      <c r="G793" s="1">
        <v>0.1736</v>
      </c>
      <c r="H793" s="1">
        <v>3.44E-2</v>
      </c>
    </row>
    <row r="794" spans="1:8" x14ac:dyDescent="0.25">
      <c r="A794" t="s">
        <v>1418</v>
      </c>
      <c r="B794">
        <v>29</v>
      </c>
      <c r="C794">
        <v>17.498000000000001</v>
      </c>
      <c r="D794" s="3">
        <v>17.5</v>
      </c>
      <c r="E794" t="s">
        <v>704</v>
      </c>
      <c r="F794">
        <v>1582349</v>
      </c>
      <c r="G794" s="1">
        <v>4.3700000000000003E-2</v>
      </c>
      <c r="H794" s="1">
        <v>8.6499999999999997E-3</v>
      </c>
    </row>
    <row r="795" spans="1:8" x14ac:dyDescent="0.25">
      <c r="A795" t="s">
        <v>1418</v>
      </c>
      <c r="B795">
        <v>30</v>
      </c>
      <c r="C795">
        <v>18.844000000000001</v>
      </c>
      <c r="D795" s="3">
        <v>18.84</v>
      </c>
      <c r="E795" t="s">
        <v>705</v>
      </c>
      <c r="F795">
        <v>4279151</v>
      </c>
      <c r="G795" s="1">
        <v>0.1181</v>
      </c>
      <c r="H795" s="1">
        <v>2.3390000000000001E-2</v>
      </c>
    </row>
    <row r="796" spans="1:8" x14ac:dyDescent="0.25">
      <c r="A796" t="s">
        <v>1418</v>
      </c>
      <c r="B796">
        <v>31</v>
      </c>
      <c r="C796">
        <v>28.484000000000002</v>
      </c>
      <c r="D796" s="3">
        <v>28.48</v>
      </c>
      <c r="E796">
        <v>489257</v>
      </c>
      <c r="F796">
        <v>9798585</v>
      </c>
      <c r="G796" s="1">
        <v>0.27029999999999998</v>
      </c>
      <c r="H796" s="1">
        <v>5.357E-2</v>
      </c>
    </row>
    <row r="797" spans="1:8" x14ac:dyDescent="0.25">
      <c r="A797" t="s">
        <v>1418</v>
      </c>
      <c r="B797">
        <v>32</v>
      </c>
      <c r="C797">
        <v>28.893000000000001</v>
      </c>
      <c r="D797" s="3">
        <v>28.89</v>
      </c>
      <c r="E797">
        <v>291572</v>
      </c>
      <c r="F797">
        <v>4026929</v>
      </c>
      <c r="G797" s="1">
        <v>0.1111</v>
      </c>
      <c r="H797" s="1">
        <v>2.2009999999999998E-2</v>
      </c>
    </row>
    <row r="798" spans="1:8" x14ac:dyDescent="0.25">
      <c r="A798" t="s">
        <v>1418</v>
      </c>
      <c r="B798">
        <v>33</v>
      </c>
      <c r="C798">
        <v>29.047999999999998</v>
      </c>
      <c r="D798" s="3">
        <v>29.05</v>
      </c>
      <c r="E798">
        <v>3055897</v>
      </c>
      <c r="F798">
        <v>36247986</v>
      </c>
      <c r="G798" s="1">
        <v>0</v>
      </c>
      <c r="H798" s="1">
        <v>0.19817000000000001</v>
      </c>
    </row>
    <row r="799" spans="1:8" x14ac:dyDescent="0.25">
      <c r="A799" t="s">
        <v>1418</v>
      </c>
      <c r="B799">
        <v>34</v>
      </c>
      <c r="C799">
        <v>29.747</v>
      </c>
      <c r="D799" s="3">
        <v>29.75</v>
      </c>
      <c r="E799">
        <v>111957</v>
      </c>
      <c r="F799">
        <v>1998210</v>
      </c>
      <c r="G799" s="1">
        <v>5.5100000000000003E-2</v>
      </c>
      <c r="H799" s="1">
        <v>1.0919999999999999E-2</v>
      </c>
    </row>
    <row r="800" spans="1:8" x14ac:dyDescent="0.25">
      <c r="A800" t="s">
        <v>1418</v>
      </c>
      <c r="B800">
        <v>35</v>
      </c>
      <c r="C800">
        <v>29.914999999999999</v>
      </c>
      <c r="D800" s="3">
        <v>29.92</v>
      </c>
      <c r="E800" t="s">
        <v>706</v>
      </c>
      <c r="F800">
        <v>2507407</v>
      </c>
      <c r="G800" s="1">
        <v>6.9199999999999998E-2</v>
      </c>
      <c r="H800" s="1">
        <v>1.371E-2</v>
      </c>
    </row>
    <row r="801" spans="1:8" x14ac:dyDescent="0.25">
      <c r="A801" t="s">
        <v>1418</v>
      </c>
      <c r="B801">
        <v>36</v>
      </c>
      <c r="C801">
        <v>31.356000000000002</v>
      </c>
      <c r="D801" s="3">
        <v>31.36</v>
      </c>
      <c r="E801" t="s">
        <v>707</v>
      </c>
      <c r="F801">
        <v>1364446</v>
      </c>
      <c r="G801" s="1">
        <v>3.7600000000000001E-2</v>
      </c>
      <c r="H801" s="1">
        <v>7.4599999999999996E-3</v>
      </c>
    </row>
    <row r="802" spans="1:8" x14ac:dyDescent="0.25">
      <c r="A802" t="s">
        <v>1418</v>
      </c>
      <c r="B802">
        <v>37</v>
      </c>
      <c r="C802">
        <v>31.988</v>
      </c>
      <c r="D802" s="3">
        <v>31.99</v>
      </c>
      <c r="E802">
        <v>239324</v>
      </c>
      <c r="F802">
        <v>7367617</v>
      </c>
      <c r="G802" s="1">
        <v>0.20330000000000001</v>
      </c>
      <c r="H802" s="1">
        <v>4.0280000000000003E-2</v>
      </c>
    </row>
    <row r="803" spans="1:8" x14ac:dyDescent="0.25">
      <c r="A803" t="s">
        <v>1418</v>
      </c>
      <c r="B803">
        <v>38</v>
      </c>
      <c r="C803">
        <v>32.743000000000002</v>
      </c>
      <c r="D803" s="3">
        <v>32.74</v>
      </c>
      <c r="E803" t="s">
        <v>708</v>
      </c>
      <c r="F803">
        <v>2223973</v>
      </c>
      <c r="G803" s="1">
        <v>6.1400000000000003E-2</v>
      </c>
      <c r="H803" s="1">
        <v>1.2160000000000001E-2</v>
      </c>
    </row>
    <row r="804" spans="1:8" x14ac:dyDescent="0.25">
      <c r="A804" t="s">
        <v>1418</v>
      </c>
      <c r="B804">
        <v>39</v>
      </c>
      <c r="C804">
        <v>33.103000000000002</v>
      </c>
      <c r="D804" s="3">
        <v>33.1</v>
      </c>
      <c r="E804">
        <v>133177</v>
      </c>
      <c r="F804">
        <v>5770184</v>
      </c>
      <c r="G804" s="1">
        <v>0.15920000000000001</v>
      </c>
      <c r="H804" s="1">
        <v>3.1550000000000002E-2</v>
      </c>
    </row>
    <row r="805" spans="1:8" x14ac:dyDescent="0.25">
      <c r="A805" t="s">
        <v>1419</v>
      </c>
      <c r="B805">
        <v>1</v>
      </c>
      <c r="C805">
        <v>4.9000000000000004</v>
      </c>
      <c r="D805" s="3">
        <v>4.9000000000000004</v>
      </c>
      <c r="E805" t="s">
        <v>709</v>
      </c>
      <c r="F805">
        <v>7047598</v>
      </c>
      <c r="G805" s="1">
        <v>0.31330000000000002</v>
      </c>
      <c r="H805" s="1">
        <v>5.7430000000000002E-2</v>
      </c>
    </row>
    <row r="806" spans="1:8" x14ac:dyDescent="0.25">
      <c r="A806" t="s">
        <v>1419</v>
      </c>
      <c r="B806">
        <v>2</v>
      </c>
      <c r="C806">
        <v>6.5039999999999996</v>
      </c>
      <c r="D806" s="3">
        <v>6.5</v>
      </c>
      <c r="E806" t="s">
        <v>710</v>
      </c>
      <c r="F806">
        <v>1559285</v>
      </c>
      <c r="G806" s="1">
        <v>6.93E-2</v>
      </c>
      <c r="H806" s="1">
        <v>1.2710000000000001E-2</v>
      </c>
    </row>
    <row r="807" spans="1:8" x14ac:dyDescent="0.25">
      <c r="A807" t="s">
        <v>1419</v>
      </c>
      <c r="B807">
        <v>3</v>
      </c>
      <c r="C807">
        <v>9.5190000000000001</v>
      </c>
      <c r="D807" s="3">
        <v>9.52</v>
      </c>
      <c r="E807" t="s">
        <v>711</v>
      </c>
      <c r="F807">
        <v>1043328</v>
      </c>
      <c r="G807" s="1">
        <v>4.6399999999999997E-2</v>
      </c>
      <c r="H807" s="1">
        <v>8.5000000000000006E-3</v>
      </c>
    </row>
    <row r="808" spans="1:8" x14ac:dyDescent="0.25">
      <c r="A808" t="s">
        <v>1419</v>
      </c>
      <c r="B808">
        <v>4</v>
      </c>
      <c r="C808">
        <v>9.6649999999999991</v>
      </c>
      <c r="D808" s="3">
        <v>9.67</v>
      </c>
      <c r="E808" t="s">
        <v>712</v>
      </c>
      <c r="F808">
        <v>4661004</v>
      </c>
      <c r="G808" s="1">
        <v>0.2072</v>
      </c>
      <c r="H808" s="1">
        <v>3.798E-2</v>
      </c>
    </row>
    <row r="809" spans="1:8" x14ac:dyDescent="0.25">
      <c r="A809" t="s">
        <v>1419</v>
      </c>
      <c r="B809">
        <v>5</v>
      </c>
      <c r="C809">
        <v>12.704000000000001</v>
      </c>
      <c r="D809" s="3">
        <v>12.7</v>
      </c>
      <c r="E809" t="s">
        <v>713</v>
      </c>
      <c r="F809">
        <v>1084759</v>
      </c>
      <c r="G809" s="1">
        <v>4.82E-2</v>
      </c>
      <c r="H809" s="1">
        <v>8.8400000000000006E-3</v>
      </c>
    </row>
    <row r="810" spans="1:8" x14ac:dyDescent="0.25">
      <c r="A810" t="s">
        <v>1419</v>
      </c>
      <c r="B810">
        <v>6</v>
      </c>
      <c r="C810">
        <v>12.845000000000001</v>
      </c>
      <c r="D810" s="3">
        <v>12.85</v>
      </c>
      <c r="E810" t="s">
        <v>714</v>
      </c>
      <c r="F810">
        <v>20731257</v>
      </c>
      <c r="G810" s="1">
        <v>0.92149999999999999</v>
      </c>
      <c r="H810" s="1">
        <v>0.16893</v>
      </c>
    </row>
    <row r="811" spans="1:8" x14ac:dyDescent="0.25">
      <c r="A811" t="s">
        <v>1419</v>
      </c>
      <c r="B811">
        <v>7</v>
      </c>
      <c r="C811">
        <v>15.877000000000001</v>
      </c>
      <c r="D811" s="3">
        <v>15.88</v>
      </c>
      <c r="E811" t="s">
        <v>715</v>
      </c>
      <c r="F811">
        <v>6619924</v>
      </c>
      <c r="G811" s="1">
        <v>0.29420000000000002</v>
      </c>
      <c r="H811" s="1">
        <v>5.3940000000000002E-2</v>
      </c>
    </row>
    <row r="812" spans="1:8" x14ac:dyDescent="0.25">
      <c r="A812" t="s">
        <v>1419</v>
      </c>
      <c r="B812">
        <v>8</v>
      </c>
      <c r="C812">
        <v>17.492999999999999</v>
      </c>
      <c r="D812" s="3">
        <v>17.489999999999998</v>
      </c>
      <c r="E812" t="s">
        <v>716</v>
      </c>
      <c r="F812">
        <v>1779976</v>
      </c>
      <c r="G812" s="1">
        <v>7.9100000000000004E-2</v>
      </c>
      <c r="H812" s="1">
        <v>1.4500000000000001E-2</v>
      </c>
    </row>
    <row r="813" spans="1:8" x14ac:dyDescent="0.25">
      <c r="A813" t="s">
        <v>1419</v>
      </c>
      <c r="B813">
        <v>9</v>
      </c>
      <c r="C813">
        <v>18.742999999999999</v>
      </c>
      <c r="D813" s="3">
        <v>18.739999999999998</v>
      </c>
      <c r="E813" t="s">
        <v>717</v>
      </c>
      <c r="F813">
        <v>1010000</v>
      </c>
      <c r="G813" s="1">
        <v>4.4900000000000002E-2</v>
      </c>
      <c r="H813" s="1">
        <v>8.2299999999999995E-3</v>
      </c>
    </row>
    <row r="814" spans="1:8" x14ac:dyDescent="0.25">
      <c r="A814" t="s">
        <v>1419</v>
      </c>
      <c r="B814">
        <v>10</v>
      </c>
      <c r="C814">
        <v>18.844000000000001</v>
      </c>
      <c r="D814" s="3">
        <v>18.84</v>
      </c>
      <c r="E814" t="s">
        <v>718</v>
      </c>
      <c r="F814">
        <v>3561213</v>
      </c>
      <c r="G814" s="1">
        <v>0.1583</v>
      </c>
      <c r="H814" s="1">
        <v>2.9020000000000001E-2</v>
      </c>
    </row>
    <row r="815" spans="1:8" x14ac:dyDescent="0.25">
      <c r="A815" t="s">
        <v>1419</v>
      </c>
      <c r="B815">
        <v>11</v>
      </c>
      <c r="C815">
        <v>28.486999999999998</v>
      </c>
      <c r="D815" s="3">
        <v>28.49</v>
      </c>
      <c r="E815">
        <v>237128</v>
      </c>
      <c r="F815">
        <v>5582543</v>
      </c>
      <c r="G815" s="1">
        <v>0.24809999999999999</v>
      </c>
      <c r="H815" s="1">
        <v>4.5490000000000003E-2</v>
      </c>
    </row>
    <row r="816" spans="1:8" x14ac:dyDescent="0.25">
      <c r="A816" t="s">
        <v>1419</v>
      </c>
      <c r="B816">
        <v>12</v>
      </c>
      <c r="C816">
        <v>28.893000000000001</v>
      </c>
      <c r="D816" s="3">
        <v>28.89</v>
      </c>
      <c r="E816">
        <v>163741</v>
      </c>
      <c r="F816">
        <v>2964555</v>
      </c>
      <c r="G816" s="1">
        <v>0.1318</v>
      </c>
      <c r="H816" s="1">
        <v>2.4160000000000001E-2</v>
      </c>
    </row>
    <row r="817" spans="1:8" x14ac:dyDescent="0.25">
      <c r="A817" t="s">
        <v>1419</v>
      </c>
      <c r="B817">
        <v>13</v>
      </c>
      <c r="C817">
        <v>29.047999999999998</v>
      </c>
      <c r="D817" s="3">
        <v>29.05</v>
      </c>
      <c r="E817">
        <v>1867454</v>
      </c>
      <c r="F817">
        <v>22497914</v>
      </c>
      <c r="G817" s="1">
        <v>0</v>
      </c>
      <c r="H817" s="1">
        <v>0.18332000000000001</v>
      </c>
    </row>
    <row r="818" spans="1:8" x14ac:dyDescent="0.25">
      <c r="A818" t="s">
        <v>1419</v>
      </c>
      <c r="B818">
        <v>14</v>
      </c>
      <c r="C818">
        <v>29.748000000000001</v>
      </c>
      <c r="D818" s="3">
        <v>29.75</v>
      </c>
      <c r="E818">
        <v>164200</v>
      </c>
      <c r="F818">
        <v>2871689</v>
      </c>
      <c r="G818" s="1">
        <v>0.12759999999999999</v>
      </c>
      <c r="H818" s="1">
        <v>2.3400000000000001E-2</v>
      </c>
    </row>
    <row r="819" spans="1:8" x14ac:dyDescent="0.25">
      <c r="A819" t="s">
        <v>1419</v>
      </c>
      <c r="B819">
        <v>15</v>
      </c>
      <c r="C819">
        <v>29.823</v>
      </c>
      <c r="D819" s="3">
        <v>29.82</v>
      </c>
      <c r="E819" t="s">
        <v>719</v>
      </c>
      <c r="F819">
        <v>1002051</v>
      </c>
      <c r="G819" s="1">
        <v>4.4499999999999998E-2</v>
      </c>
      <c r="H819" s="1">
        <v>8.1700000000000002E-3</v>
      </c>
    </row>
    <row r="820" spans="1:8" x14ac:dyDescent="0.25">
      <c r="A820" t="s">
        <v>1419</v>
      </c>
      <c r="B820">
        <v>16</v>
      </c>
      <c r="C820">
        <v>29.937999999999999</v>
      </c>
      <c r="D820" s="3">
        <v>29.94</v>
      </c>
      <c r="E820" t="s">
        <v>720</v>
      </c>
      <c r="F820">
        <v>1128992</v>
      </c>
      <c r="G820" s="1">
        <v>5.0200000000000002E-2</v>
      </c>
      <c r="H820" s="1">
        <v>9.1999999999999998E-3</v>
      </c>
    </row>
    <row r="821" spans="1:8" x14ac:dyDescent="0.25">
      <c r="A821" t="s">
        <v>1419</v>
      </c>
      <c r="B821">
        <v>17</v>
      </c>
      <c r="C821">
        <v>31.117999999999999</v>
      </c>
      <c r="D821" s="3">
        <v>31.12</v>
      </c>
      <c r="E821" t="s">
        <v>721</v>
      </c>
      <c r="F821">
        <v>2055998</v>
      </c>
      <c r="G821" s="1">
        <v>9.1399999999999995E-2</v>
      </c>
      <c r="H821" s="1">
        <v>1.6750000000000001E-2</v>
      </c>
    </row>
    <row r="822" spans="1:8" x14ac:dyDescent="0.25">
      <c r="A822" t="s">
        <v>1419</v>
      </c>
      <c r="B822">
        <v>18</v>
      </c>
      <c r="C822">
        <v>31.297999999999998</v>
      </c>
      <c r="D822" s="3">
        <v>31.3</v>
      </c>
      <c r="E822" t="s">
        <v>722</v>
      </c>
      <c r="F822">
        <v>1023175</v>
      </c>
      <c r="G822" s="1">
        <v>4.5499999999999999E-2</v>
      </c>
      <c r="H822" s="1">
        <v>8.3400000000000002E-3</v>
      </c>
    </row>
    <row r="823" spans="1:8" x14ac:dyDescent="0.25">
      <c r="A823" t="s">
        <v>1419</v>
      </c>
      <c r="B823">
        <v>19</v>
      </c>
      <c r="C823">
        <v>31.359000000000002</v>
      </c>
      <c r="D823" s="3">
        <v>31.36</v>
      </c>
      <c r="E823" t="s">
        <v>723</v>
      </c>
      <c r="F823">
        <v>1007100</v>
      </c>
      <c r="G823" s="1">
        <v>4.48E-2</v>
      </c>
      <c r="H823" s="1">
        <v>8.2100000000000003E-3</v>
      </c>
    </row>
    <row r="824" spans="1:8" x14ac:dyDescent="0.25">
      <c r="A824" t="s">
        <v>1419</v>
      </c>
      <c r="B824">
        <v>20</v>
      </c>
      <c r="C824">
        <v>31.742999999999999</v>
      </c>
      <c r="D824" s="3">
        <v>31.74</v>
      </c>
      <c r="E824" t="s">
        <v>724</v>
      </c>
      <c r="F824">
        <v>1098476</v>
      </c>
      <c r="G824" s="1">
        <v>4.8800000000000003E-2</v>
      </c>
      <c r="H824" s="1">
        <v>8.9499999999999996E-3</v>
      </c>
    </row>
    <row r="825" spans="1:8" x14ac:dyDescent="0.25">
      <c r="A825" t="s">
        <v>1419</v>
      </c>
      <c r="B825">
        <v>21</v>
      </c>
      <c r="C825">
        <v>31.815999999999999</v>
      </c>
      <c r="D825" s="3">
        <v>31.82</v>
      </c>
      <c r="E825" t="s">
        <v>725</v>
      </c>
      <c r="F825">
        <v>2006508</v>
      </c>
      <c r="G825" s="1">
        <v>8.9200000000000002E-2</v>
      </c>
      <c r="H825" s="1">
        <v>1.635E-2</v>
      </c>
    </row>
    <row r="826" spans="1:8" x14ac:dyDescent="0.25">
      <c r="A826" t="s">
        <v>1419</v>
      </c>
      <c r="B826">
        <v>22</v>
      </c>
      <c r="C826">
        <v>31.986999999999998</v>
      </c>
      <c r="D826" s="3">
        <v>31.99</v>
      </c>
      <c r="E826">
        <v>779012</v>
      </c>
      <c r="F826">
        <v>14727175</v>
      </c>
      <c r="G826" s="1">
        <v>0.65459999999999996</v>
      </c>
      <c r="H826" s="1">
        <v>0.12</v>
      </c>
    </row>
    <row r="827" spans="1:8" x14ac:dyDescent="0.25">
      <c r="A827" t="s">
        <v>1419</v>
      </c>
      <c r="B827">
        <v>23</v>
      </c>
      <c r="C827">
        <v>32.731999999999999</v>
      </c>
      <c r="D827" s="3">
        <v>32.729999999999997</v>
      </c>
      <c r="E827" t="s">
        <v>726</v>
      </c>
      <c r="F827">
        <v>2795537</v>
      </c>
      <c r="G827" s="1">
        <v>0.12429999999999999</v>
      </c>
      <c r="H827" s="1">
        <v>2.2780000000000002E-2</v>
      </c>
    </row>
    <row r="828" spans="1:8" x14ac:dyDescent="0.25">
      <c r="A828" t="s">
        <v>1419</v>
      </c>
      <c r="B828">
        <v>24</v>
      </c>
      <c r="C828">
        <v>33.101999999999997</v>
      </c>
      <c r="D828" s="3">
        <v>33.1</v>
      </c>
      <c r="E828">
        <v>406474</v>
      </c>
      <c r="F828">
        <v>12863688</v>
      </c>
      <c r="G828" s="1">
        <v>0.57179999999999997</v>
      </c>
      <c r="H828" s="1">
        <v>0.10482</v>
      </c>
    </row>
    <row r="829" spans="1:8" x14ac:dyDescent="0.25">
      <c r="A829" t="s">
        <v>1420</v>
      </c>
      <c r="B829">
        <v>1</v>
      </c>
      <c r="C829">
        <v>4.9039999999999999</v>
      </c>
      <c r="D829" s="3">
        <v>4.9000000000000004</v>
      </c>
      <c r="E829" t="s">
        <v>727</v>
      </c>
      <c r="F829">
        <v>5366273</v>
      </c>
      <c r="G829" s="1">
        <v>4.02E-2</v>
      </c>
      <c r="H829" s="1">
        <v>1.5049999999999999E-2</v>
      </c>
    </row>
    <row r="830" spans="1:8" x14ac:dyDescent="0.25">
      <c r="A830" t="s">
        <v>1420</v>
      </c>
      <c r="B830">
        <v>2</v>
      </c>
      <c r="C830">
        <v>5.2030000000000003</v>
      </c>
      <c r="D830" s="3">
        <v>5.2</v>
      </c>
      <c r="E830" t="s">
        <v>728</v>
      </c>
      <c r="F830">
        <v>3850718</v>
      </c>
      <c r="G830" s="1">
        <v>2.8899999999999999E-2</v>
      </c>
      <c r="H830" s="1">
        <v>1.0800000000000001E-2</v>
      </c>
    </row>
    <row r="831" spans="1:8" x14ac:dyDescent="0.25">
      <c r="A831" t="s">
        <v>1420</v>
      </c>
      <c r="B831">
        <v>3</v>
      </c>
      <c r="C831">
        <v>5.3120000000000003</v>
      </c>
      <c r="D831" s="3">
        <v>5.31</v>
      </c>
      <c r="E831" t="s">
        <v>729</v>
      </c>
      <c r="F831">
        <v>1510222</v>
      </c>
      <c r="G831" s="1">
        <v>1.1299999999999999E-2</v>
      </c>
      <c r="H831" s="1">
        <v>4.2399999999999998E-3</v>
      </c>
    </row>
    <row r="832" spans="1:8" x14ac:dyDescent="0.25">
      <c r="A832" t="s">
        <v>1420</v>
      </c>
      <c r="B832">
        <v>4</v>
      </c>
      <c r="C832">
        <v>5.3849999999999998</v>
      </c>
      <c r="D832" s="3">
        <v>5.39</v>
      </c>
      <c r="E832" t="s">
        <v>730</v>
      </c>
      <c r="F832">
        <v>2101442</v>
      </c>
      <c r="G832" s="1">
        <v>1.5800000000000002E-2</v>
      </c>
      <c r="H832" s="1">
        <v>5.8999999999999999E-3</v>
      </c>
    </row>
    <row r="833" spans="1:8" x14ac:dyDescent="0.25">
      <c r="A833" t="s">
        <v>1420</v>
      </c>
      <c r="B833">
        <v>5</v>
      </c>
      <c r="C833">
        <v>6.2670000000000003</v>
      </c>
      <c r="D833" s="3">
        <v>6.27</v>
      </c>
      <c r="E833" t="s">
        <v>731</v>
      </c>
      <c r="F833">
        <v>1834523</v>
      </c>
      <c r="G833" s="1">
        <v>1.38E-2</v>
      </c>
      <c r="H833" s="1">
        <v>5.1500000000000001E-3</v>
      </c>
    </row>
    <row r="834" spans="1:8" x14ac:dyDescent="0.25">
      <c r="A834" t="s">
        <v>1420</v>
      </c>
      <c r="B834">
        <v>6</v>
      </c>
      <c r="C834">
        <v>6.4960000000000004</v>
      </c>
      <c r="D834" s="3">
        <v>6.5</v>
      </c>
      <c r="E834" t="s">
        <v>732</v>
      </c>
      <c r="F834">
        <v>4232287</v>
      </c>
      <c r="G834" s="1">
        <v>3.1699999999999999E-2</v>
      </c>
      <c r="H834" s="1">
        <v>1.187E-2</v>
      </c>
    </row>
    <row r="835" spans="1:8" x14ac:dyDescent="0.25">
      <c r="A835" t="s">
        <v>1420</v>
      </c>
      <c r="B835">
        <v>7</v>
      </c>
      <c r="C835">
        <v>8.2929999999999993</v>
      </c>
      <c r="D835" s="3">
        <v>8.2899999999999991</v>
      </c>
      <c r="E835" t="s">
        <v>733</v>
      </c>
      <c r="F835">
        <v>1419690</v>
      </c>
      <c r="G835" s="1">
        <v>1.06E-2</v>
      </c>
      <c r="H835" s="1">
        <v>3.98E-3</v>
      </c>
    </row>
    <row r="836" spans="1:8" x14ac:dyDescent="0.25">
      <c r="A836" t="s">
        <v>1420</v>
      </c>
      <c r="B836">
        <v>8</v>
      </c>
      <c r="C836">
        <v>9.1850000000000005</v>
      </c>
      <c r="D836" s="3">
        <v>9.19</v>
      </c>
      <c r="E836" t="s">
        <v>734</v>
      </c>
      <c r="F836">
        <v>4199094</v>
      </c>
      <c r="G836" s="1">
        <v>3.15E-2</v>
      </c>
      <c r="H836" s="1">
        <v>1.1780000000000001E-2</v>
      </c>
    </row>
    <row r="837" spans="1:8" x14ac:dyDescent="0.25">
      <c r="A837" t="s">
        <v>1420</v>
      </c>
      <c r="B837">
        <v>9</v>
      </c>
      <c r="C837">
        <v>9.25</v>
      </c>
      <c r="D837" s="3">
        <v>9.25</v>
      </c>
      <c r="E837" t="s">
        <v>735</v>
      </c>
      <c r="F837">
        <v>1223840</v>
      </c>
      <c r="G837" s="1">
        <v>9.1999999999999998E-3</v>
      </c>
      <c r="H837" s="1">
        <v>3.4299999999999999E-3</v>
      </c>
    </row>
    <row r="838" spans="1:8" x14ac:dyDescent="0.25">
      <c r="A838" t="s">
        <v>1420</v>
      </c>
      <c r="B838">
        <v>10</v>
      </c>
      <c r="C838">
        <v>9.6579999999999995</v>
      </c>
      <c r="D838" s="3">
        <v>9.66</v>
      </c>
      <c r="E838" t="s">
        <v>736</v>
      </c>
      <c r="F838">
        <v>15815459</v>
      </c>
      <c r="G838" s="1">
        <v>0.1186</v>
      </c>
      <c r="H838" s="1">
        <v>4.437E-2</v>
      </c>
    </row>
    <row r="839" spans="1:8" x14ac:dyDescent="0.25">
      <c r="A839" t="s">
        <v>1420</v>
      </c>
      <c r="B839">
        <v>11</v>
      </c>
      <c r="C839">
        <v>9.8309999999999995</v>
      </c>
      <c r="D839" s="3">
        <v>9.83</v>
      </c>
      <c r="E839">
        <v>113153</v>
      </c>
      <c r="F839">
        <v>3953817</v>
      </c>
      <c r="G839" s="1">
        <v>2.9700000000000001E-2</v>
      </c>
      <c r="H839" s="1">
        <v>1.1089999999999999E-2</v>
      </c>
    </row>
    <row r="840" spans="1:8" x14ac:dyDescent="0.25">
      <c r="A840" t="s">
        <v>1420</v>
      </c>
      <c r="B840">
        <v>12</v>
      </c>
      <c r="C840">
        <v>11.287000000000001</v>
      </c>
      <c r="D840" s="3">
        <v>11.29</v>
      </c>
      <c r="E840" t="s">
        <v>737</v>
      </c>
      <c r="F840">
        <v>1294624</v>
      </c>
      <c r="G840" s="1">
        <v>9.7000000000000003E-3</v>
      </c>
      <c r="H840" s="1">
        <v>3.63E-3</v>
      </c>
    </row>
    <row r="841" spans="1:8" x14ac:dyDescent="0.25">
      <c r="A841" t="s">
        <v>1420</v>
      </c>
      <c r="B841">
        <v>13</v>
      </c>
      <c r="C841">
        <v>12.555</v>
      </c>
      <c r="D841" s="3">
        <v>12.56</v>
      </c>
      <c r="E841" t="s">
        <v>738</v>
      </c>
      <c r="F841">
        <v>1072341</v>
      </c>
      <c r="G841" s="1">
        <v>8.0000000000000002E-3</v>
      </c>
      <c r="H841" s="1">
        <v>3.0100000000000001E-3</v>
      </c>
    </row>
    <row r="842" spans="1:8" x14ac:dyDescent="0.25">
      <c r="A842" t="s">
        <v>1420</v>
      </c>
      <c r="B842">
        <v>14</v>
      </c>
      <c r="C842">
        <v>12.843999999999999</v>
      </c>
      <c r="D842" s="3">
        <v>12.84</v>
      </c>
      <c r="E842" t="s">
        <v>739</v>
      </c>
      <c r="F842">
        <v>53842673</v>
      </c>
      <c r="G842" s="1">
        <v>0.40379999999999999</v>
      </c>
      <c r="H842" s="1">
        <v>0.15104999999999999</v>
      </c>
    </row>
    <row r="843" spans="1:8" x14ac:dyDescent="0.25">
      <c r="A843" t="s">
        <v>1420</v>
      </c>
      <c r="B843">
        <v>15</v>
      </c>
      <c r="C843">
        <v>14.532999999999999</v>
      </c>
      <c r="D843" s="3">
        <v>14.53</v>
      </c>
      <c r="E843" t="s">
        <v>740</v>
      </c>
      <c r="F843">
        <v>2954121</v>
      </c>
      <c r="G843" s="1">
        <v>2.2200000000000001E-2</v>
      </c>
      <c r="H843" s="1">
        <v>8.2900000000000005E-3</v>
      </c>
    </row>
    <row r="844" spans="1:8" x14ac:dyDescent="0.25">
      <c r="A844" t="s">
        <v>1420</v>
      </c>
      <c r="B844">
        <v>16</v>
      </c>
      <c r="C844">
        <v>14.827999999999999</v>
      </c>
      <c r="D844" s="3">
        <v>14.83</v>
      </c>
      <c r="E844" t="s">
        <v>741</v>
      </c>
      <c r="F844">
        <v>1420668</v>
      </c>
      <c r="G844" s="1">
        <v>1.0699999999999999E-2</v>
      </c>
      <c r="H844" s="1">
        <v>3.9899999999999996E-3</v>
      </c>
    </row>
    <row r="845" spans="1:8" x14ac:dyDescent="0.25">
      <c r="A845" t="s">
        <v>1420</v>
      </c>
      <c r="B845">
        <v>17</v>
      </c>
      <c r="C845">
        <v>15.346</v>
      </c>
      <c r="D845" s="3">
        <v>15.35</v>
      </c>
      <c r="E845" t="s">
        <v>742</v>
      </c>
      <c r="F845">
        <v>2104823</v>
      </c>
      <c r="G845" s="1">
        <v>1.5800000000000002E-2</v>
      </c>
      <c r="H845" s="1">
        <v>5.9100000000000003E-3</v>
      </c>
    </row>
    <row r="846" spans="1:8" x14ac:dyDescent="0.25">
      <c r="A846" t="s">
        <v>1420</v>
      </c>
      <c r="B846">
        <v>18</v>
      </c>
      <c r="C846">
        <v>15.597</v>
      </c>
      <c r="D846" s="3">
        <v>15.6</v>
      </c>
      <c r="E846" t="s">
        <v>743</v>
      </c>
      <c r="F846">
        <v>2129899</v>
      </c>
      <c r="G846" s="1">
        <v>1.6E-2</v>
      </c>
      <c r="H846" s="1">
        <v>5.9800000000000001E-3</v>
      </c>
    </row>
    <row r="847" spans="1:8" x14ac:dyDescent="0.25">
      <c r="A847" t="s">
        <v>1420</v>
      </c>
      <c r="B847">
        <v>19</v>
      </c>
      <c r="C847">
        <v>15.875</v>
      </c>
      <c r="D847" s="3">
        <v>15.88</v>
      </c>
      <c r="E847" t="s">
        <v>744</v>
      </c>
      <c r="F847">
        <v>18460343</v>
      </c>
      <c r="G847" s="1">
        <v>0.13850000000000001</v>
      </c>
      <c r="H847" s="1">
        <v>5.1790000000000003E-2</v>
      </c>
    </row>
    <row r="848" spans="1:8" x14ac:dyDescent="0.25">
      <c r="A848" t="s">
        <v>1420</v>
      </c>
      <c r="B848">
        <v>20</v>
      </c>
      <c r="C848">
        <v>16.667000000000002</v>
      </c>
      <c r="D848" s="3">
        <v>16.670000000000002</v>
      </c>
      <c r="E848" t="s">
        <v>745</v>
      </c>
      <c r="F848">
        <v>1934504</v>
      </c>
      <c r="G848" s="1">
        <v>1.4500000000000001E-2</v>
      </c>
      <c r="H848" s="1">
        <v>5.4299999999999999E-3</v>
      </c>
    </row>
    <row r="849" spans="1:8" x14ac:dyDescent="0.25">
      <c r="A849" t="s">
        <v>1420</v>
      </c>
      <c r="B849">
        <v>21</v>
      </c>
      <c r="C849">
        <v>16.765000000000001</v>
      </c>
      <c r="D849" s="3">
        <v>16.77</v>
      </c>
      <c r="E849" t="s">
        <v>746</v>
      </c>
      <c r="F849">
        <v>4987538</v>
      </c>
      <c r="G849" s="1">
        <v>3.7400000000000003E-2</v>
      </c>
      <c r="H849" s="1">
        <v>1.3990000000000001E-2</v>
      </c>
    </row>
    <row r="850" spans="1:8" x14ac:dyDescent="0.25">
      <c r="A850" t="s">
        <v>1420</v>
      </c>
      <c r="B850">
        <v>22</v>
      </c>
      <c r="C850">
        <v>17.120999999999999</v>
      </c>
      <c r="D850" s="3">
        <v>17.12</v>
      </c>
      <c r="E850" t="s">
        <v>747</v>
      </c>
      <c r="F850">
        <v>133335793</v>
      </c>
      <c r="G850" s="1">
        <v>0</v>
      </c>
      <c r="H850" s="1">
        <v>0.37407000000000001</v>
      </c>
    </row>
    <row r="851" spans="1:8" x14ac:dyDescent="0.25">
      <c r="A851" t="s">
        <v>1420</v>
      </c>
      <c r="B851">
        <v>23</v>
      </c>
      <c r="C851">
        <v>17.207000000000001</v>
      </c>
      <c r="D851" s="3">
        <v>17.21</v>
      </c>
      <c r="E851" t="s">
        <v>748</v>
      </c>
      <c r="F851">
        <v>1182295</v>
      </c>
      <c r="G851" s="1">
        <v>8.8999999999999999E-3</v>
      </c>
      <c r="H851" s="1">
        <v>3.32E-3</v>
      </c>
    </row>
    <row r="852" spans="1:8" x14ac:dyDescent="0.25">
      <c r="A852" t="s">
        <v>1420</v>
      </c>
      <c r="B852">
        <v>24</v>
      </c>
      <c r="C852">
        <v>17.460999999999999</v>
      </c>
      <c r="D852" s="3">
        <v>17.46</v>
      </c>
      <c r="E852" t="s">
        <v>749</v>
      </c>
      <c r="F852">
        <v>8184546</v>
      </c>
      <c r="G852" s="1">
        <v>6.1400000000000003E-2</v>
      </c>
      <c r="H852" s="1">
        <v>2.2960000000000001E-2</v>
      </c>
    </row>
    <row r="853" spans="1:8" x14ac:dyDescent="0.25">
      <c r="A853" t="s">
        <v>1420</v>
      </c>
      <c r="B853">
        <v>25</v>
      </c>
      <c r="C853">
        <v>17.558</v>
      </c>
      <c r="D853" s="3">
        <v>17.559999999999999</v>
      </c>
      <c r="E853" t="s">
        <v>750</v>
      </c>
      <c r="F853">
        <v>1319384</v>
      </c>
      <c r="G853" s="1">
        <v>9.9000000000000008E-3</v>
      </c>
      <c r="H853" s="1">
        <v>3.7000000000000002E-3</v>
      </c>
    </row>
    <row r="854" spans="1:8" x14ac:dyDescent="0.25">
      <c r="A854" t="s">
        <v>1420</v>
      </c>
      <c r="B854">
        <v>26</v>
      </c>
      <c r="C854">
        <v>17.709</v>
      </c>
      <c r="D854" s="3">
        <v>17.71</v>
      </c>
      <c r="E854" t="s">
        <v>751</v>
      </c>
      <c r="F854">
        <v>1462696</v>
      </c>
      <c r="G854" s="1">
        <v>1.0999999999999999E-2</v>
      </c>
      <c r="H854" s="1">
        <v>4.1000000000000003E-3</v>
      </c>
    </row>
    <row r="855" spans="1:8" x14ac:dyDescent="0.25">
      <c r="A855" t="s">
        <v>1420</v>
      </c>
      <c r="B855">
        <v>27</v>
      </c>
      <c r="C855">
        <v>17.803999999999998</v>
      </c>
      <c r="D855" s="3">
        <v>17.8</v>
      </c>
      <c r="E855" t="s">
        <v>752</v>
      </c>
      <c r="F855">
        <v>1183566</v>
      </c>
      <c r="G855" s="1">
        <v>8.8999999999999999E-3</v>
      </c>
      <c r="H855" s="1">
        <v>3.32E-3</v>
      </c>
    </row>
    <row r="856" spans="1:8" x14ac:dyDescent="0.25">
      <c r="A856" t="s">
        <v>1420</v>
      </c>
      <c r="B856">
        <v>28</v>
      </c>
      <c r="C856">
        <v>17.917999999999999</v>
      </c>
      <c r="D856" s="3">
        <v>17.920000000000002</v>
      </c>
      <c r="E856" t="s">
        <v>753</v>
      </c>
      <c r="F856">
        <v>1606632</v>
      </c>
      <c r="G856" s="1">
        <v>1.2E-2</v>
      </c>
      <c r="H856" s="1">
        <v>4.5100000000000001E-3</v>
      </c>
    </row>
    <row r="857" spans="1:8" x14ac:dyDescent="0.25">
      <c r="A857" t="s">
        <v>1420</v>
      </c>
      <c r="B857">
        <v>29</v>
      </c>
      <c r="C857">
        <v>18.728000000000002</v>
      </c>
      <c r="D857" s="3">
        <v>18.73</v>
      </c>
      <c r="E857" t="s">
        <v>754</v>
      </c>
      <c r="F857">
        <v>1947284</v>
      </c>
      <c r="G857" s="1">
        <v>1.46E-2</v>
      </c>
      <c r="H857" s="1">
        <v>5.4599999999999996E-3</v>
      </c>
    </row>
    <row r="858" spans="1:8" x14ac:dyDescent="0.25">
      <c r="A858" t="s">
        <v>1420</v>
      </c>
      <c r="B858">
        <v>30</v>
      </c>
      <c r="C858">
        <v>18.843</v>
      </c>
      <c r="D858" s="3">
        <v>18.84</v>
      </c>
      <c r="E858" t="s">
        <v>755</v>
      </c>
      <c r="F858">
        <v>5222152</v>
      </c>
      <c r="G858" s="1">
        <v>3.9199999999999999E-2</v>
      </c>
      <c r="H858" s="1">
        <v>1.465E-2</v>
      </c>
    </row>
    <row r="859" spans="1:8" x14ac:dyDescent="0.25">
      <c r="A859" t="s">
        <v>1420</v>
      </c>
      <c r="B859">
        <v>31</v>
      </c>
      <c r="C859">
        <v>20.231000000000002</v>
      </c>
      <c r="D859" s="3">
        <v>20.23</v>
      </c>
      <c r="E859" t="s">
        <v>756</v>
      </c>
      <c r="F859">
        <v>1864884</v>
      </c>
      <c r="G859" s="1">
        <v>1.4E-2</v>
      </c>
      <c r="H859" s="1">
        <v>5.2300000000000003E-3</v>
      </c>
    </row>
    <row r="860" spans="1:8" x14ac:dyDescent="0.25">
      <c r="A860" t="s">
        <v>1420</v>
      </c>
      <c r="B860">
        <v>32</v>
      </c>
      <c r="C860">
        <v>21.402999999999999</v>
      </c>
      <c r="D860" s="3">
        <v>21.4</v>
      </c>
      <c r="E860" t="s">
        <v>757</v>
      </c>
      <c r="F860">
        <v>1154930</v>
      </c>
      <c r="G860" s="1">
        <v>8.6999999999999994E-3</v>
      </c>
      <c r="H860" s="1">
        <v>3.2399999999999998E-3</v>
      </c>
    </row>
    <row r="861" spans="1:8" x14ac:dyDescent="0.25">
      <c r="A861" t="s">
        <v>1420</v>
      </c>
      <c r="B861">
        <v>33</v>
      </c>
      <c r="C861">
        <v>28.484999999999999</v>
      </c>
      <c r="D861" s="3">
        <v>28.49</v>
      </c>
      <c r="E861">
        <v>397908</v>
      </c>
      <c r="F861">
        <v>7580048</v>
      </c>
      <c r="G861" s="1">
        <v>5.6800000000000003E-2</v>
      </c>
      <c r="H861" s="1">
        <v>2.1270000000000001E-2</v>
      </c>
    </row>
    <row r="862" spans="1:8" x14ac:dyDescent="0.25">
      <c r="A862" t="s">
        <v>1420</v>
      </c>
      <c r="B862">
        <v>34</v>
      </c>
      <c r="C862">
        <v>28.731999999999999</v>
      </c>
      <c r="D862" s="3">
        <v>28.73</v>
      </c>
      <c r="E862" t="s">
        <v>758</v>
      </c>
      <c r="F862">
        <v>1081433</v>
      </c>
      <c r="G862" s="1">
        <v>8.0999999999999996E-3</v>
      </c>
      <c r="H862" s="1">
        <v>3.0300000000000001E-3</v>
      </c>
    </row>
    <row r="863" spans="1:8" x14ac:dyDescent="0.25">
      <c r="A863" t="s">
        <v>1420</v>
      </c>
      <c r="B863">
        <v>35</v>
      </c>
      <c r="C863">
        <v>28.893000000000001</v>
      </c>
      <c r="D863" s="3">
        <v>28.89</v>
      </c>
      <c r="E863">
        <v>219123</v>
      </c>
      <c r="F863">
        <v>3360673</v>
      </c>
      <c r="G863" s="1">
        <v>2.52E-2</v>
      </c>
      <c r="H863" s="1">
        <v>9.4299999999999991E-3</v>
      </c>
    </row>
    <row r="864" spans="1:8" x14ac:dyDescent="0.25">
      <c r="A864" t="s">
        <v>1420</v>
      </c>
      <c r="B864">
        <v>36</v>
      </c>
      <c r="C864">
        <v>29.047999999999998</v>
      </c>
      <c r="D864" s="3">
        <v>29.05</v>
      </c>
      <c r="E864">
        <v>1776057</v>
      </c>
      <c r="F864">
        <v>21696367</v>
      </c>
      <c r="G864" s="1">
        <v>0.16270000000000001</v>
      </c>
      <c r="H864" s="1">
        <v>6.087E-2</v>
      </c>
    </row>
    <row r="865" spans="1:8" x14ac:dyDescent="0.25">
      <c r="A865" t="s">
        <v>1420</v>
      </c>
      <c r="B865">
        <v>37</v>
      </c>
      <c r="C865">
        <v>29.233000000000001</v>
      </c>
      <c r="D865" s="3">
        <v>29.23</v>
      </c>
      <c r="E865" t="s">
        <v>759</v>
      </c>
      <c r="F865">
        <v>1041916</v>
      </c>
      <c r="G865" s="1">
        <v>7.7999999999999996E-3</v>
      </c>
      <c r="H865" s="1">
        <v>2.9199999999999999E-3</v>
      </c>
    </row>
    <row r="866" spans="1:8" x14ac:dyDescent="0.25">
      <c r="A866" t="s">
        <v>1420</v>
      </c>
      <c r="B866">
        <v>38</v>
      </c>
      <c r="C866">
        <v>29.745999999999999</v>
      </c>
      <c r="D866" s="3">
        <v>29.75</v>
      </c>
      <c r="E866">
        <v>203240</v>
      </c>
      <c r="F866">
        <v>3699154</v>
      </c>
      <c r="G866" s="1">
        <v>2.7699999999999999E-2</v>
      </c>
      <c r="H866" s="1">
        <v>1.038E-2</v>
      </c>
    </row>
    <row r="867" spans="1:8" x14ac:dyDescent="0.25">
      <c r="A867" t="s">
        <v>1420</v>
      </c>
      <c r="B867">
        <v>39</v>
      </c>
      <c r="C867">
        <v>29.911000000000001</v>
      </c>
      <c r="D867" s="3">
        <v>29.91</v>
      </c>
      <c r="E867" t="s">
        <v>760</v>
      </c>
      <c r="F867">
        <v>2153030</v>
      </c>
      <c r="G867" s="1">
        <v>1.61E-2</v>
      </c>
      <c r="H867" s="1">
        <v>6.0400000000000002E-3</v>
      </c>
    </row>
    <row r="868" spans="1:8" x14ac:dyDescent="0.25">
      <c r="A868" t="s">
        <v>1420</v>
      </c>
      <c r="B868">
        <v>40</v>
      </c>
      <c r="C868">
        <v>31.152999999999999</v>
      </c>
      <c r="D868" s="3">
        <v>31.15</v>
      </c>
      <c r="E868" t="s">
        <v>761</v>
      </c>
      <c r="F868">
        <v>1557145</v>
      </c>
      <c r="G868" s="1">
        <v>1.17E-2</v>
      </c>
      <c r="H868" s="1">
        <v>4.3699999999999998E-3</v>
      </c>
    </row>
    <row r="869" spans="1:8" x14ac:dyDescent="0.25">
      <c r="A869" t="s">
        <v>1420</v>
      </c>
      <c r="B869">
        <v>41</v>
      </c>
      <c r="C869">
        <v>31.327999999999999</v>
      </c>
      <c r="D869" s="3">
        <v>31.33</v>
      </c>
      <c r="E869" t="s">
        <v>762</v>
      </c>
      <c r="F869">
        <v>1677300</v>
      </c>
      <c r="G869" s="1">
        <v>1.26E-2</v>
      </c>
      <c r="H869" s="1">
        <v>4.7099999999999998E-3</v>
      </c>
    </row>
    <row r="870" spans="1:8" x14ac:dyDescent="0.25">
      <c r="A870" t="s">
        <v>1420</v>
      </c>
      <c r="B870">
        <v>42</v>
      </c>
      <c r="C870">
        <v>31.664999999999999</v>
      </c>
      <c r="D870" s="3">
        <v>31.67</v>
      </c>
      <c r="E870" t="s">
        <v>763</v>
      </c>
      <c r="F870">
        <v>1426111</v>
      </c>
      <c r="G870" s="1">
        <v>1.0699999999999999E-2</v>
      </c>
      <c r="H870" s="1">
        <v>4.0000000000000001E-3</v>
      </c>
    </row>
    <row r="871" spans="1:8" x14ac:dyDescent="0.25">
      <c r="A871" t="s">
        <v>1420</v>
      </c>
      <c r="B871">
        <v>43</v>
      </c>
      <c r="C871">
        <v>31.765999999999998</v>
      </c>
      <c r="D871" s="3">
        <v>31.77</v>
      </c>
      <c r="E871" t="s">
        <v>764</v>
      </c>
      <c r="F871">
        <v>1257312</v>
      </c>
      <c r="G871" s="1">
        <v>9.4000000000000004E-3</v>
      </c>
      <c r="H871" s="1">
        <v>3.5300000000000002E-3</v>
      </c>
    </row>
    <row r="872" spans="1:8" x14ac:dyDescent="0.25">
      <c r="A872" t="s">
        <v>1420</v>
      </c>
      <c r="B872">
        <v>44</v>
      </c>
      <c r="C872">
        <v>31.99</v>
      </c>
      <c r="D872" s="3">
        <v>31.99</v>
      </c>
      <c r="E872">
        <v>184441</v>
      </c>
      <c r="F872">
        <v>6396949</v>
      </c>
      <c r="G872" s="1">
        <v>4.8000000000000001E-2</v>
      </c>
      <c r="H872" s="1">
        <v>1.7950000000000001E-2</v>
      </c>
    </row>
    <row r="873" spans="1:8" x14ac:dyDescent="0.25">
      <c r="A873" t="s">
        <v>1420</v>
      </c>
      <c r="B873">
        <v>45</v>
      </c>
      <c r="C873">
        <v>32.171999999999997</v>
      </c>
      <c r="D873" s="3">
        <v>32.17</v>
      </c>
      <c r="E873">
        <v>19174</v>
      </c>
      <c r="F873">
        <v>1300305</v>
      </c>
      <c r="G873" s="1">
        <v>9.7999999999999997E-3</v>
      </c>
      <c r="H873" s="1">
        <v>3.65E-3</v>
      </c>
    </row>
    <row r="874" spans="1:8" x14ac:dyDescent="0.25">
      <c r="A874" t="s">
        <v>1420</v>
      </c>
      <c r="B874">
        <v>46</v>
      </c>
      <c r="C874">
        <v>32.734999999999999</v>
      </c>
      <c r="D874" s="3">
        <v>32.74</v>
      </c>
      <c r="E874" t="s">
        <v>765</v>
      </c>
      <c r="F874">
        <v>1841776</v>
      </c>
      <c r="G874" s="1">
        <v>1.38E-2</v>
      </c>
      <c r="H874" s="1">
        <v>5.1700000000000001E-3</v>
      </c>
    </row>
    <row r="875" spans="1:8" x14ac:dyDescent="0.25">
      <c r="A875" t="s">
        <v>1420</v>
      </c>
      <c r="B875">
        <v>47</v>
      </c>
      <c r="C875">
        <v>33.103999999999999</v>
      </c>
      <c r="D875" s="3">
        <v>33.1</v>
      </c>
      <c r="E875">
        <v>145150</v>
      </c>
      <c r="F875">
        <v>6203942</v>
      </c>
      <c r="G875" s="1">
        <v>4.65E-2</v>
      </c>
      <c r="H875" s="1">
        <v>1.7399999999999999E-2</v>
      </c>
    </row>
    <row r="876" spans="1:8" x14ac:dyDescent="0.25">
      <c r="A876" t="s">
        <v>1421</v>
      </c>
      <c r="B876">
        <v>1</v>
      </c>
      <c r="C876">
        <v>4.5309999999999997</v>
      </c>
      <c r="D876" s="3">
        <v>4.53</v>
      </c>
      <c r="E876" t="s">
        <v>766</v>
      </c>
      <c r="F876">
        <v>4034238</v>
      </c>
      <c r="G876" s="1">
        <v>2.1000000000000001E-2</v>
      </c>
      <c r="H876" s="1">
        <v>2.6199999999999999E-3</v>
      </c>
    </row>
    <row r="877" spans="1:8" x14ac:dyDescent="0.25">
      <c r="A877" t="s">
        <v>1421</v>
      </c>
      <c r="B877">
        <v>2</v>
      </c>
      <c r="C877">
        <v>4.7469999999999999</v>
      </c>
      <c r="D877" s="3">
        <v>4.75</v>
      </c>
      <c r="E877" t="s">
        <v>767</v>
      </c>
      <c r="F877">
        <v>2169372</v>
      </c>
      <c r="G877" s="1">
        <v>1.1299999999999999E-2</v>
      </c>
      <c r="H877" s="1">
        <v>1.41E-3</v>
      </c>
    </row>
    <row r="878" spans="1:8" x14ac:dyDescent="0.25">
      <c r="A878" t="s">
        <v>1421</v>
      </c>
      <c r="B878">
        <v>3</v>
      </c>
      <c r="C878">
        <v>4.8419999999999996</v>
      </c>
      <c r="D878" s="3">
        <v>4.84</v>
      </c>
      <c r="E878" t="s">
        <v>768</v>
      </c>
      <c r="F878">
        <v>2767943</v>
      </c>
      <c r="G878" s="1">
        <v>1.44E-2</v>
      </c>
      <c r="H878" s="1">
        <v>1.7899999999999999E-3</v>
      </c>
    </row>
    <row r="879" spans="1:8" x14ac:dyDescent="0.25">
      <c r="A879" t="s">
        <v>1421</v>
      </c>
      <c r="B879">
        <v>4</v>
      </c>
      <c r="C879">
        <v>4.8979999999999997</v>
      </c>
      <c r="D879" s="3">
        <v>4.9000000000000004</v>
      </c>
      <c r="E879" t="s">
        <v>769</v>
      </c>
      <c r="F879">
        <v>19926340</v>
      </c>
      <c r="G879" s="1">
        <v>0.1038</v>
      </c>
      <c r="H879" s="1">
        <v>1.2919999999999999E-2</v>
      </c>
    </row>
    <row r="880" spans="1:8" x14ac:dyDescent="0.25">
      <c r="A880" t="s">
        <v>1421</v>
      </c>
      <c r="B880">
        <v>5</v>
      </c>
      <c r="C880">
        <v>5.01</v>
      </c>
      <c r="D880" s="3">
        <v>5.01</v>
      </c>
      <c r="E880" t="s">
        <v>770</v>
      </c>
      <c r="F880">
        <v>4751910</v>
      </c>
      <c r="G880" s="1">
        <v>2.4799999999999999E-2</v>
      </c>
      <c r="H880" s="1">
        <v>3.0799999999999998E-3</v>
      </c>
    </row>
    <row r="881" spans="1:8" x14ac:dyDescent="0.25">
      <c r="A881" t="s">
        <v>1421</v>
      </c>
      <c r="B881">
        <v>6</v>
      </c>
      <c r="C881">
        <v>5.1970000000000001</v>
      </c>
      <c r="D881" s="3">
        <v>5.2</v>
      </c>
      <c r="E881" t="s">
        <v>771</v>
      </c>
      <c r="F881">
        <v>90529643</v>
      </c>
      <c r="G881" s="1">
        <v>0.4718</v>
      </c>
      <c r="H881" s="1">
        <v>5.8689999999999999E-2</v>
      </c>
    </row>
    <row r="882" spans="1:8" x14ac:dyDescent="0.25">
      <c r="A882" t="s">
        <v>1421</v>
      </c>
      <c r="B882">
        <v>7</v>
      </c>
      <c r="C882">
        <v>5.54</v>
      </c>
      <c r="D882" s="3">
        <v>5.54</v>
      </c>
      <c r="E882" t="s">
        <v>772</v>
      </c>
      <c r="F882">
        <v>5555579</v>
      </c>
      <c r="G882" s="1">
        <v>2.9000000000000001E-2</v>
      </c>
      <c r="H882" s="1">
        <v>3.5999999999999999E-3</v>
      </c>
    </row>
    <row r="883" spans="1:8" x14ac:dyDescent="0.25">
      <c r="A883" t="s">
        <v>1421</v>
      </c>
      <c r="B883">
        <v>8</v>
      </c>
      <c r="C883">
        <v>6.12</v>
      </c>
      <c r="D883" s="3">
        <v>6.12</v>
      </c>
      <c r="E883" t="s">
        <v>773</v>
      </c>
      <c r="F883">
        <v>3472363</v>
      </c>
      <c r="G883" s="1">
        <v>1.8100000000000002E-2</v>
      </c>
      <c r="H883" s="1">
        <v>2.2499999999999998E-3</v>
      </c>
    </row>
    <row r="884" spans="1:8" x14ac:dyDescent="0.25">
      <c r="A884" t="s">
        <v>1421</v>
      </c>
      <c r="B884">
        <v>9</v>
      </c>
      <c r="C884">
        <v>6.2610000000000001</v>
      </c>
      <c r="D884" s="3">
        <v>6.26</v>
      </c>
      <c r="E884" t="s">
        <v>774</v>
      </c>
      <c r="F884">
        <v>4428540</v>
      </c>
      <c r="G884" s="1">
        <v>2.3099999999999999E-2</v>
      </c>
      <c r="H884" s="1">
        <v>2.8700000000000002E-3</v>
      </c>
    </row>
    <row r="885" spans="1:8" x14ac:dyDescent="0.25">
      <c r="A885" t="s">
        <v>1421</v>
      </c>
      <c r="B885">
        <v>10</v>
      </c>
      <c r="C885">
        <v>6.36</v>
      </c>
      <c r="D885" s="3">
        <v>6.36</v>
      </c>
      <c r="E885" t="s">
        <v>775</v>
      </c>
      <c r="F885">
        <v>2210570</v>
      </c>
      <c r="G885" s="1">
        <v>1.15E-2</v>
      </c>
      <c r="H885" s="1">
        <v>1.4300000000000001E-3</v>
      </c>
    </row>
    <row r="886" spans="1:8" x14ac:dyDescent="0.25">
      <c r="A886" t="s">
        <v>1421</v>
      </c>
      <c r="B886">
        <v>11</v>
      </c>
      <c r="C886">
        <v>6.4939999999999998</v>
      </c>
      <c r="D886" s="3">
        <v>6.49</v>
      </c>
      <c r="E886" t="s">
        <v>776</v>
      </c>
      <c r="F886">
        <v>9265206</v>
      </c>
      <c r="G886" s="1">
        <v>4.8300000000000003E-2</v>
      </c>
      <c r="H886" s="1">
        <v>6.0099999999999997E-3</v>
      </c>
    </row>
    <row r="887" spans="1:8" x14ac:dyDescent="0.25">
      <c r="A887" t="s">
        <v>1421</v>
      </c>
      <c r="B887">
        <v>12</v>
      </c>
      <c r="C887">
        <v>7.0179999999999998</v>
      </c>
      <c r="D887" s="3">
        <v>7.02</v>
      </c>
      <c r="E887" t="s">
        <v>777</v>
      </c>
      <c r="F887">
        <v>1190419</v>
      </c>
      <c r="G887" s="1">
        <v>6.1999999999999998E-3</v>
      </c>
      <c r="H887" s="1">
        <v>7.6999999999999996E-4</v>
      </c>
    </row>
    <row r="888" spans="1:8" x14ac:dyDescent="0.25">
      <c r="A888" t="s">
        <v>1421</v>
      </c>
      <c r="B888">
        <v>13</v>
      </c>
      <c r="C888">
        <v>7.125</v>
      </c>
      <c r="D888" s="3">
        <v>7.13</v>
      </c>
      <c r="E888" t="s">
        <v>778</v>
      </c>
      <c r="F888">
        <v>1815564</v>
      </c>
      <c r="G888" s="1">
        <v>9.4999999999999998E-3</v>
      </c>
      <c r="H888" s="1">
        <v>1.1800000000000001E-3</v>
      </c>
    </row>
    <row r="889" spans="1:8" x14ac:dyDescent="0.25">
      <c r="A889" t="s">
        <v>1421</v>
      </c>
      <c r="B889">
        <v>14</v>
      </c>
      <c r="C889">
        <v>7.3680000000000003</v>
      </c>
      <c r="D889" s="3">
        <v>7.37</v>
      </c>
      <c r="E889" t="s">
        <v>779</v>
      </c>
      <c r="F889">
        <v>1138311</v>
      </c>
      <c r="G889" s="1">
        <v>5.8999999999999999E-3</v>
      </c>
      <c r="H889" s="1">
        <v>7.3999999999999999E-4</v>
      </c>
    </row>
    <row r="890" spans="1:8" x14ac:dyDescent="0.25">
      <c r="A890" t="s">
        <v>1421</v>
      </c>
      <c r="B890">
        <v>15</v>
      </c>
      <c r="C890">
        <v>8.1150000000000002</v>
      </c>
      <c r="D890" s="3">
        <v>8.1199999999999992</v>
      </c>
      <c r="E890" t="s">
        <v>780</v>
      </c>
      <c r="F890">
        <v>9184156</v>
      </c>
      <c r="G890" s="1">
        <v>4.7899999999999998E-2</v>
      </c>
      <c r="H890" s="1">
        <v>5.9500000000000004E-3</v>
      </c>
    </row>
    <row r="891" spans="1:8" x14ac:dyDescent="0.25">
      <c r="A891" t="s">
        <v>1421</v>
      </c>
      <c r="B891">
        <v>16</v>
      </c>
      <c r="C891">
        <v>8.2590000000000003</v>
      </c>
      <c r="D891" s="3">
        <v>8.26</v>
      </c>
      <c r="E891" t="s">
        <v>781</v>
      </c>
      <c r="F891">
        <v>11632470</v>
      </c>
      <c r="G891" s="1">
        <v>6.0600000000000001E-2</v>
      </c>
      <c r="H891" s="1">
        <v>7.5399999999999998E-3</v>
      </c>
    </row>
    <row r="892" spans="1:8" x14ac:dyDescent="0.25">
      <c r="A892" t="s">
        <v>1421</v>
      </c>
      <c r="B892">
        <v>17</v>
      </c>
      <c r="C892">
        <v>8.343</v>
      </c>
      <c r="D892" s="3">
        <v>8.34</v>
      </c>
      <c r="E892" t="s">
        <v>782</v>
      </c>
      <c r="F892">
        <v>5589124</v>
      </c>
      <c r="G892" s="1">
        <v>2.9100000000000001E-2</v>
      </c>
      <c r="H892" s="1">
        <v>3.62E-3</v>
      </c>
    </row>
    <row r="893" spans="1:8" x14ac:dyDescent="0.25">
      <c r="A893" t="s">
        <v>1421</v>
      </c>
      <c r="B893">
        <v>18</v>
      </c>
      <c r="C893">
        <v>8.641</v>
      </c>
      <c r="D893" s="3">
        <v>8.64</v>
      </c>
      <c r="E893" t="s">
        <v>783</v>
      </c>
      <c r="F893">
        <v>3400062</v>
      </c>
      <c r="G893" s="1">
        <v>1.77E-2</v>
      </c>
      <c r="H893" s="1">
        <v>2.2000000000000001E-3</v>
      </c>
    </row>
    <row r="894" spans="1:8" x14ac:dyDescent="0.25">
      <c r="A894" t="s">
        <v>1421</v>
      </c>
      <c r="B894">
        <v>19</v>
      </c>
      <c r="C894">
        <v>8.9410000000000007</v>
      </c>
      <c r="D894" s="3">
        <v>8.94</v>
      </c>
      <c r="E894" t="s">
        <v>784</v>
      </c>
      <c r="F894">
        <v>3579154</v>
      </c>
      <c r="G894" s="1">
        <v>1.8700000000000001E-2</v>
      </c>
      <c r="H894" s="1">
        <v>2.32E-3</v>
      </c>
    </row>
    <row r="895" spans="1:8" x14ac:dyDescent="0.25">
      <c r="A895" t="s">
        <v>1421</v>
      </c>
      <c r="B895">
        <v>20</v>
      </c>
      <c r="C895">
        <v>9.0020000000000007</v>
      </c>
      <c r="D895" s="3">
        <v>9</v>
      </c>
      <c r="E895" t="s">
        <v>785</v>
      </c>
      <c r="F895">
        <v>8253762</v>
      </c>
      <c r="G895" s="1">
        <v>4.2999999999999997E-2</v>
      </c>
      <c r="H895" s="1">
        <v>5.3499999999999997E-3</v>
      </c>
    </row>
    <row r="896" spans="1:8" x14ac:dyDescent="0.25">
      <c r="A896" t="s">
        <v>1421</v>
      </c>
      <c r="B896">
        <v>21</v>
      </c>
      <c r="C896">
        <v>9.1859999999999999</v>
      </c>
      <c r="D896" s="3">
        <v>9.19</v>
      </c>
      <c r="E896" t="s">
        <v>786</v>
      </c>
      <c r="F896">
        <v>5480267</v>
      </c>
      <c r="G896" s="1">
        <v>2.86E-2</v>
      </c>
      <c r="H896" s="1">
        <v>3.5500000000000002E-3</v>
      </c>
    </row>
    <row r="897" spans="1:8" x14ac:dyDescent="0.25">
      <c r="A897" t="s">
        <v>1421</v>
      </c>
      <c r="B897">
        <v>22</v>
      </c>
      <c r="C897">
        <v>9.26</v>
      </c>
      <c r="D897" s="3">
        <v>9.26</v>
      </c>
      <c r="E897" t="s">
        <v>787</v>
      </c>
      <c r="F897">
        <v>9821943</v>
      </c>
      <c r="G897" s="1">
        <v>5.1200000000000002E-2</v>
      </c>
      <c r="H897" s="1">
        <v>6.3699999999999998E-3</v>
      </c>
    </row>
    <row r="898" spans="1:8" x14ac:dyDescent="0.25">
      <c r="A898" t="s">
        <v>1421</v>
      </c>
      <c r="B898">
        <v>23</v>
      </c>
      <c r="C898">
        <v>9.5139999999999993</v>
      </c>
      <c r="D898" s="3">
        <v>9.51</v>
      </c>
      <c r="E898" t="s">
        <v>788</v>
      </c>
      <c r="F898">
        <v>2647538</v>
      </c>
      <c r="G898" s="1">
        <v>1.38E-2</v>
      </c>
      <c r="H898" s="1">
        <v>1.72E-3</v>
      </c>
    </row>
    <row r="899" spans="1:8" x14ac:dyDescent="0.25">
      <c r="A899" t="s">
        <v>1421</v>
      </c>
      <c r="B899">
        <v>24</v>
      </c>
      <c r="C899">
        <v>9.6579999999999995</v>
      </c>
      <c r="D899" s="3">
        <v>9.66</v>
      </c>
      <c r="E899" t="s">
        <v>789</v>
      </c>
      <c r="F899">
        <v>18421918</v>
      </c>
      <c r="G899" s="1">
        <v>9.6000000000000002E-2</v>
      </c>
      <c r="H899" s="1">
        <v>1.1939999999999999E-2</v>
      </c>
    </row>
    <row r="900" spans="1:8" x14ac:dyDescent="0.25">
      <c r="A900" t="s">
        <v>1421</v>
      </c>
      <c r="B900">
        <v>25</v>
      </c>
      <c r="C900">
        <v>9.8230000000000004</v>
      </c>
      <c r="D900" s="3">
        <v>9.82</v>
      </c>
      <c r="E900">
        <v>1525924</v>
      </c>
      <c r="F900">
        <v>50936000</v>
      </c>
      <c r="G900" s="1">
        <v>0.26540000000000002</v>
      </c>
      <c r="H900" s="1">
        <v>3.3020000000000001E-2</v>
      </c>
    </row>
    <row r="901" spans="1:8" x14ac:dyDescent="0.25">
      <c r="A901" t="s">
        <v>1421</v>
      </c>
      <c r="B901">
        <v>26</v>
      </c>
      <c r="C901">
        <v>10.292999999999999</v>
      </c>
      <c r="D901" s="3">
        <v>10.29</v>
      </c>
      <c r="E901" t="s">
        <v>790</v>
      </c>
      <c r="F901">
        <v>6320625</v>
      </c>
      <c r="G901" s="1">
        <v>3.2899999999999999E-2</v>
      </c>
      <c r="H901" s="1">
        <v>4.1000000000000003E-3</v>
      </c>
    </row>
    <row r="902" spans="1:8" x14ac:dyDescent="0.25">
      <c r="A902" t="s">
        <v>1421</v>
      </c>
      <c r="B902">
        <v>27</v>
      </c>
      <c r="C902">
        <v>10.404</v>
      </c>
      <c r="D902" s="3">
        <v>10.4</v>
      </c>
      <c r="E902" t="s">
        <v>791</v>
      </c>
      <c r="F902">
        <v>2754700</v>
      </c>
      <c r="G902" s="1">
        <v>1.44E-2</v>
      </c>
      <c r="H902" s="1">
        <v>1.7899999999999999E-3</v>
      </c>
    </row>
    <row r="903" spans="1:8" x14ac:dyDescent="0.25">
      <c r="A903" t="s">
        <v>1421</v>
      </c>
      <c r="B903">
        <v>28</v>
      </c>
      <c r="C903">
        <v>10.502000000000001</v>
      </c>
      <c r="D903" s="3">
        <v>10.5</v>
      </c>
      <c r="E903" t="s">
        <v>792</v>
      </c>
      <c r="F903">
        <v>36542927</v>
      </c>
      <c r="G903" s="1">
        <v>0.19040000000000001</v>
      </c>
      <c r="H903" s="1">
        <v>2.3689999999999999E-2</v>
      </c>
    </row>
    <row r="904" spans="1:8" x14ac:dyDescent="0.25">
      <c r="A904" t="s">
        <v>1421</v>
      </c>
      <c r="B904">
        <v>29</v>
      </c>
      <c r="C904">
        <v>10.612</v>
      </c>
      <c r="D904" s="3">
        <v>10.61</v>
      </c>
      <c r="E904" t="s">
        <v>793</v>
      </c>
      <c r="F904">
        <v>141384389</v>
      </c>
      <c r="G904" s="1">
        <v>0.73680000000000001</v>
      </c>
      <c r="H904" s="1">
        <v>9.1660000000000005E-2</v>
      </c>
    </row>
    <row r="905" spans="1:8" x14ac:dyDescent="0.25">
      <c r="A905" t="s">
        <v>1421</v>
      </c>
      <c r="B905">
        <v>30</v>
      </c>
      <c r="C905">
        <v>10.906000000000001</v>
      </c>
      <c r="D905" s="3">
        <v>10.91</v>
      </c>
      <c r="E905" t="s">
        <v>794</v>
      </c>
      <c r="F905">
        <v>13925411</v>
      </c>
      <c r="G905" s="1">
        <v>7.2599999999999998E-2</v>
      </c>
      <c r="H905" s="1">
        <v>9.0299999999999998E-3</v>
      </c>
    </row>
    <row r="906" spans="1:8" x14ac:dyDescent="0.25">
      <c r="A906" t="s">
        <v>1421</v>
      </c>
      <c r="B906">
        <v>31</v>
      </c>
      <c r="C906">
        <v>11.02</v>
      </c>
      <c r="D906" s="3">
        <v>11.02</v>
      </c>
      <c r="E906" t="s">
        <v>795</v>
      </c>
      <c r="F906">
        <v>2071064</v>
      </c>
      <c r="G906" s="1">
        <v>1.0800000000000001E-2</v>
      </c>
      <c r="H906" s="1">
        <v>1.34E-3</v>
      </c>
    </row>
    <row r="907" spans="1:8" x14ac:dyDescent="0.25">
      <c r="A907" t="s">
        <v>1421</v>
      </c>
      <c r="B907">
        <v>32</v>
      </c>
      <c r="C907">
        <v>11.092000000000001</v>
      </c>
      <c r="D907" s="3">
        <v>11.09</v>
      </c>
      <c r="E907" t="s">
        <v>796</v>
      </c>
      <c r="F907">
        <v>10456944</v>
      </c>
      <c r="G907" s="1">
        <v>5.45E-2</v>
      </c>
      <c r="H907" s="1">
        <v>6.7799999999999996E-3</v>
      </c>
    </row>
    <row r="908" spans="1:8" x14ac:dyDescent="0.25">
      <c r="A908" t="s">
        <v>1421</v>
      </c>
      <c r="B908">
        <v>33</v>
      </c>
      <c r="C908">
        <v>11.135999999999999</v>
      </c>
      <c r="D908" s="3">
        <v>11.14</v>
      </c>
      <c r="E908" t="s">
        <v>797</v>
      </c>
      <c r="F908">
        <v>4811364</v>
      </c>
      <c r="G908" s="1">
        <v>2.5100000000000001E-2</v>
      </c>
      <c r="H908" s="1">
        <v>3.1199999999999999E-3</v>
      </c>
    </row>
    <row r="909" spans="1:8" x14ac:dyDescent="0.25">
      <c r="A909" t="s">
        <v>1421</v>
      </c>
      <c r="B909">
        <v>34</v>
      </c>
      <c r="C909">
        <v>11.217000000000001</v>
      </c>
      <c r="D909" s="3">
        <v>11.22</v>
      </c>
      <c r="E909" t="s">
        <v>798</v>
      </c>
      <c r="F909">
        <v>21314175</v>
      </c>
      <c r="G909" s="1">
        <v>0.1111</v>
      </c>
      <c r="H909" s="1">
        <v>1.3820000000000001E-2</v>
      </c>
    </row>
    <row r="910" spans="1:8" x14ac:dyDescent="0.25">
      <c r="A910" t="s">
        <v>1421</v>
      </c>
      <c r="B910">
        <v>35</v>
      </c>
      <c r="C910">
        <v>11.554</v>
      </c>
      <c r="D910" s="3">
        <v>11.55</v>
      </c>
      <c r="E910" t="s">
        <v>799</v>
      </c>
      <c r="F910">
        <v>6117469</v>
      </c>
      <c r="G910" s="1">
        <v>3.1899999999999998E-2</v>
      </c>
      <c r="H910" s="1">
        <v>3.9699999999999996E-3</v>
      </c>
    </row>
    <row r="911" spans="1:8" x14ac:dyDescent="0.25">
      <c r="A911" t="s">
        <v>1421</v>
      </c>
      <c r="B911">
        <v>36</v>
      </c>
      <c r="C911">
        <v>11.613</v>
      </c>
      <c r="D911" s="3">
        <v>11.61</v>
      </c>
      <c r="E911" t="s">
        <v>800</v>
      </c>
      <c r="F911">
        <v>14159713</v>
      </c>
      <c r="G911" s="1">
        <v>7.3800000000000004E-2</v>
      </c>
      <c r="H911" s="1">
        <v>9.1800000000000007E-3</v>
      </c>
    </row>
    <row r="912" spans="1:8" x14ac:dyDescent="0.25">
      <c r="A912" t="s">
        <v>1421</v>
      </c>
      <c r="B912">
        <v>37</v>
      </c>
      <c r="C912">
        <v>11.75</v>
      </c>
      <c r="D912" s="3">
        <v>11.75</v>
      </c>
      <c r="E912" t="s">
        <v>801</v>
      </c>
      <c r="F912">
        <v>7173668</v>
      </c>
      <c r="G912" s="1">
        <v>3.7400000000000003E-2</v>
      </c>
      <c r="H912" s="1">
        <v>4.6499999999999996E-3</v>
      </c>
    </row>
    <row r="913" spans="1:8" x14ac:dyDescent="0.25">
      <c r="A913" t="s">
        <v>1421</v>
      </c>
      <c r="B913">
        <v>38</v>
      </c>
      <c r="C913">
        <v>11.906000000000001</v>
      </c>
      <c r="D913" s="3">
        <v>11.91</v>
      </c>
      <c r="E913" t="s">
        <v>802</v>
      </c>
      <c r="F913">
        <v>7969526</v>
      </c>
      <c r="G913" s="1">
        <v>4.1500000000000002E-2</v>
      </c>
      <c r="H913" s="1">
        <v>5.1700000000000001E-3</v>
      </c>
    </row>
    <row r="914" spans="1:8" x14ac:dyDescent="0.25">
      <c r="A914" t="s">
        <v>1421</v>
      </c>
      <c r="B914">
        <v>39</v>
      </c>
      <c r="C914">
        <v>11.973000000000001</v>
      </c>
      <c r="D914" s="3">
        <v>11.97</v>
      </c>
      <c r="E914" t="s">
        <v>803</v>
      </c>
      <c r="F914">
        <v>6399032</v>
      </c>
      <c r="G914" s="1">
        <v>3.3300000000000003E-2</v>
      </c>
      <c r="H914" s="1">
        <v>4.15E-3</v>
      </c>
    </row>
    <row r="915" spans="1:8" x14ac:dyDescent="0.25">
      <c r="A915" t="s">
        <v>1421</v>
      </c>
      <c r="B915">
        <v>40</v>
      </c>
      <c r="C915">
        <v>12.132999999999999</v>
      </c>
      <c r="D915" s="3">
        <v>12.13</v>
      </c>
      <c r="E915" t="s">
        <v>804</v>
      </c>
      <c r="F915">
        <v>4924824</v>
      </c>
      <c r="G915" s="1">
        <v>2.5700000000000001E-2</v>
      </c>
      <c r="H915" s="1">
        <v>3.1900000000000001E-3</v>
      </c>
    </row>
    <row r="916" spans="1:8" x14ac:dyDescent="0.25">
      <c r="A916" t="s">
        <v>1421</v>
      </c>
      <c r="B916">
        <v>41</v>
      </c>
      <c r="C916">
        <v>12.225</v>
      </c>
      <c r="D916" s="3">
        <v>12.23</v>
      </c>
      <c r="E916" t="s">
        <v>805</v>
      </c>
      <c r="F916">
        <v>14491341</v>
      </c>
      <c r="G916" s="1">
        <v>7.5499999999999998E-2</v>
      </c>
      <c r="H916" s="1">
        <v>9.3900000000000008E-3</v>
      </c>
    </row>
    <row r="917" spans="1:8" x14ac:dyDescent="0.25">
      <c r="A917" t="s">
        <v>1421</v>
      </c>
      <c r="B917">
        <v>42</v>
      </c>
      <c r="C917">
        <v>12.339</v>
      </c>
      <c r="D917" s="3">
        <v>12.34</v>
      </c>
      <c r="E917" t="s">
        <v>806</v>
      </c>
      <c r="F917">
        <v>6379321</v>
      </c>
      <c r="G917" s="1">
        <v>3.32E-2</v>
      </c>
      <c r="H917" s="1">
        <v>4.1399999999999996E-3</v>
      </c>
    </row>
    <row r="918" spans="1:8" x14ac:dyDescent="0.25">
      <c r="A918" t="s">
        <v>1421</v>
      </c>
      <c r="B918">
        <v>43</v>
      </c>
      <c r="C918">
        <v>12.538</v>
      </c>
      <c r="D918" s="3">
        <v>12.54</v>
      </c>
      <c r="E918" t="s">
        <v>807</v>
      </c>
      <c r="F918">
        <v>9944781</v>
      </c>
      <c r="G918" s="1">
        <v>5.1799999999999999E-2</v>
      </c>
      <c r="H918" s="1">
        <v>6.45E-3</v>
      </c>
    </row>
    <row r="919" spans="1:8" x14ac:dyDescent="0.25">
      <c r="A919" t="s">
        <v>1421</v>
      </c>
      <c r="B919">
        <v>44</v>
      </c>
      <c r="C919">
        <v>12.621</v>
      </c>
      <c r="D919" s="3">
        <v>12.62</v>
      </c>
      <c r="E919" t="s">
        <v>808</v>
      </c>
      <c r="F919">
        <v>2533792</v>
      </c>
      <c r="G919" s="1">
        <v>1.32E-2</v>
      </c>
      <c r="H919" s="1">
        <v>1.64E-3</v>
      </c>
    </row>
    <row r="920" spans="1:8" x14ac:dyDescent="0.25">
      <c r="A920" t="s">
        <v>1421</v>
      </c>
      <c r="B920">
        <v>45</v>
      </c>
      <c r="C920">
        <v>12.7</v>
      </c>
      <c r="D920" s="3">
        <v>12.7</v>
      </c>
      <c r="E920" t="s">
        <v>809</v>
      </c>
      <c r="F920">
        <v>4586662</v>
      </c>
      <c r="G920" s="1">
        <v>2.3900000000000001E-2</v>
      </c>
      <c r="H920" s="1">
        <v>2.97E-3</v>
      </c>
    </row>
    <row r="921" spans="1:8" x14ac:dyDescent="0.25">
      <c r="A921" t="s">
        <v>1421</v>
      </c>
      <c r="B921">
        <v>46</v>
      </c>
      <c r="C921">
        <v>12.846</v>
      </c>
      <c r="D921" s="3">
        <v>12.85</v>
      </c>
      <c r="E921" t="s">
        <v>810</v>
      </c>
      <c r="F921">
        <v>117122497</v>
      </c>
      <c r="G921" s="1">
        <v>0.61040000000000005</v>
      </c>
      <c r="H921" s="1">
        <v>7.5929999999999997E-2</v>
      </c>
    </row>
    <row r="922" spans="1:8" x14ac:dyDescent="0.25">
      <c r="A922" t="s">
        <v>1421</v>
      </c>
      <c r="B922">
        <v>47</v>
      </c>
      <c r="C922">
        <v>13.141999999999999</v>
      </c>
      <c r="D922" s="3">
        <v>13.14</v>
      </c>
      <c r="E922" t="s">
        <v>811</v>
      </c>
      <c r="F922">
        <v>1736734</v>
      </c>
      <c r="G922" s="1">
        <v>9.1000000000000004E-3</v>
      </c>
      <c r="H922" s="1">
        <v>1.1299999999999999E-3</v>
      </c>
    </row>
    <row r="923" spans="1:8" x14ac:dyDescent="0.25">
      <c r="A923" t="s">
        <v>1421</v>
      </c>
      <c r="B923">
        <v>48</v>
      </c>
      <c r="C923">
        <v>13.227</v>
      </c>
      <c r="D923" s="3">
        <v>13.23</v>
      </c>
      <c r="E923" t="s">
        <v>812</v>
      </c>
      <c r="F923">
        <v>13908801</v>
      </c>
      <c r="G923" s="1">
        <v>7.2499999999999995E-2</v>
      </c>
      <c r="H923" s="1">
        <v>9.0200000000000002E-3</v>
      </c>
    </row>
    <row r="924" spans="1:8" x14ac:dyDescent="0.25">
      <c r="A924" t="s">
        <v>1421</v>
      </c>
      <c r="B924">
        <v>49</v>
      </c>
      <c r="C924">
        <v>13.397</v>
      </c>
      <c r="D924" s="3">
        <v>13.4</v>
      </c>
      <c r="E924" t="s">
        <v>813</v>
      </c>
      <c r="F924">
        <v>2281715</v>
      </c>
      <c r="G924" s="1">
        <v>1.1900000000000001E-2</v>
      </c>
      <c r="H924" s="1">
        <v>1.48E-3</v>
      </c>
    </row>
    <row r="925" spans="1:8" x14ac:dyDescent="0.25">
      <c r="A925" t="s">
        <v>1421</v>
      </c>
      <c r="B925">
        <v>50</v>
      </c>
      <c r="C925">
        <v>13.445</v>
      </c>
      <c r="D925" s="3">
        <v>13.45</v>
      </c>
      <c r="E925" t="s">
        <v>814</v>
      </c>
      <c r="F925">
        <v>1993241</v>
      </c>
      <c r="G925" s="1">
        <v>1.04E-2</v>
      </c>
      <c r="H925" s="1">
        <v>1.2899999999999999E-3</v>
      </c>
    </row>
    <row r="926" spans="1:8" x14ac:dyDescent="0.25">
      <c r="A926" t="s">
        <v>1421</v>
      </c>
      <c r="B926">
        <v>51</v>
      </c>
      <c r="C926">
        <v>13.557</v>
      </c>
      <c r="D926" s="3">
        <v>13.56</v>
      </c>
      <c r="E926" t="s">
        <v>815</v>
      </c>
      <c r="F926">
        <v>2016834</v>
      </c>
      <c r="G926" s="1">
        <v>1.0500000000000001E-2</v>
      </c>
      <c r="H926" s="1">
        <v>1.31E-3</v>
      </c>
    </row>
    <row r="927" spans="1:8" x14ac:dyDescent="0.25">
      <c r="A927" t="s">
        <v>1421</v>
      </c>
      <c r="B927">
        <v>52</v>
      </c>
      <c r="C927">
        <v>13.614000000000001</v>
      </c>
      <c r="D927" s="3">
        <v>13.61</v>
      </c>
      <c r="E927" t="s">
        <v>816</v>
      </c>
      <c r="F927">
        <v>1385670</v>
      </c>
      <c r="G927" s="1">
        <v>7.1999999999999998E-3</v>
      </c>
      <c r="H927" s="1">
        <v>8.9999999999999998E-4</v>
      </c>
    </row>
    <row r="928" spans="1:8" x14ac:dyDescent="0.25">
      <c r="A928" t="s">
        <v>1421</v>
      </c>
      <c r="B928">
        <v>53</v>
      </c>
      <c r="C928">
        <v>13.696</v>
      </c>
      <c r="D928" s="3">
        <v>13.7</v>
      </c>
      <c r="E928" t="s">
        <v>817</v>
      </c>
      <c r="F928">
        <v>1709554</v>
      </c>
      <c r="G928" s="1">
        <v>8.8999999999999999E-3</v>
      </c>
      <c r="H928" s="1">
        <v>1.1100000000000001E-3</v>
      </c>
    </row>
    <row r="929" spans="1:8" x14ac:dyDescent="0.25">
      <c r="A929" t="s">
        <v>1421</v>
      </c>
      <c r="B929">
        <v>54</v>
      </c>
      <c r="C929">
        <v>13.851000000000001</v>
      </c>
      <c r="D929" s="3">
        <v>13.85</v>
      </c>
      <c r="E929" t="s">
        <v>818</v>
      </c>
      <c r="F929">
        <v>1169250</v>
      </c>
      <c r="G929" s="1">
        <v>6.1000000000000004E-3</v>
      </c>
      <c r="H929" s="1">
        <v>7.6000000000000004E-4</v>
      </c>
    </row>
    <row r="930" spans="1:8" x14ac:dyDescent="0.25">
      <c r="A930" t="s">
        <v>1421</v>
      </c>
      <c r="B930">
        <v>55</v>
      </c>
      <c r="C930">
        <v>14.085000000000001</v>
      </c>
      <c r="D930" s="3">
        <v>14.09</v>
      </c>
      <c r="E930" t="s">
        <v>819</v>
      </c>
      <c r="F930">
        <v>4300977</v>
      </c>
      <c r="G930" s="1">
        <v>2.24E-2</v>
      </c>
      <c r="H930" s="1">
        <v>2.7899999999999999E-3</v>
      </c>
    </row>
    <row r="931" spans="1:8" x14ac:dyDescent="0.25">
      <c r="A931" t="s">
        <v>1421</v>
      </c>
      <c r="B931">
        <v>56</v>
      </c>
      <c r="C931">
        <v>14.420999999999999</v>
      </c>
      <c r="D931" s="3">
        <v>14.42</v>
      </c>
      <c r="E931" t="s">
        <v>820</v>
      </c>
      <c r="F931">
        <v>3083369</v>
      </c>
      <c r="G931" s="1">
        <v>1.61E-2</v>
      </c>
      <c r="H931" s="1">
        <v>2E-3</v>
      </c>
    </row>
    <row r="932" spans="1:8" x14ac:dyDescent="0.25">
      <c r="A932" t="s">
        <v>1421</v>
      </c>
      <c r="B932">
        <v>57</v>
      </c>
      <c r="C932">
        <v>14.541</v>
      </c>
      <c r="D932" s="3">
        <v>14.54</v>
      </c>
      <c r="E932" t="s">
        <v>821</v>
      </c>
      <c r="F932">
        <v>4636546</v>
      </c>
      <c r="G932" s="1">
        <v>2.4199999999999999E-2</v>
      </c>
      <c r="H932" s="1">
        <v>3.0100000000000001E-3</v>
      </c>
    </row>
    <row r="933" spans="1:8" x14ac:dyDescent="0.25">
      <c r="A933" t="s">
        <v>1421</v>
      </c>
      <c r="B933">
        <v>58</v>
      </c>
      <c r="C933">
        <v>14.692</v>
      </c>
      <c r="D933" s="3">
        <v>14.69</v>
      </c>
      <c r="E933" t="s">
        <v>822</v>
      </c>
      <c r="F933">
        <v>2476297</v>
      </c>
      <c r="G933" s="1">
        <v>1.29E-2</v>
      </c>
      <c r="H933" s="1">
        <v>1.6100000000000001E-3</v>
      </c>
    </row>
    <row r="934" spans="1:8" x14ac:dyDescent="0.25">
      <c r="A934" t="s">
        <v>1421</v>
      </c>
      <c r="B934">
        <v>59</v>
      </c>
      <c r="C934">
        <v>14.829000000000001</v>
      </c>
      <c r="D934" s="3">
        <v>14.83</v>
      </c>
      <c r="E934" t="s">
        <v>823</v>
      </c>
      <c r="F934">
        <v>3830060</v>
      </c>
      <c r="G934" s="1">
        <v>0.02</v>
      </c>
      <c r="H934" s="1">
        <v>2.48E-3</v>
      </c>
    </row>
    <row r="935" spans="1:8" x14ac:dyDescent="0.25">
      <c r="A935" t="s">
        <v>1421</v>
      </c>
      <c r="B935">
        <v>60</v>
      </c>
      <c r="C935">
        <v>15.028</v>
      </c>
      <c r="D935" s="3">
        <v>15.03</v>
      </c>
      <c r="E935" t="s">
        <v>824</v>
      </c>
      <c r="F935">
        <v>1552937</v>
      </c>
      <c r="G935" s="1">
        <v>8.0999999999999996E-3</v>
      </c>
      <c r="H935" s="1">
        <v>1.01E-3</v>
      </c>
    </row>
    <row r="936" spans="1:8" x14ac:dyDescent="0.25">
      <c r="A936" t="s">
        <v>1421</v>
      </c>
      <c r="B936">
        <v>61</v>
      </c>
      <c r="C936">
        <v>15.14</v>
      </c>
      <c r="D936" s="3">
        <v>15.14</v>
      </c>
      <c r="E936" t="s">
        <v>825</v>
      </c>
      <c r="F936">
        <v>1623878</v>
      </c>
      <c r="G936" s="1">
        <v>8.5000000000000006E-3</v>
      </c>
      <c r="H936" s="1">
        <v>1.0499999999999999E-3</v>
      </c>
    </row>
    <row r="937" spans="1:8" x14ac:dyDescent="0.25">
      <c r="A937" t="s">
        <v>1421</v>
      </c>
      <c r="B937">
        <v>62</v>
      </c>
      <c r="C937">
        <v>15.269</v>
      </c>
      <c r="D937" s="3">
        <v>15.27</v>
      </c>
      <c r="E937" t="s">
        <v>826</v>
      </c>
      <c r="F937">
        <v>1401296</v>
      </c>
      <c r="G937" s="1">
        <v>7.3000000000000001E-3</v>
      </c>
      <c r="H937" s="1">
        <v>9.1E-4</v>
      </c>
    </row>
    <row r="938" spans="1:8" x14ac:dyDescent="0.25">
      <c r="A938" t="s">
        <v>1421</v>
      </c>
      <c r="B938">
        <v>63</v>
      </c>
      <c r="C938">
        <v>15.34</v>
      </c>
      <c r="D938" s="3">
        <v>15.34</v>
      </c>
      <c r="E938" t="s">
        <v>827</v>
      </c>
      <c r="F938">
        <v>5167071</v>
      </c>
      <c r="G938" s="1">
        <v>2.69E-2</v>
      </c>
      <c r="H938" s="1">
        <v>3.3500000000000001E-3</v>
      </c>
    </row>
    <row r="939" spans="1:8" x14ac:dyDescent="0.25">
      <c r="A939" t="s">
        <v>1421</v>
      </c>
      <c r="B939">
        <v>64</v>
      </c>
      <c r="C939">
        <v>15.416</v>
      </c>
      <c r="D939" s="3">
        <v>15.42</v>
      </c>
      <c r="E939" t="s">
        <v>828</v>
      </c>
      <c r="F939">
        <v>1351467</v>
      </c>
      <c r="G939" s="1">
        <v>7.0000000000000001E-3</v>
      </c>
      <c r="H939" s="1">
        <v>8.8000000000000003E-4</v>
      </c>
    </row>
    <row r="940" spans="1:8" x14ac:dyDescent="0.25">
      <c r="A940" t="s">
        <v>1421</v>
      </c>
      <c r="B940">
        <v>65</v>
      </c>
      <c r="C940">
        <v>15.52</v>
      </c>
      <c r="D940" s="3">
        <v>15.52</v>
      </c>
      <c r="E940" t="s">
        <v>829</v>
      </c>
      <c r="F940">
        <v>9099165</v>
      </c>
      <c r="G940" s="1">
        <v>4.7399999999999998E-2</v>
      </c>
      <c r="H940" s="1">
        <v>5.8999999999999999E-3</v>
      </c>
    </row>
    <row r="941" spans="1:8" x14ac:dyDescent="0.25">
      <c r="A941" t="s">
        <v>1421</v>
      </c>
      <c r="B941">
        <v>66</v>
      </c>
      <c r="C941">
        <v>15.712999999999999</v>
      </c>
      <c r="D941" s="3">
        <v>15.71</v>
      </c>
      <c r="E941" t="s">
        <v>830</v>
      </c>
      <c r="F941">
        <v>2236827</v>
      </c>
      <c r="G941" s="1">
        <v>1.17E-2</v>
      </c>
      <c r="H941" s="1">
        <v>1.4499999999999999E-3</v>
      </c>
    </row>
    <row r="942" spans="1:8" x14ac:dyDescent="0.25">
      <c r="A942" t="s">
        <v>1421</v>
      </c>
      <c r="B942">
        <v>67</v>
      </c>
      <c r="C942">
        <v>15.875999999999999</v>
      </c>
      <c r="D942" s="3">
        <v>15.88</v>
      </c>
      <c r="E942" t="s">
        <v>831</v>
      </c>
      <c r="F942">
        <v>12432583</v>
      </c>
      <c r="G942" s="1">
        <v>6.4799999999999996E-2</v>
      </c>
      <c r="H942" s="1">
        <v>8.0599999999999995E-3</v>
      </c>
    </row>
    <row r="943" spans="1:8" x14ac:dyDescent="0.25">
      <c r="A943" t="s">
        <v>1421</v>
      </c>
      <c r="B943">
        <v>68</v>
      </c>
      <c r="C943">
        <v>16.11</v>
      </c>
      <c r="D943" s="3">
        <v>16.11</v>
      </c>
      <c r="E943" t="s">
        <v>832</v>
      </c>
      <c r="F943">
        <v>1232909</v>
      </c>
      <c r="G943" s="1">
        <v>6.4000000000000003E-3</v>
      </c>
      <c r="H943" s="1">
        <v>8.0000000000000004E-4</v>
      </c>
    </row>
    <row r="944" spans="1:8" x14ac:dyDescent="0.25">
      <c r="A944" t="s">
        <v>1421</v>
      </c>
      <c r="B944">
        <v>69</v>
      </c>
      <c r="C944">
        <v>16.661999999999999</v>
      </c>
      <c r="D944" s="3">
        <v>16.66</v>
      </c>
      <c r="E944" t="s">
        <v>833</v>
      </c>
      <c r="F944">
        <v>4032844</v>
      </c>
      <c r="G944" s="1">
        <v>2.1000000000000001E-2</v>
      </c>
      <c r="H944" s="1">
        <v>2.6099999999999999E-3</v>
      </c>
    </row>
    <row r="945" spans="1:8" x14ac:dyDescent="0.25">
      <c r="A945" t="s">
        <v>1421</v>
      </c>
      <c r="B945">
        <v>70</v>
      </c>
      <c r="C945">
        <v>16.763000000000002</v>
      </c>
      <c r="D945" s="3">
        <v>16.760000000000002</v>
      </c>
      <c r="E945" t="s">
        <v>834</v>
      </c>
      <c r="F945">
        <v>20197785</v>
      </c>
      <c r="G945" s="1">
        <v>0.1053</v>
      </c>
      <c r="H945" s="1">
        <v>1.3089999999999999E-2</v>
      </c>
    </row>
    <row r="946" spans="1:8" x14ac:dyDescent="0.25">
      <c r="A946" t="s">
        <v>1421</v>
      </c>
      <c r="B946">
        <v>71</v>
      </c>
      <c r="C946">
        <v>17.059999999999999</v>
      </c>
      <c r="D946" s="3">
        <v>17.059999999999999</v>
      </c>
      <c r="E946" t="s">
        <v>835</v>
      </c>
      <c r="F946">
        <v>86174175</v>
      </c>
      <c r="G946" s="1">
        <v>0.4491</v>
      </c>
      <c r="H946" s="1">
        <v>5.5870000000000003E-2</v>
      </c>
    </row>
    <row r="947" spans="1:8" x14ac:dyDescent="0.25">
      <c r="A947" t="s">
        <v>1421</v>
      </c>
      <c r="B947">
        <v>72</v>
      </c>
      <c r="C947">
        <v>17.291</v>
      </c>
      <c r="D947" s="3">
        <v>17.29</v>
      </c>
      <c r="E947" t="s">
        <v>836</v>
      </c>
      <c r="F947">
        <v>1874063</v>
      </c>
      <c r="G947" s="1">
        <v>9.7999999999999997E-3</v>
      </c>
      <c r="H947" s="1">
        <v>1.2099999999999999E-3</v>
      </c>
    </row>
    <row r="948" spans="1:8" x14ac:dyDescent="0.25">
      <c r="A948" t="s">
        <v>1421</v>
      </c>
      <c r="B948">
        <v>73</v>
      </c>
      <c r="C948">
        <v>17.373000000000001</v>
      </c>
      <c r="D948" s="3">
        <v>17.37</v>
      </c>
      <c r="E948" t="s">
        <v>837</v>
      </c>
      <c r="F948">
        <v>1203143</v>
      </c>
      <c r="G948" s="1">
        <v>6.3E-3</v>
      </c>
      <c r="H948" s="1">
        <v>7.7999999999999999E-4</v>
      </c>
    </row>
    <row r="949" spans="1:8" x14ac:dyDescent="0.25">
      <c r="A949" t="s">
        <v>1421</v>
      </c>
      <c r="B949">
        <v>74</v>
      </c>
      <c r="C949">
        <v>17.457000000000001</v>
      </c>
      <c r="D949" s="3">
        <v>17.46</v>
      </c>
      <c r="E949" t="s">
        <v>838</v>
      </c>
      <c r="F949">
        <v>6491908</v>
      </c>
      <c r="G949" s="1">
        <v>3.3799999999999997E-2</v>
      </c>
      <c r="H949" s="1">
        <v>4.2100000000000002E-3</v>
      </c>
    </row>
    <row r="950" spans="1:8" x14ac:dyDescent="0.25">
      <c r="A950" t="s">
        <v>1421</v>
      </c>
      <c r="B950">
        <v>75</v>
      </c>
      <c r="C950">
        <v>17.552</v>
      </c>
      <c r="D950" s="3">
        <v>17.55</v>
      </c>
      <c r="E950" t="s">
        <v>839</v>
      </c>
      <c r="F950">
        <v>1504857</v>
      </c>
      <c r="G950" s="1">
        <v>7.7999999999999996E-3</v>
      </c>
      <c r="H950" s="1">
        <v>9.7999999999999997E-4</v>
      </c>
    </row>
    <row r="951" spans="1:8" x14ac:dyDescent="0.25">
      <c r="A951" t="s">
        <v>1421</v>
      </c>
      <c r="B951">
        <v>76</v>
      </c>
      <c r="C951">
        <v>17.716000000000001</v>
      </c>
      <c r="D951" s="3">
        <v>17.72</v>
      </c>
      <c r="E951" t="s">
        <v>840</v>
      </c>
      <c r="F951">
        <v>2159221</v>
      </c>
      <c r="G951" s="1">
        <v>1.1299999999999999E-2</v>
      </c>
      <c r="H951" s="1">
        <v>1.4E-3</v>
      </c>
    </row>
    <row r="952" spans="1:8" x14ac:dyDescent="0.25">
      <c r="A952" t="s">
        <v>1421</v>
      </c>
      <c r="B952">
        <v>77</v>
      </c>
      <c r="C952">
        <v>17.803999999999998</v>
      </c>
      <c r="D952" s="3">
        <v>17.8</v>
      </c>
      <c r="E952" t="s">
        <v>841</v>
      </c>
      <c r="F952">
        <v>1293469</v>
      </c>
      <c r="G952" s="1">
        <v>6.7000000000000002E-3</v>
      </c>
      <c r="H952" s="1">
        <v>8.4000000000000003E-4</v>
      </c>
    </row>
    <row r="953" spans="1:8" x14ac:dyDescent="0.25">
      <c r="A953" t="s">
        <v>1421</v>
      </c>
      <c r="B953">
        <v>78</v>
      </c>
      <c r="C953">
        <v>18.305</v>
      </c>
      <c r="D953" s="3">
        <v>18.309999999999999</v>
      </c>
      <c r="E953" t="s">
        <v>842</v>
      </c>
      <c r="F953">
        <v>1525160</v>
      </c>
      <c r="G953" s="1">
        <v>7.9000000000000008E-3</v>
      </c>
      <c r="H953" s="1">
        <v>9.8999999999999999E-4</v>
      </c>
    </row>
    <row r="954" spans="1:8" x14ac:dyDescent="0.25">
      <c r="A954" t="s">
        <v>1421</v>
      </c>
      <c r="B954">
        <v>79</v>
      </c>
      <c r="C954">
        <v>18.468</v>
      </c>
      <c r="D954" s="3">
        <v>18.47</v>
      </c>
      <c r="E954" t="s">
        <v>843</v>
      </c>
      <c r="F954">
        <v>1379752</v>
      </c>
      <c r="G954" s="1">
        <v>7.1999999999999998E-3</v>
      </c>
      <c r="H954" s="1">
        <v>8.8999999999999995E-4</v>
      </c>
    </row>
    <row r="955" spans="1:8" x14ac:dyDescent="0.25">
      <c r="A955" t="s">
        <v>1421</v>
      </c>
      <c r="B955">
        <v>80</v>
      </c>
      <c r="C955">
        <v>18.739000000000001</v>
      </c>
      <c r="D955" s="3">
        <v>18.739999999999998</v>
      </c>
      <c r="E955" t="s">
        <v>844</v>
      </c>
      <c r="F955">
        <v>2553126</v>
      </c>
      <c r="G955" s="1">
        <v>1.3299999999999999E-2</v>
      </c>
      <c r="H955" s="1">
        <v>1.66E-3</v>
      </c>
    </row>
    <row r="956" spans="1:8" x14ac:dyDescent="0.25">
      <c r="A956" t="s">
        <v>1421</v>
      </c>
      <c r="B956">
        <v>81</v>
      </c>
      <c r="C956">
        <v>18.841999999999999</v>
      </c>
      <c r="D956" s="3">
        <v>18.84</v>
      </c>
      <c r="E956" t="s">
        <v>845</v>
      </c>
      <c r="F956">
        <v>5244805</v>
      </c>
      <c r="G956" s="1">
        <v>2.7300000000000001E-2</v>
      </c>
      <c r="H956" s="1">
        <v>3.3999999999999998E-3</v>
      </c>
    </row>
    <row r="957" spans="1:8" x14ac:dyDescent="0.25">
      <c r="A957" t="s">
        <v>1421</v>
      </c>
      <c r="B957">
        <v>82</v>
      </c>
      <c r="C957">
        <v>19.209</v>
      </c>
      <c r="D957" s="3">
        <v>19.21</v>
      </c>
      <c r="E957" t="s">
        <v>846</v>
      </c>
      <c r="F957">
        <v>1583714</v>
      </c>
      <c r="G957" s="1">
        <v>8.3000000000000001E-3</v>
      </c>
      <c r="H957" s="1">
        <v>1.0300000000000001E-3</v>
      </c>
    </row>
    <row r="958" spans="1:8" x14ac:dyDescent="0.25">
      <c r="A958" t="s">
        <v>1421</v>
      </c>
      <c r="B958">
        <v>83</v>
      </c>
      <c r="C958">
        <v>20.233000000000001</v>
      </c>
      <c r="D958" s="3">
        <v>20.23</v>
      </c>
      <c r="E958" t="s">
        <v>847</v>
      </c>
      <c r="F958">
        <v>1656926</v>
      </c>
      <c r="G958" s="1">
        <v>8.6E-3</v>
      </c>
      <c r="H958" s="1">
        <v>1.07E-3</v>
      </c>
    </row>
    <row r="959" spans="1:8" x14ac:dyDescent="0.25">
      <c r="A959" t="s">
        <v>1421</v>
      </c>
      <c r="B959">
        <v>84</v>
      </c>
      <c r="C959">
        <v>20.968</v>
      </c>
      <c r="D959" s="3">
        <v>20.97</v>
      </c>
      <c r="E959" t="s">
        <v>848</v>
      </c>
      <c r="F959">
        <v>2182582</v>
      </c>
      <c r="G959" s="1">
        <v>1.14E-2</v>
      </c>
      <c r="H959" s="1">
        <v>1.41E-3</v>
      </c>
    </row>
    <row r="960" spans="1:8" x14ac:dyDescent="0.25">
      <c r="A960" t="s">
        <v>1421</v>
      </c>
      <c r="B960">
        <v>85</v>
      </c>
      <c r="C960">
        <v>21.173999999999999</v>
      </c>
      <c r="D960" s="3">
        <v>21.17</v>
      </c>
      <c r="E960" t="s">
        <v>849</v>
      </c>
      <c r="F960">
        <v>1141088</v>
      </c>
      <c r="G960" s="1">
        <v>5.8999999999999999E-3</v>
      </c>
      <c r="H960" s="1">
        <v>7.3999999999999999E-4</v>
      </c>
    </row>
    <row r="961" spans="1:8" x14ac:dyDescent="0.25">
      <c r="A961" t="s">
        <v>1421</v>
      </c>
      <c r="B961">
        <v>86</v>
      </c>
      <c r="C961">
        <v>21.402999999999999</v>
      </c>
      <c r="D961" s="3">
        <v>21.4</v>
      </c>
      <c r="E961" t="s">
        <v>850</v>
      </c>
      <c r="F961">
        <v>1158788</v>
      </c>
      <c r="G961" s="1">
        <v>6.0000000000000001E-3</v>
      </c>
      <c r="H961" s="1">
        <v>7.5000000000000002E-4</v>
      </c>
    </row>
    <row r="962" spans="1:8" x14ac:dyDescent="0.25">
      <c r="A962" t="s">
        <v>1421</v>
      </c>
      <c r="B962">
        <v>87</v>
      </c>
      <c r="C962">
        <v>21.690999999999999</v>
      </c>
      <c r="D962" s="3">
        <v>21.69</v>
      </c>
      <c r="E962" t="s">
        <v>851</v>
      </c>
      <c r="F962">
        <v>4263251</v>
      </c>
      <c r="G962" s="1">
        <v>2.2200000000000001E-2</v>
      </c>
      <c r="H962" s="1">
        <v>2.7599999999999999E-3</v>
      </c>
    </row>
    <row r="963" spans="1:8" x14ac:dyDescent="0.25">
      <c r="A963" t="s">
        <v>1421</v>
      </c>
      <c r="B963">
        <v>88</v>
      </c>
      <c r="C963">
        <v>22.513000000000002</v>
      </c>
      <c r="D963" s="3">
        <v>22.51</v>
      </c>
      <c r="E963" t="s">
        <v>852</v>
      </c>
      <c r="F963">
        <v>1150223</v>
      </c>
      <c r="G963" s="1">
        <v>6.0000000000000001E-3</v>
      </c>
      <c r="H963" s="1">
        <v>7.5000000000000002E-4</v>
      </c>
    </row>
    <row r="964" spans="1:8" x14ac:dyDescent="0.25">
      <c r="A964" t="s">
        <v>1421</v>
      </c>
      <c r="B964">
        <v>89</v>
      </c>
      <c r="C964">
        <v>23.477</v>
      </c>
      <c r="D964" s="3">
        <v>23.48</v>
      </c>
      <c r="E964" t="s">
        <v>853</v>
      </c>
      <c r="F964">
        <v>2961592</v>
      </c>
      <c r="G964" s="1">
        <v>1.54E-2</v>
      </c>
      <c r="H964" s="1">
        <v>1.92E-3</v>
      </c>
    </row>
    <row r="965" spans="1:8" x14ac:dyDescent="0.25">
      <c r="A965" t="s">
        <v>1421</v>
      </c>
      <c r="B965">
        <v>90</v>
      </c>
      <c r="C965">
        <v>23.66</v>
      </c>
      <c r="D965" s="3">
        <v>23.66</v>
      </c>
      <c r="E965" t="s">
        <v>854</v>
      </c>
      <c r="F965">
        <v>1621362</v>
      </c>
      <c r="G965" s="1">
        <v>8.3999999999999995E-3</v>
      </c>
      <c r="H965" s="1">
        <v>1.0499999999999999E-3</v>
      </c>
    </row>
    <row r="966" spans="1:8" x14ac:dyDescent="0.25">
      <c r="A966" t="s">
        <v>1421</v>
      </c>
      <c r="B966">
        <v>91</v>
      </c>
      <c r="C966">
        <v>23.925000000000001</v>
      </c>
      <c r="D966" s="3">
        <v>23.93</v>
      </c>
      <c r="E966" t="s">
        <v>855</v>
      </c>
      <c r="F966">
        <v>1303632</v>
      </c>
      <c r="G966" s="1">
        <v>6.7999999999999996E-3</v>
      </c>
      <c r="H966" s="1">
        <v>8.4999999999999995E-4</v>
      </c>
    </row>
    <row r="967" spans="1:8" x14ac:dyDescent="0.25">
      <c r="A967" t="s">
        <v>1421</v>
      </c>
      <c r="B967">
        <v>92</v>
      </c>
      <c r="C967">
        <v>24.041</v>
      </c>
      <c r="D967" s="3">
        <v>24.04</v>
      </c>
      <c r="E967" t="s">
        <v>856</v>
      </c>
      <c r="F967">
        <v>1530975</v>
      </c>
      <c r="G967" s="1">
        <v>8.0000000000000002E-3</v>
      </c>
      <c r="H967" s="1">
        <v>9.8999999999999999E-4</v>
      </c>
    </row>
    <row r="968" spans="1:8" x14ac:dyDescent="0.25">
      <c r="A968" t="s">
        <v>1421</v>
      </c>
      <c r="B968">
        <v>93</v>
      </c>
      <c r="C968">
        <v>24.260999999999999</v>
      </c>
      <c r="D968" s="3">
        <v>24.26</v>
      </c>
      <c r="E968" t="s">
        <v>857</v>
      </c>
      <c r="F968">
        <v>1720705</v>
      </c>
      <c r="G968" s="1">
        <v>8.9999999999999993E-3</v>
      </c>
      <c r="H968" s="1">
        <v>1.1199999999999999E-3</v>
      </c>
    </row>
    <row r="969" spans="1:8" x14ac:dyDescent="0.25">
      <c r="A969" t="s">
        <v>1421</v>
      </c>
      <c r="B969">
        <v>94</v>
      </c>
      <c r="C969">
        <v>25.76</v>
      </c>
      <c r="D969" s="3">
        <v>25.76</v>
      </c>
      <c r="E969" t="s">
        <v>858</v>
      </c>
      <c r="F969">
        <v>1629273</v>
      </c>
      <c r="G969" s="1">
        <v>8.5000000000000006E-3</v>
      </c>
      <c r="H969" s="1">
        <v>1.06E-3</v>
      </c>
    </row>
    <row r="970" spans="1:8" x14ac:dyDescent="0.25">
      <c r="A970" t="s">
        <v>1421</v>
      </c>
      <c r="B970">
        <v>95</v>
      </c>
      <c r="C970">
        <v>25.92</v>
      </c>
      <c r="D970" s="3">
        <v>25.92</v>
      </c>
      <c r="E970" t="s">
        <v>859</v>
      </c>
      <c r="F970">
        <v>1210558</v>
      </c>
      <c r="G970" s="1">
        <v>6.3E-3</v>
      </c>
      <c r="H970" s="1">
        <v>7.7999999999999999E-4</v>
      </c>
    </row>
    <row r="971" spans="1:8" x14ac:dyDescent="0.25">
      <c r="A971" t="s">
        <v>1421</v>
      </c>
      <c r="B971">
        <v>96</v>
      </c>
      <c r="C971">
        <v>27.504999999999999</v>
      </c>
      <c r="D971" s="3">
        <v>27.51</v>
      </c>
      <c r="E971" t="s">
        <v>860</v>
      </c>
      <c r="F971">
        <v>1537667</v>
      </c>
      <c r="G971" s="1">
        <v>8.0000000000000002E-3</v>
      </c>
      <c r="H971" s="1">
        <v>1E-3</v>
      </c>
    </row>
    <row r="972" spans="1:8" x14ac:dyDescent="0.25">
      <c r="A972" t="s">
        <v>1421</v>
      </c>
      <c r="B972">
        <v>97</v>
      </c>
      <c r="C972">
        <v>27.664000000000001</v>
      </c>
      <c r="D972" s="3">
        <v>27.66</v>
      </c>
      <c r="E972" t="s">
        <v>861</v>
      </c>
      <c r="F972">
        <v>1108942</v>
      </c>
      <c r="G972" s="1">
        <v>5.7999999999999996E-3</v>
      </c>
      <c r="H972" s="1">
        <v>7.2000000000000005E-4</v>
      </c>
    </row>
    <row r="973" spans="1:8" x14ac:dyDescent="0.25">
      <c r="A973" t="s">
        <v>1421</v>
      </c>
      <c r="B973">
        <v>98</v>
      </c>
      <c r="C973">
        <v>27.97</v>
      </c>
      <c r="D973" s="3">
        <v>27.97</v>
      </c>
      <c r="E973" t="s">
        <v>862</v>
      </c>
      <c r="F973">
        <v>4954557</v>
      </c>
      <c r="G973" s="1">
        <v>2.58E-2</v>
      </c>
      <c r="H973" s="1">
        <v>3.2100000000000002E-3</v>
      </c>
    </row>
    <row r="974" spans="1:8" x14ac:dyDescent="0.25">
      <c r="A974" t="s">
        <v>1421</v>
      </c>
      <c r="B974">
        <v>99</v>
      </c>
      <c r="C974">
        <v>28.481999999999999</v>
      </c>
      <c r="D974" s="3">
        <v>28.48</v>
      </c>
      <c r="E974">
        <v>2765743</v>
      </c>
      <c r="F974">
        <v>35066613</v>
      </c>
      <c r="G974" s="1">
        <v>0.1827</v>
      </c>
      <c r="H974" s="1">
        <v>2.273E-2</v>
      </c>
    </row>
    <row r="975" spans="1:8" x14ac:dyDescent="0.25">
      <c r="A975" t="s">
        <v>1421</v>
      </c>
      <c r="B975">
        <v>100</v>
      </c>
      <c r="C975">
        <v>28.532</v>
      </c>
      <c r="D975" s="3">
        <v>28.53</v>
      </c>
      <c r="E975" t="s">
        <v>863</v>
      </c>
      <c r="F975">
        <v>5226222</v>
      </c>
      <c r="G975" s="1">
        <v>2.7199999999999998E-2</v>
      </c>
      <c r="H975" s="1">
        <v>3.3899999999999998E-3</v>
      </c>
    </row>
    <row r="976" spans="1:8" x14ac:dyDescent="0.25">
      <c r="A976" t="s">
        <v>1421</v>
      </c>
      <c r="B976">
        <v>101</v>
      </c>
      <c r="C976">
        <v>28.588000000000001</v>
      </c>
      <c r="D976" s="3">
        <v>28.59</v>
      </c>
      <c r="E976" t="s">
        <v>864</v>
      </c>
      <c r="F976">
        <v>3588478</v>
      </c>
      <c r="G976" s="1">
        <v>1.8700000000000001E-2</v>
      </c>
      <c r="H976" s="1">
        <v>2.33E-3</v>
      </c>
    </row>
    <row r="977" spans="1:8" x14ac:dyDescent="0.25">
      <c r="A977" t="s">
        <v>1421</v>
      </c>
      <c r="B977">
        <v>102</v>
      </c>
      <c r="C977">
        <v>28.731999999999999</v>
      </c>
      <c r="D977" s="3">
        <v>28.73</v>
      </c>
      <c r="E977" t="s">
        <v>865</v>
      </c>
      <c r="F977">
        <v>4515438</v>
      </c>
      <c r="G977" s="1">
        <v>2.35E-2</v>
      </c>
      <c r="H977" s="1">
        <v>2.9299999999999999E-3</v>
      </c>
    </row>
    <row r="978" spans="1:8" x14ac:dyDescent="0.25">
      <c r="A978" t="s">
        <v>1421</v>
      </c>
      <c r="B978">
        <v>103</v>
      </c>
      <c r="C978">
        <v>28.890999999999998</v>
      </c>
      <c r="D978" s="3">
        <v>28.89</v>
      </c>
      <c r="E978">
        <v>1018028</v>
      </c>
      <c r="F978">
        <v>12088077</v>
      </c>
      <c r="G978" s="1">
        <v>6.3E-2</v>
      </c>
      <c r="H978" s="1">
        <v>7.8399999999999997E-3</v>
      </c>
    </row>
    <row r="979" spans="1:8" x14ac:dyDescent="0.25">
      <c r="A979" t="s">
        <v>1421</v>
      </c>
      <c r="B979">
        <v>104</v>
      </c>
      <c r="C979">
        <v>29.048999999999999</v>
      </c>
      <c r="D979" s="3">
        <v>29.05</v>
      </c>
      <c r="E979">
        <v>9736493</v>
      </c>
      <c r="F979">
        <v>116759253</v>
      </c>
      <c r="G979" s="1">
        <v>0.60850000000000004</v>
      </c>
      <c r="H979" s="1">
        <v>7.5700000000000003E-2</v>
      </c>
    </row>
    <row r="980" spans="1:8" x14ac:dyDescent="0.25">
      <c r="A980" t="s">
        <v>1421</v>
      </c>
      <c r="B980">
        <v>105</v>
      </c>
      <c r="C980">
        <v>29.231000000000002</v>
      </c>
      <c r="D980" s="3">
        <v>29.23</v>
      </c>
      <c r="E980">
        <v>93269</v>
      </c>
      <c r="F980">
        <v>2299273</v>
      </c>
      <c r="G980" s="1">
        <v>1.2E-2</v>
      </c>
      <c r="H980" s="1">
        <v>1.49E-3</v>
      </c>
    </row>
    <row r="981" spans="1:8" x14ac:dyDescent="0.25">
      <c r="A981" t="s">
        <v>1421</v>
      </c>
      <c r="B981">
        <v>106</v>
      </c>
      <c r="C981">
        <v>29.42</v>
      </c>
      <c r="D981" s="3">
        <v>29.42</v>
      </c>
      <c r="E981">
        <v>102987</v>
      </c>
      <c r="F981">
        <v>3100563</v>
      </c>
      <c r="G981" s="1">
        <v>1.6199999999999999E-2</v>
      </c>
      <c r="H981" s="1">
        <v>2.0100000000000001E-3</v>
      </c>
    </row>
    <row r="982" spans="1:8" x14ac:dyDescent="0.25">
      <c r="A982" t="s">
        <v>1421</v>
      </c>
      <c r="B982">
        <v>107</v>
      </c>
      <c r="C982">
        <v>29.459</v>
      </c>
      <c r="D982" s="3">
        <v>29.46</v>
      </c>
      <c r="E982" t="s">
        <v>866</v>
      </c>
      <c r="F982">
        <v>3054939</v>
      </c>
      <c r="G982" s="1">
        <v>1.5900000000000001E-2</v>
      </c>
      <c r="H982" s="1">
        <v>1.98E-3</v>
      </c>
    </row>
    <row r="983" spans="1:8" x14ac:dyDescent="0.25">
      <c r="A983" t="s">
        <v>1421</v>
      </c>
      <c r="B983">
        <v>108</v>
      </c>
      <c r="C983">
        <v>29.533000000000001</v>
      </c>
      <c r="D983" s="3">
        <v>29.53</v>
      </c>
      <c r="E983" t="s">
        <v>867</v>
      </c>
      <c r="F983">
        <v>1521883</v>
      </c>
      <c r="G983" s="1">
        <v>7.9000000000000008E-3</v>
      </c>
      <c r="H983" s="1">
        <v>9.8999999999999999E-4</v>
      </c>
    </row>
    <row r="984" spans="1:8" x14ac:dyDescent="0.25">
      <c r="A984" t="s">
        <v>1421</v>
      </c>
      <c r="B984">
        <v>109</v>
      </c>
      <c r="C984">
        <v>29.74</v>
      </c>
      <c r="D984" s="3">
        <v>29.74</v>
      </c>
      <c r="E984">
        <v>1567914</v>
      </c>
      <c r="F984">
        <v>16923277</v>
      </c>
      <c r="G984" s="1">
        <v>8.8200000000000001E-2</v>
      </c>
      <c r="H984" s="1">
        <v>1.0970000000000001E-2</v>
      </c>
    </row>
    <row r="985" spans="1:8" x14ac:dyDescent="0.25">
      <c r="A985" t="s">
        <v>1421</v>
      </c>
      <c r="B985">
        <v>110</v>
      </c>
      <c r="C985">
        <v>29.837</v>
      </c>
      <c r="D985" s="3">
        <v>29.84</v>
      </c>
      <c r="E985" t="s">
        <v>868</v>
      </c>
      <c r="F985">
        <v>12228153</v>
      </c>
      <c r="G985" s="1">
        <v>6.3700000000000007E-2</v>
      </c>
      <c r="H985" s="1">
        <v>7.9299999999999995E-3</v>
      </c>
    </row>
    <row r="986" spans="1:8" x14ac:dyDescent="0.25">
      <c r="A986" t="s">
        <v>1421</v>
      </c>
      <c r="B986">
        <v>111</v>
      </c>
      <c r="C986">
        <v>29.870999999999999</v>
      </c>
      <c r="D986" s="3">
        <v>29.87</v>
      </c>
      <c r="E986" t="s">
        <v>869</v>
      </c>
      <c r="F986">
        <v>5878166</v>
      </c>
      <c r="G986" s="1">
        <v>3.0599999999999999E-2</v>
      </c>
      <c r="H986" s="1">
        <v>3.81E-3</v>
      </c>
    </row>
    <row r="987" spans="1:8" x14ac:dyDescent="0.25">
      <c r="A987" t="s">
        <v>1421</v>
      </c>
      <c r="B987">
        <v>112</v>
      </c>
      <c r="C987">
        <v>30.012</v>
      </c>
      <c r="D987" s="3">
        <v>30.01</v>
      </c>
      <c r="E987">
        <v>148774</v>
      </c>
      <c r="F987">
        <v>2048011</v>
      </c>
      <c r="G987" s="1">
        <v>1.0699999999999999E-2</v>
      </c>
      <c r="H987" s="1">
        <v>1.33E-3</v>
      </c>
    </row>
    <row r="988" spans="1:8" x14ac:dyDescent="0.25">
      <c r="A988" t="s">
        <v>1421</v>
      </c>
      <c r="B988">
        <v>113</v>
      </c>
      <c r="C988">
        <v>30.175000000000001</v>
      </c>
      <c r="D988" s="3">
        <v>30.18</v>
      </c>
      <c r="E988" t="s">
        <v>870</v>
      </c>
      <c r="F988">
        <v>3884930</v>
      </c>
      <c r="G988" s="1">
        <v>2.0199999999999999E-2</v>
      </c>
      <c r="H988" s="1">
        <v>2.5200000000000001E-3</v>
      </c>
    </row>
    <row r="989" spans="1:8" x14ac:dyDescent="0.25">
      <c r="A989" t="s">
        <v>1421</v>
      </c>
      <c r="B989">
        <v>114</v>
      </c>
      <c r="C989">
        <v>30.25</v>
      </c>
      <c r="D989" s="3">
        <v>30.25</v>
      </c>
      <c r="E989" t="s">
        <v>871</v>
      </c>
      <c r="F989">
        <v>1181550</v>
      </c>
      <c r="G989" s="1">
        <v>6.1999999999999998E-3</v>
      </c>
      <c r="H989" s="1">
        <v>7.6999999999999996E-4</v>
      </c>
    </row>
    <row r="990" spans="1:8" x14ac:dyDescent="0.25">
      <c r="A990" t="s">
        <v>1421</v>
      </c>
      <c r="B990">
        <v>115</v>
      </c>
      <c r="C990">
        <v>30.466999999999999</v>
      </c>
      <c r="D990" s="3">
        <v>30.47</v>
      </c>
      <c r="E990" t="s">
        <v>872</v>
      </c>
      <c r="F990">
        <v>6410194</v>
      </c>
      <c r="G990" s="1">
        <v>3.3399999999999999E-2</v>
      </c>
      <c r="H990" s="1">
        <v>4.1599999999999996E-3</v>
      </c>
    </row>
    <row r="991" spans="1:8" x14ac:dyDescent="0.25">
      <c r="A991" t="s">
        <v>1421</v>
      </c>
      <c r="B991">
        <v>116</v>
      </c>
      <c r="C991">
        <v>30.812999999999999</v>
      </c>
      <c r="D991" s="3">
        <v>30.81</v>
      </c>
      <c r="E991" t="s">
        <v>873</v>
      </c>
      <c r="F991">
        <v>1037948</v>
      </c>
      <c r="G991" s="1">
        <v>5.4000000000000003E-3</v>
      </c>
      <c r="H991" s="1">
        <v>6.7000000000000002E-4</v>
      </c>
    </row>
    <row r="992" spans="1:8" x14ac:dyDescent="0.25">
      <c r="A992" t="s">
        <v>1421</v>
      </c>
      <c r="B992">
        <v>117</v>
      </c>
      <c r="C992">
        <v>30.966999999999999</v>
      </c>
      <c r="D992" s="3">
        <v>30.97</v>
      </c>
      <c r="E992" t="s">
        <v>874</v>
      </c>
      <c r="F992">
        <v>1241646</v>
      </c>
      <c r="G992" s="1">
        <v>6.4999999999999997E-3</v>
      </c>
      <c r="H992" s="1">
        <v>8.0000000000000004E-4</v>
      </c>
    </row>
    <row r="993" spans="1:8" x14ac:dyDescent="0.25">
      <c r="A993" t="s">
        <v>1421</v>
      </c>
      <c r="B993">
        <v>118</v>
      </c>
      <c r="C993">
        <v>31.015999999999998</v>
      </c>
      <c r="D993" s="3">
        <v>31.02</v>
      </c>
      <c r="E993" t="s">
        <v>875</v>
      </c>
      <c r="F993">
        <v>4404804</v>
      </c>
      <c r="G993" s="1">
        <v>2.3E-2</v>
      </c>
      <c r="H993" s="1">
        <v>2.8600000000000001E-3</v>
      </c>
    </row>
    <row r="994" spans="1:8" x14ac:dyDescent="0.25">
      <c r="A994" t="s">
        <v>1421</v>
      </c>
      <c r="B994">
        <v>119</v>
      </c>
      <c r="C994">
        <v>31.116</v>
      </c>
      <c r="D994" s="3">
        <v>31.12</v>
      </c>
      <c r="E994" t="s">
        <v>876</v>
      </c>
      <c r="F994">
        <v>2846457</v>
      </c>
      <c r="G994" s="1">
        <v>1.4800000000000001E-2</v>
      </c>
      <c r="H994" s="1">
        <v>1.8500000000000001E-3</v>
      </c>
    </row>
    <row r="995" spans="1:8" x14ac:dyDescent="0.25">
      <c r="A995" t="s">
        <v>1421</v>
      </c>
      <c r="B995">
        <v>120</v>
      </c>
      <c r="C995">
        <v>31.285</v>
      </c>
      <c r="D995" s="3">
        <v>31.29</v>
      </c>
      <c r="E995" t="s">
        <v>877</v>
      </c>
      <c r="F995">
        <v>1423943</v>
      </c>
      <c r="G995" s="1">
        <v>7.4000000000000003E-3</v>
      </c>
      <c r="H995" s="1">
        <v>9.2000000000000003E-4</v>
      </c>
    </row>
    <row r="996" spans="1:8" x14ac:dyDescent="0.25">
      <c r="A996" t="s">
        <v>1421</v>
      </c>
      <c r="B996">
        <v>121</v>
      </c>
      <c r="C996">
        <v>31.367000000000001</v>
      </c>
      <c r="D996" s="3">
        <v>31.37</v>
      </c>
      <c r="E996" t="s">
        <v>878</v>
      </c>
      <c r="F996">
        <v>1276998</v>
      </c>
      <c r="G996" s="1">
        <v>6.7000000000000002E-3</v>
      </c>
      <c r="H996" s="1">
        <v>8.3000000000000001E-4</v>
      </c>
    </row>
    <row r="997" spans="1:8" x14ac:dyDescent="0.25">
      <c r="A997" t="s">
        <v>1421</v>
      </c>
      <c r="B997">
        <v>122</v>
      </c>
      <c r="C997">
        <v>31.475000000000001</v>
      </c>
      <c r="D997" s="3">
        <v>31.48</v>
      </c>
      <c r="E997" t="s">
        <v>879</v>
      </c>
      <c r="F997">
        <v>1476441</v>
      </c>
      <c r="G997" s="1">
        <v>7.7000000000000002E-3</v>
      </c>
      <c r="H997" s="1">
        <v>9.6000000000000002E-4</v>
      </c>
    </row>
    <row r="998" spans="1:8" x14ac:dyDescent="0.25">
      <c r="A998" t="s">
        <v>1421</v>
      </c>
      <c r="B998">
        <v>123</v>
      </c>
      <c r="C998">
        <v>31.594999999999999</v>
      </c>
      <c r="D998" s="3">
        <v>31.6</v>
      </c>
      <c r="E998" t="s">
        <v>880</v>
      </c>
      <c r="F998">
        <v>3168553</v>
      </c>
      <c r="G998" s="1">
        <v>1.6500000000000001E-2</v>
      </c>
      <c r="H998" s="1">
        <v>2.0500000000000002E-3</v>
      </c>
    </row>
    <row r="999" spans="1:8" x14ac:dyDescent="0.25">
      <c r="A999" t="s">
        <v>1421</v>
      </c>
      <c r="B999">
        <v>124</v>
      </c>
      <c r="C999">
        <v>31.721</v>
      </c>
      <c r="D999" s="3">
        <v>31.72</v>
      </c>
      <c r="E999" t="s">
        <v>881</v>
      </c>
      <c r="F999">
        <v>2084179</v>
      </c>
      <c r="G999" s="1">
        <v>1.09E-2</v>
      </c>
      <c r="H999" s="1">
        <v>1.3500000000000001E-3</v>
      </c>
    </row>
    <row r="1000" spans="1:8" x14ac:dyDescent="0.25">
      <c r="A1000" t="s">
        <v>1421</v>
      </c>
      <c r="B1000">
        <v>125</v>
      </c>
      <c r="C1000">
        <v>31.986999999999998</v>
      </c>
      <c r="D1000" s="3">
        <v>31.99</v>
      </c>
      <c r="E1000">
        <v>380301</v>
      </c>
      <c r="F1000">
        <v>7856068</v>
      </c>
      <c r="G1000" s="1">
        <v>4.0899999999999999E-2</v>
      </c>
      <c r="H1000" s="1">
        <v>5.0899999999999999E-3</v>
      </c>
    </row>
    <row r="1001" spans="1:8" x14ac:dyDescent="0.25">
      <c r="A1001" t="s">
        <v>1421</v>
      </c>
      <c r="B1001">
        <v>126</v>
      </c>
      <c r="C1001">
        <v>32.17</v>
      </c>
      <c r="D1001" s="3">
        <v>32.17</v>
      </c>
      <c r="E1001">
        <v>35335</v>
      </c>
      <c r="F1001">
        <v>1522936</v>
      </c>
      <c r="G1001" s="1">
        <v>7.9000000000000008E-3</v>
      </c>
      <c r="H1001" s="1">
        <v>9.8999999999999999E-4</v>
      </c>
    </row>
    <row r="1002" spans="1:8" x14ac:dyDescent="0.25">
      <c r="A1002" t="s">
        <v>1421</v>
      </c>
      <c r="B1002">
        <v>127</v>
      </c>
      <c r="C1002">
        <v>32.283999999999999</v>
      </c>
      <c r="D1002" s="3">
        <v>32.28</v>
      </c>
      <c r="E1002">
        <v>62581</v>
      </c>
      <c r="F1002">
        <v>1693129</v>
      </c>
      <c r="G1002" s="1">
        <v>8.8000000000000005E-3</v>
      </c>
      <c r="H1002" s="1">
        <v>1.1000000000000001E-3</v>
      </c>
    </row>
    <row r="1003" spans="1:8" x14ac:dyDescent="0.25">
      <c r="A1003" t="s">
        <v>1421</v>
      </c>
      <c r="B1003">
        <v>128</v>
      </c>
      <c r="C1003">
        <v>32.548000000000002</v>
      </c>
      <c r="D1003" s="3">
        <v>32.549999999999997</v>
      </c>
      <c r="E1003">
        <v>167786</v>
      </c>
      <c r="F1003">
        <v>5291762</v>
      </c>
      <c r="G1003" s="1">
        <v>2.76E-2</v>
      </c>
      <c r="H1003" s="1">
        <v>3.4299999999999999E-3</v>
      </c>
    </row>
    <row r="1004" spans="1:8" x14ac:dyDescent="0.25">
      <c r="A1004" t="s">
        <v>1421</v>
      </c>
      <c r="B1004">
        <v>129</v>
      </c>
      <c r="C1004">
        <v>32.726999999999997</v>
      </c>
      <c r="D1004" s="3">
        <v>32.729999999999997</v>
      </c>
      <c r="E1004" t="s">
        <v>882</v>
      </c>
      <c r="F1004">
        <v>36719724</v>
      </c>
      <c r="G1004" s="1">
        <v>0.19139999999999999</v>
      </c>
      <c r="H1004" s="1">
        <v>2.3810000000000001E-2</v>
      </c>
    </row>
    <row r="1005" spans="1:8" x14ac:dyDescent="0.25">
      <c r="A1005" t="s">
        <v>1421</v>
      </c>
      <c r="B1005">
        <v>130</v>
      </c>
      <c r="C1005">
        <v>33.097000000000001</v>
      </c>
      <c r="D1005" s="3">
        <v>33.1</v>
      </c>
      <c r="E1005">
        <v>1130004</v>
      </c>
      <c r="F1005">
        <v>29290060</v>
      </c>
      <c r="G1005" s="1">
        <v>0.15260000000000001</v>
      </c>
      <c r="H1005" s="1">
        <v>1.899E-2</v>
      </c>
    </row>
    <row r="1006" spans="1:8" x14ac:dyDescent="0.25">
      <c r="A1006" t="s">
        <v>1421</v>
      </c>
      <c r="B1006">
        <v>131</v>
      </c>
      <c r="C1006">
        <v>33.337000000000003</v>
      </c>
      <c r="D1006" s="3">
        <v>33.340000000000003</v>
      </c>
      <c r="E1006">
        <v>6495230</v>
      </c>
      <c r="F1006">
        <v>191891395</v>
      </c>
      <c r="G1006" s="1">
        <v>0</v>
      </c>
      <c r="H1006" s="1">
        <v>0.1244</v>
      </c>
    </row>
    <row r="1007" spans="1:8" x14ac:dyDescent="0.25">
      <c r="A1007" t="s">
        <v>1421</v>
      </c>
      <c r="B1007">
        <v>132</v>
      </c>
      <c r="C1007">
        <v>33.685000000000002</v>
      </c>
      <c r="D1007" s="3">
        <v>33.69</v>
      </c>
      <c r="E1007" t="s">
        <v>883</v>
      </c>
      <c r="F1007">
        <v>40913325</v>
      </c>
      <c r="G1007" s="1">
        <v>0.2132</v>
      </c>
      <c r="H1007" s="1">
        <v>2.6519999999999998E-2</v>
      </c>
    </row>
    <row r="1008" spans="1:8" x14ac:dyDescent="0.25">
      <c r="A1008" t="s">
        <v>1422</v>
      </c>
      <c r="B1008">
        <v>1</v>
      </c>
      <c r="C1008">
        <v>4.8940000000000001</v>
      </c>
      <c r="D1008" s="3">
        <v>4.8899999999999997</v>
      </c>
      <c r="E1008" t="s">
        <v>884</v>
      </c>
      <c r="F1008">
        <v>11860375</v>
      </c>
      <c r="G1008" s="1">
        <v>0.157</v>
      </c>
      <c r="H1008" s="1">
        <v>3.9050000000000001E-2</v>
      </c>
    </row>
    <row r="1009" spans="1:8" x14ac:dyDescent="0.25">
      <c r="A1009" t="s">
        <v>1422</v>
      </c>
      <c r="B1009">
        <v>2</v>
      </c>
      <c r="C1009">
        <v>6.5129999999999999</v>
      </c>
      <c r="D1009" s="3">
        <v>6.51</v>
      </c>
      <c r="E1009" t="s">
        <v>885</v>
      </c>
      <c r="F1009">
        <v>1189262</v>
      </c>
      <c r="G1009" s="1">
        <v>1.5699999999999999E-2</v>
      </c>
      <c r="H1009" s="1">
        <v>3.9199999999999999E-3</v>
      </c>
    </row>
    <row r="1010" spans="1:8" x14ac:dyDescent="0.25">
      <c r="A1010" t="s">
        <v>1422</v>
      </c>
      <c r="B1010">
        <v>3</v>
      </c>
      <c r="C1010">
        <v>8.2940000000000005</v>
      </c>
      <c r="D1010" s="3">
        <v>8.2899999999999991</v>
      </c>
      <c r="E1010" t="s">
        <v>886</v>
      </c>
      <c r="F1010">
        <v>1022115</v>
      </c>
      <c r="G1010" s="1">
        <v>1.35E-2</v>
      </c>
      <c r="H1010" s="1">
        <v>3.3700000000000002E-3</v>
      </c>
    </row>
    <row r="1011" spans="1:8" x14ac:dyDescent="0.25">
      <c r="A1011" t="s">
        <v>1422</v>
      </c>
      <c r="B1011">
        <v>4</v>
      </c>
      <c r="C1011">
        <v>9.1890000000000001</v>
      </c>
      <c r="D1011" s="3">
        <v>9.19</v>
      </c>
      <c r="E1011" t="s">
        <v>887</v>
      </c>
      <c r="F1011">
        <v>2254646</v>
      </c>
      <c r="G1011" s="1">
        <v>2.9899999999999999E-2</v>
      </c>
      <c r="H1011" s="1">
        <v>7.4200000000000004E-3</v>
      </c>
    </row>
    <row r="1012" spans="1:8" x14ac:dyDescent="0.25">
      <c r="A1012" t="s">
        <v>1422</v>
      </c>
      <c r="B1012">
        <v>5</v>
      </c>
      <c r="C1012">
        <v>9.2569999999999997</v>
      </c>
      <c r="D1012" s="3">
        <v>9.26</v>
      </c>
      <c r="E1012" t="s">
        <v>888</v>
      </c>
      <c r="F1012">
        <v>1883394</v>
      </c>
      <c r="G1012" s="1">
        <v>2.4899999999999999E-2</v>
      </c>
      <c r="H1012" s="1">
        <v>6.1999999999999998E-3</v>
      </c>
    </row>
    <row r="1013" spans="1:8" x14ac:dyDescent="0.25">
      <c r="A1013" t="s">
        <v>1422</v>
      </c>
      <c r="B1013">
        <v>6</v>
      </c>
      <c r="C1013">
        <v>9.6630000000000003</v>
      </c>
      <c r="D1013" s="3">
        <v>9.66</v>
      </c>
      <c r="E1013" t="s">
        <v>889</v>
      </c>
      <c r="F1013">
        <v>4720105</v>
      </c>
      <c r="G1013" s="1">
        <v>6.25E-2</v>
      </c>
      <c r="H1013" s="1">
        <v>1.554E-2</v>
      </c>
    </row>
    <row r="1014" spans="1:8" x14ac:dyDescent="0.25">
      <c r="A1014" t="s">
        <v>1422</v>
      </c>
      <c r="B1014">
        <v>7</v>
      </c>
      <c r="C1014">
        <v>10.292999999999999</v>
      </c>
      <c r="D1014" s="3">
        <v>10.29</v>
      </c>
      <c r="E1014" t="s">
        <v>890</v>
      </c>
      <c r="F1014">
        <v>1233990</v>
      </c>
      <c r="G1014" s="1">
        <v>1.6299999999999999E-2</v>
      </c>
      <c r="H1014" s="1">
        <v>4.0600000000000002E-3</v>
      </c>
    </row>
    <row r="1015" spans="1:8" x14ac:dyDescent="0.25">
      <c r="A1015" t="s">
        <v>1422</v>
      </c>
      <c r="B1015">
        <v>8</v>
      </c>
      <c r="C1015">
        <v>10.404999999999999</v>
      </c>
      <c r="D1015" s="3">
        <v>10.41</v>
      </c>
      <c r="E1015" t="s">
        <v>891</v>
      </c>
      <c r="F1015">
        <v>3301627</v>
      </c>
      <c r="G1015" s="1">
        <v>4.3700000000000003E-2</v>
      </c>
      <c r="H1015" s="1">
        <v>1.0869999999999999E-2</v>
      </c>
    </row>
    <row r="1016" spans="1:8" x14ac:dyDescent="0.25">
      <c r="A1016" t="s">
        <v>1422</v>
      </c>
      <c r="B1016">
        <v>9</v>
      </c>
      <c r="C1016">
        <v>10.481999999999999</v>
      </c>
      <c r="D1016" s="3">
        <v>10.48</v>
      </c>
      <c r="E1016" t="s">
        <v>892</v>
      </c>
      <c r="F1016">
        <v>1003777</v>
      </c>
      <c r="G1016" s="1">
        <v>1.3299999999999999E-2</v>
      </c>
      <c r="H1016" s="1">
        <v>3.3E-3</v>
      </c>
    </row>
    <row r="1017" spans="1:8" x14ac:dyDescent="0.25">
      <c r="A1017" t="s">
        <v>1422</v>
      </c>
      <c r="B1017">
        <v>10</v>
      </c>
      <c r="C1017">
        <v>10.602</v>
      </c>
      <c r="D1017" s="3">
        <v>10.6</v>
      </c>
      <c r="E1017" t="s">
        <v>893</v>
      </c>
      <c r="F1017">
        <v>1580197</v>
      </c>
      <c r="G1017" s="1">
        <v>2.0899999999999998E-2</v>
      </c>
      <c r="H1017" s="1">
        <v>5.1999999999999998E-3</v>
      </c>
    </row>
    <row r="1018" spans="1:8" x14ac:dyDescent="0.25">
      <c r="A1018" t="s">
        <v>1422</v>
      </c>
      <c r="B1018">
        <v>11</v>
      </c>
      <c r="C1018">
        <v>11.093999999999999</v>
      </c>
      <c r="D1018" s="3">
        <v>11.09</v>
      </c>
      <c r="E1018" t="s">
        <v>894</v>
      </c>
      <c r="F1018">
        <v>2826234</v>
      </c>
      <c r="G1018" s="1">
        <v>3.7400000000000003E-2</v>
      </c>
      <c r="H1018" s="1">
        <v>9.3100000000000006E-3</v>
      </c>
    </row>
    <row r="1019" spans="1:8" x14ac:dyDescent="0.25">
      <c r="A1019" t="s">
        <v>1422</v>
      </c>
      <c r="B1019">
        <v>12</v>
      </c>
      <c r="C1019">
        <v>11.212999999999999</v>
      </c>
      <c r="D1019" s="3">
        <v>11.21</v>
      </c>
      <c r="E1019" t="s">
        <v>895</v>
      </c>
      <c r="F1019">
        <v>1154562</v>
      </c>
      <c r="G1019" s="1">
        <v>1.5299999999999999E-2</v>
      </c>
      <c r="H1019" s="1">
        <v>3.8E-3</v>
      </c>
    </row>
    <row r="1020" spans="1:8" x14ac:dyDescent="0.25">
      <c r="A1020" t="s">
        <v>1422</v>
      </c>
      <c r="B1020">
        <v>13</v>
      </c>
      <c r="C1020">
        <v>12.843999999999999</v>
      </c>
      <c r="D1020" s="3">
        <v>12.84</v>
      </c>
      <c r="E1020" t="s">
        <v>896</v>
      </c>
      <c r="F1020">
        <v>16240779</v>
      </c>
      <c r="G1020" s="1">
        <v>0.215</v>
      </c>
      <c r="H1020" s="1">
        <v>5.3469999999999997E-2</v>
      </c>
    </row>
    <row r="1021" spans="1:8" x14ac:dyDescent="0.25">
      <c r="A1021" t="s">
        <v>1422</v>
      </c>
      <c r="B1021">
        <v>14</v>
      </c>
      <c r="C1021">
        <v>13.226000000000001</v>
      </c>
      <c r="D1021" s="3">
        <v>13.23</v>
      </c>
      <c r="E1021" t="s">
        <v>897</v>
      </c>
      <c r="F1021">
        <v>9649198</v>
      </c>
      <c r="G1021" s="1">
        <v>0.1278</v>
      </c>
      <c r="H1021" s="1">
        <v>3.177E-2</v>
      </c>
    </row>
    <row r="1022" spans="1:8" x14ac:dyDescent="0.25">
      <c r="A1022" t="s">
        <v>1422</v>
      </c>
      <c r="B1022">
        <v>15</v>
      </c>
      <c r="C1022">
        <v>14.544</v>
      </c>
      <c r="D1022" s="3">
        <v>14.54</v>
      </c>
      <c r="E1022" t="s">
        <v>898</v>
      </c>
      <c r="F1022">
        <v>2606873</v>
      </c>
      <c r="G1022" s="1">
        <v>3.4500000000000003E-2</v>
      </c>
      <c r="H1022" s="1">
        <v>8.5800000000000008E-3</v>
      </c>
    </row>
    <row r="1023" spans="1:8" x14ac:dyDescent="0.25">
      <c r="A1023" t="s">
        <v>1422</v>
      </c>
      <c r="B1023">
        <v>16</v>
      </c>
      <c r="C1023">
        <v>15.529</v>
      </c>
      <c r="D1023" s="3">
        <v>15.53</v>
      </c>
      <c r="E1023" t="s">
        <v>899</v>
      </c>
      <c r="F1023">
        <v>1657312</v>
      </c>
      <c r="G1023" s="1">
        <v>2.1899999999999999E-2</v>
      </c>
      <c r="H1023" s="1">
        <v>5.4599999999999996E-3</v>
      </c>
    </row>
    <row r="1024" spans="1:8" x14ac:dyDescent="0.25">
      <c r="A1024" t="s">
        <v>1422</v>
      </c>
      <c r="B1024">
        <v>17</v>
      </c>
      <c r="C1024">
        <v>15.879</v>
      </c>
      <c r="D1024" s="3">
        <v>15.88</v>
      </c>
      <c r="E1024" t="s">
        <v>900</v>
      </c>
      <c r="F1024">
        <v>6164210</v>
      </c>
      <c r="G1024" s="1">
        <v>8.1600000000000006E-2</v>
      </c>
      <c r="H1024" s="1">
        <v>2.0299999999999999E-2</v>
      </c>
    </row>
    <row r="1025" spans="1:8" x14ac:dyDescent="0.25">
      <c r="A1025" t="s">
        <v>1422</v>
      </c>
      <c r="B1025">
        <v>18</v>
      </c>
      <c r="C1025">
        <v>16.672000000000001</v>
      </c>
      <c r="D1025" s="3">
        <v>16.670000000000002</v>
      </c>
      <c r="E1025" t="s">
        <v>901</v>
      </c>
      <c r="F1025">
        <v>1706560</v>
      </c>
      <c r="G1025" s="1">
        <v>2.2599999999999999E-2</v>
      </c>
      <c r="H1025" s="1">
        <v>5.62E-3</v>
      </c>
    </row>
    <row r="1026" spans="1:8" x14ac:dyDescent="0.25">
      <c r="A1026" t="s">
        <v>1422</v>
      </c>
      <c r="B1026">
        <v>19</v>
      </c>
      <c r="C1026">
        <v>16.766999999999999</v>
      </c>
      <c r="D1026" s="3">
        <v>16.77</v>
      </c>
      <c r="E1026" t="s">
        <v>902</v>
      </c>
      <c r="F1026">
        <v>1665002</v>
      </c>
      <c r="G1026" s="1">
        <v>2.1999999999999999E-2</v>
      </c>
      <c r="H1026" s="1">
        <v>5.4799999999999996E-3</v>
      </c>
    </row>
    <row r="1027" spans="1:8" x14ac:dyDescent="0.25">
      <c r="A1027" t="s">
        <v>1422</v>
      </c>
      <c r="B1027">
        <v>20</v>
      </c>
      <c r="C1027">
        <v>16.969000000000001</v>
      </c>
      <c r="D1027" s="3">
        <v>16.97</v>
      </c>
      <c r="E1027" t="s">
        <v>903</v>
      </c>
      <c r="F1027">
        <v>21454414</v>
      </c>
      <c r="G1027" s="1">
        <v>0.28399999999999997</v>
      </c>
      <c r="H1027" s="1">
        <v>7.0639999999999994E-2</v>
      </c>
    </row>
    <row r="1028" spans="1:8" x14ac:dyDescent="0.25">
      <c r="A1028" t="s">
        <v>1422</v>
      </c>
      <c r="B1028">
        <v>21</v>
      </c>
      <c r="C1028">
        <v>17.477</v>
      </c>
      <c r="D1028" s="3">
        <v>17.48</v>
      </c>
      <c r="E1028" t="s">
        <v>904</v>
      </c>
      <c r="F1028">
        <v>2680946</v>
      </c>
      <c r="G1028" s="1">
        <v>3.5499999999999997E-2</v>
      </c>
      <c r="H1028" s="1">
        <v>8.8299999999999993E-3</v>
      </c>
    </row>
    <row r="1029" spans="1:8" x14ac:dyDescent="0.25">
      <c r="A1029" t="s">
        <v>1422</v>
      </c>
      <c r="B1029">
        <v>22</v>
      </c>
      <c r="C1029">
        <v>17.803999999999998</v>
      </c>
      <c r="D1029" s="3">
        <v>17.8</v>
      </c>
      <c r="E1029" t="s">
        <v>905</v>
      </c>
      <c r="F1029">
        <v>1349293</v>
      </c>
      <c r="G1029" s="1">
        <v>1.7899999999999999E-2</v>
      </c>
      <c r="H1029" s="1">
        <v>4.4400000000000004E-3</v>
      </c>
    </row>
    <row r="1030" spans="1:8" x14ac:dyDescent="0.25">
      <c r="A1030" t="s">
        <v>1422</v>
      </c>
      <c r="B1030">
        <v>23</v>
      </c>
      <c r="C1030">
        <v>18.062999999999999</v>
      </c>
      <c r="D1030" s="3">
        <v>18.059999999999999</v>
      </c>
      <c r="E1030" t="s">
        <v>906</v>
      </c>
      <c r="F1030">
        <v>1072969</v>
      </c>
      <c r="G1030" s="1">
        <v>1.4200000000000001E-2</v>
      </c>
      <c r="H1030" s="1">
        <v>3.5300000000000002E-3</v>
      </c>
    </row>
    <row r="1031" spans="1:8" x14ac:dyDescent="0.25">
      <c r="A1031" t="s">
        <v>1422</v>
      </c>
      <c r="B1031">
        <v>24</v>
      </c>
      <c r="C1031">
        <v>18.305</v>
      </c>
      <c r="D1031" s="3">
        <v>18.309999999999999</v>
      </c>
      <c r="E1031" t="s">
        <v>907</v>
      </c>
      <c r="F1031">
        <v>1176640</v>
      </c>
      <c r="G1031" s="1">
        <v>1.5599999999999999E-2</v>
      </c>
      <c r="H1031" s="1">
        <v>3.8700000000000002E-3</v>
      </c>
    </row>
    <row r="1032" spans="1:8" x14ac:dyDescent="0.25">
      <c r="A1032" t="s">
        <v>1422</v>
      </c>
      <c r="B1032">
        <v>25</v>
      </c>
      <c r="C1032">
        <v>18.733000000000001</v>
      </c>
      <c r="D1032" s="3">
        <v>18.73</v>
      </c>
      <c r="E1032" t="s">
        <v>908</v>
      </c>
      <c r="F1032">
        <v>1104907</v>
      </c>
      <c r="G1032" s="1">
        <v>1.46E-2</v>
      </c>
      <c r="H1032" s="1">
        <v>3.64E-3</v>
      </c>
    </row>
    <row r="1033" spans="1:8" x14ac:dyDescent="0.25">
      <c r="A1033" t="s">
        <v>1422</v>
      </c>
      <c r="B1033">
        <v>26</v>
      </c>
      <c r="C1033">
        <v>18.844000000000001</v>
      </c>
      <c r="D1033" s="3">
        <v>18.84</v>
      </c>
      <c r="E1033" t="s">
        <v>909</v>
      </c>
      <c r="F1033">
        <v>4560773</v>
      </c>
      <c r="G1033" s="1">
        <v>6.0400000000000002E-2</v>
      </c>
      <c r="H1033" s="1">
        <v>1.502E-2</v>
      </c>
    </row>
    <row r="1034" spans="1:8" x14ac:dyDescent="0.25">
      <c r="A1034" t="s">
        <v>1422</v>
      </c>
      <c r="B1034">
        <v>27</v>
      </c>
      <c r="C1034">
        <v>19.405000000000001</v>
      </c>
      <c r="D1034" s="3">
        <v>19.41</v>
      </c>
      <c r="E1034" t="s">
        <v>910</v>
      </c>
      <c r="F1034">
        <v>1008648</v>
      </c>
      <c r="G1034" s="1">
        <v>1.34E-2</v>
      </c>
      <c r="H1034" s="1">
        <v>3.32E-3</v>
      </c>
    </row>
    <row r="1035" spans="1:8" x14ac:dyDescent="0.25">
      <c r="A1035" t="s">
        <v>1422</v>
      </c>
      <c r="B1035">
        <v>28</v>
      </c>
      <c r="C1035">
        <v>23.48</v>
      </c>
      <c r="D1035" s="3">
        <v>23.48</v>
      </c>
      <c r="E1035" t="s">
        <v>911</v>
      </c>
      <c r="F1035">
        <v>1606810</v>
      </c>
      <c r="G1035" s="1">
        <v>2.1299999999999999E-2</v>
      </c>
      <c r="H1035" s="1">
        <v>5.2900000000000004E-3</v>
      </c>
    </row>
    <row r="1036" spans="1:8" x14ac:dyDescent="0.25">
      <c r="A1036" t="s">
        <v>1422</v>
      </c>
      <c r="B1036">
        <v>29</v>
      </c>
      <c r="C1036">
        <v>23.664000000000001</v>
      </c>
      <c r="D1036" s="3">
        <v>23.66</v>
      </c>
      <c r="E1036" t="s">
        <v>912</v>
      </c>
      <c r="F1036">
        <v>1329590</v>
      </c>
      <c r="G1036" s="1">
        <v>1.7600000000000001E-2</v>
      </c>
      <c r="H1036" s="1">
        <v>4.3800000000000002E-3</v>
      </c>
    </row>
    <row r="1037" spans="1:8" x14ac:dyDescent="0.25">
      <c r="A1037" t="s">
        <v>1422</v>
      </c>
      <c r="B1037">
        <v>30</v>
      </c>
      <c r="C1037">
        <v>24.041</v>
      </c>
      <c r="D1037" s="3">
        <v>24.04</v>
      </c>
      <c r="E1037" t="s">
        <v>913</v>
      </c>
      <c r="F1037">
        <v>1123326</v>
      </c>
      <c r="G1037" s="1">
        <v>1.49E-2</v>
      </c>
      <c r="H1037" s="1">
        <v>3.7000000000000002E-3</v>
      </c>
    </row>
    <row r="1038" spans="1:8" x14ac:dyDescent="0.25">
      <c r="A1038" t="s">
        <v>1422</v>
      </c>
      <c r="B1038">
        <v>31</v>
      </c>
      <c r="C1038">
        <v>24.359000000000002</v>
      </c>
      <c r="D1038" s="3">
        <v>24.36</v>
      </c>
      <c r="E1038" t="s">
        <v>914</v>
      </c>
      <c r="F1038">
        <v>1082575</v>
      </c>
      <c r="G1038" s="1">
        <v>1.43E-2</v>
      </c>
      <c r="H1038" s="1">
        <v>3.5599999999999998E-3</v>
      </c>
    </row>
    <row r="1039" spans="1:8" x14ac:dyDescent="0.25">
      <c r="A1039" t="s">
        <v>1422</v>
      </c>
      <c r="B1039">
        <v>32</v>
      </c>
      <c r="C1039">
        <v>27.507999999999999</v>
      </c>
      <c r="D1039" s="3">
        <v>27.51</v>
      </c>
      <c r="E1039" t="s">
        <v>915</v>
      </c>
      <c r="F1039">
        <v>1307836</v>
      </c>
      <c r="G1039" s="1">
        <v>1.7299999999999999E-2</v>
      </c>
      <c r="H1039" s="1">
        <v>4.3099999999999996E-3</v>
      </c>
    </row>
    <row r="1040" spans="1:8" x14ac:dyDescent="0.25">
      <c r="A1040" t="s">
        <v>1422</v>
      </c>
      <c r="B1040">
        <v>33</v>
      </c>
      <c r="C1040">
        <v>28.481999999999999</v>
      </c>
      <c r="D1040" s="3">
        <v>28.48</v>
      </c>
      <c r="E1040">
        <v>1888564</v>
      </c>
      <c r="F1040">
        <v>27795911</v>
      </c>
      <c r="G1040" s="1">
        <v>0.36799999999999999</v>
      </c>
      <c r="H1040" s="1">
        <v>9.1520000000000004E-2</v>
      </c>
    </row>
    <row r="1041" spans="1:8" x14ac:dyDescent="0.25">
      <c r="A1041" t="s">
        <v>1422</v>
      </c>
      <c r="B1041">
        <v>34</v>
      </c>
      <c r="C1041">
        <v>28.599</v>
      </c>
      <c r="D1041" s="3">
        <v>28.6</v>
      </c>
      <c r="E1041" t="s">
        <v>916</v>
      </c>
      <c r="F1041">
        <v>1092747</v>
      </c>
      <c r="G1041" s="1">
        <v>1.4500000000000001E-2</v>
      </c>
      <c r="H1041" s="1">
        <v>3.5999999999999999E-3</v>
      </c>
    </row>
    <row r="1042" spans="1:8" x14ac:dyDescent="0.25">
      <c r="A1042" t="s">
        <v>1422</v>
      </c>
      <c r="B1042">
        <v>35</v>
      </c>
      <c r="C1042">
        <v>28.638000000000002</v>
      </c>
      <c r="D1042" s="3">
        <v>28.64</v>
      </c>
      <c r="E1042" t="s">
        <v>917</v>
      </c>
      <c r="F1042">
        <v>2384129</v>
      </c>
      <c r="G1042" s="1">
        <v>3.1600000000000003E-2</v>
      </c>
      <c r="H1042" s="1">
        <v>7.8499999999999993E-3</v>
      </c>
    </row>
    <row r="1043" spans="1:8" x14ac:dyDescent="0.25">
      <c r="A1043" t="s">
        <v>1422</v>
      </c>
      <c r="B1043">
        <v>36</v>
      </c>
      <c r="C1043">
        <v>28.733000000000001</v>
      </c>
      <c r="D1043" s="3">
        <v>28.73</v>
      </c>
      <c r="E1043" t="s">
        <v>918</v>
      </c>
      <c r="F1043">
        <v>7175713</v>
      </c>
      <c r="G1043" s="1">
        <v>9.5000000000000001E-2</v>
      </c>
      <c r="H1043" s="1">
        <v>2.3630000000000002E-2</v>
      </c>
    </row>
    <row r="1044" spans="1:8" x14ac:dyDescent="0.25">
      <c r="A1044" t="s">
        <v>1422</v>
      </c>
      <c r="B1044">
        <v>37</v>
      </c>
      <c r="C1044">
        <v>28.891999999999999</v>
      </c>
      <c r="D1044" s="3">
        <v>28.89</v>
      </c>
      <c r="E1044">
        <v>758590</v>
      </c>
      <c r="F1044">
        <v>10452457</v>
      </c>
      <c r="G1044" s="1">
        <v>0.1384</v>
      </c>
      <c r="H1044" s="1">
        <v>3.4410000000000003E-2</v>
      </c>
    </row>
    <row r="1045" spans="1:8" x14ac:dyDescent="0.25">
      <c r="A1045" t="s">
        <v>1422</v>
      </c>
      <c r="B1045">
        <v>38</v>
      </c>
      <c r="C1045">
        <v>29.048999999999999</v>
      </c>
      <c r="D1045" s="3">
        <v>29.05</v>
      </c>
      <c r="E1045">
        <v>6670382</v>
      </c>
      <c r="F1045">
        <v>75531148</v>
      </c>
      <c r="G1045" s="1">
        <v>0</v>
      </c>
      <c r="H1045" s="1">
        <v>0.24868000000000001</v>
      </c>
    </row>
    <row r="1046" spans="1:8" x14ac:dyDescent="0.25">
      <c r="A1046" t="s">
        <v>1422</v>
      </c>
      <c r="B1046">
        <v>39</v>
      </c>
      <c r="C1046">
        <v>29.158000000000001</v>
      </c>
      <c r="D1046" s="3">
        <v>29.16</v>
      </c>
      <c r="E1046" t="s">
        <v>919</v>
      </c>
      <c r="F1046">
        <v>1144262</v>
      </c>
      <c r="G1046" s="1">
        <v>1.5100000000000001E-2</v>
      </c>
      <c r="H1046" s="1">
        <v>3.7699999999999999E-3</v>
      </c>
    </row>
    <row r="1047" spans="1:8" x14ac:dyDescent="0.25">
      <c r="A1047" t="s">
        <v>1422</v>
      </c>
      <c r="B1047">
        <v>40</v>
      </c>
      <c r="C1047">
        <v>29.234000000000002</v>
      </c>
      <c r="D1047" s="3">
        <v>29.23</v>
      </c>
      <c r="E1047" t="s">
        <v>920</v>
      </c>
      <c r="F1047">
        <v>1501503</v>
      </c>
      <c r="G1047" s="1">
        <v>1.9900000000000001E-2</v>
      </c>
      <c r="H1047" s="1">
        <v>4.9399999999999999E-3</v>
      </c>
    </row>
    <row r="1048" spans="1:8" x14ac:dyDescent="0.25">
      <c r="A1048" t="s">
        <v>1422</v>
      </c>
      <c r="B1048">
        <v>41</v>
      </c>
      <c r="C1048">
        <v>29.433</v>
      </c>
      <c r="D1048" s="3">
        <v>29.43</v>
      </c>
      <c r="E1048" t="s">
        <v>921</v>
      </c>
      <c r="F1048">
        <v>1260751</v>
      </c>
      <c r="G1048" s="1">
        <v>1.67E-2</v>
      </c>
      <c r="H1048" s="1">
        <v>4.15E-3</v>
      </c>
    </row>
    <row r="1049" spans="1:8" x14ac:dyDescent="0.25">
      <c r="A1049" t="s">
        <v>1422</v>
      </c>
      <c r="B1049">
        <v>42</v>
      </c>
      <c r="C1049">
        <v>29.469000000000001</v>
      </c>
      <c r="D1049" s="3">
        <v>29.47</v>
      </c>
      <c r="E1049" t="s">
        <v>922</v>
      </c>
      <c r="F1049">
        <v>1305237</v>
      </c>
      <c r="G1049" s="1">
        <v>1.7299999999999999E-2</v>
      </c>
      <c r="H1049" s="1">
        <v>4.3E-3</v>
      </c>
    </row>
    <row r="1050" spans="1:8" x14ac:dyDescent="0.25">
      <c r="A1050" t="s">
        <v>1422</v>
      </c>
      <c r="B1050">
        <v>43</v>
      </c>
      <c r="C1050">
        <v>29.54</v>
      </c>
      <c r="D1050" s="3">
        <v>29.54</v>
      </c>
      <c r="E1050" t="s">
        <v>923</v>
      </c>
      <c r="F1050">
        <v>1737615</v>
      </c>
      <c r="G1050" s="1">
        <v>2.3E-2</v>
      </c>
      <c r="H1050" s="1">
        <v>5.7200000000000003E-3</v>
      </c>
    </row>
    <row r="1051" spans="1:8" x14ac:dyDescent="0.25">
      <c r="A1051" t="s">
        <v>1422</v>
      </c>
      <c r="B1051">
        <v>44</v>
      </c>
      <c r="C1051">
        <v>29.742000000000001</v>
      </c>
      <c r="D1051" s="3">
        <v>29.74</v>
      </c>
      <c r="E1051">
        <v>713867</v>
      </c>
      <c r="F1051">
        <v>9245591</v>
      </c>
      <c r="G1051" s="1">
        <v>0.12239999999999999</v>
      </c>
      <c r="H1051" s="1">
        <v>3.0439999999999998E-2</v>
      </c>
    </row>
    <row r="1052" spans="1:8" x14ac:dyDescent="0.25">
      <c r="A1052" t="s">
        <v>1422</v>
      </c>
      <c r="B1052">
        <v>45</v>
      </c>
      <c r="C1052">
        <v>29.826000000000001</v>
      </c>
      <c r="D1052" s="3">
        <v>29.83</v>
      </c>
      <c r="E1052" t="s">
        <v>924</v>
      </c>
      <c r="F1052">
        <v>3144354</v>
      </c>
      <c r="G1052" s="1">
        <v>4.1599999999999998E-2</v>
      </c>
      <c r="H1052" s="1">
        <v>1.035E-2</v>
      </c>
    </row>
    <row r="1053" spans="1:8" x14ac:dyDescent="0.25">
      <c r="A1053" t="s">
        <v>1422</v>
      </c>
      <c r="B1053">
        <v>46</v>
      </c>
      <c r="C1053">
        <v>29.89</v>
      </c>
      <c r="D1053" s="3">
        <v>29.89</v>
      </c>
      <c r="E1053" t="s">
        <v>925</v>
      </c>
      <c r="F1053">
        <v>4986393</v>
      </c>
      <c r="G1053" s="1">
        <v>6.6000000000000003E-2</v>
      </c>
      <c r="H1053" s="1">
        <v>1.6420000000000001E-2</v>
      </c>
    </row>
    <row r="1054" spans="1:8" x14ac:dyDescent="0.25">
      <c r="A1054" t="s">
        <v>1422</v>
      </c>
      <c r="B1054">
        <v>47</v>
      </c>
      <c r="C1054">
        <v>30.013999999999999</v>
      </c>
      <c r="D1054" s="3">
        <v>30.01</v>
      </c>
      <c r="E1054">
        <v>48774</v>
      </c>
      <c r="F1054">
        <v>1171497</v>
      </c>
      <c r="G1054" s="1">
        <v>1.55E-2</v>
      </c>
      <c r="H1054" s="1">
        <v>3.8600000000000001E-3</v>
      </c>
    </row>
    <row r="1055" spans="1:8" x14ac:dyDescent="0.25">
      <c r="A1055" t="s">
        <v>1422</v>
      </c>
      <c r="B1055">
        <v>48</v>
      </c>
      <c r="C1055">
        <v>30.175000000000001</v>
      </c>
      <c r="D1055" s="3">
        <v>30.18</v>
      </c>
      <c r="E1055">
        <v>80593</v>
      </c>
      <c r="F1055">
        <v>1043277</v>
      </c>
      <c r="G1055" s="1">
        <v>1.38E-2</v>
      </c>
      <c r="H1055" s="1">
        <v>3.4299999999999999E-3</v>
      </c>
    </row>
    <row r="1056" spans="1:8" x14ac:dyDescent="0.25">
      <c r="A1056" t="s">
        <v>1422</v>
      </c>
      <c r="B1056">
        <v>49</v>
      </c>
      <c r="C1056">
        <v>30.234999999999999</v>
      </c>
      <c r="D1056" s="3">
        <v>30.24</v>
      </c>
      <c r="E1056" t="s">
        <v>926</v>
      </c>
      <c r="F1056">
        <v>1389951</v>
      </c>
      <c r="G1056" s="1">
        <v>1.84E-2</v>
      </c>
      <c r="H1056" s="1">
        <v>4.5799999999999999E-3</v>
      </c>
    </row>
    <row r="1057" spans="1:8" x14ac:dyDescent="0.25">
      <c r="A1057" t="s">
        <v>1422</v>
      </c>
      <c r="B1057">
        <v>50</v>
      </c>
      <c r="C1057">
        <v>30.812000000000001</v>
      </c>
      <c r="D1057" s="3">
        <v>30.81</v>
      </c>
      <c r="E1057" t="s">
        <v>927</v>
      </c>
      <c r="F1057">
        <v>1262903</v>
      </c>
      <c r="G1057" s="1">
        <v>1.67E-2</v>
      </c>
      <c r="H1057" s="1">
        <v>4.1599999999999996E-3</v>
      </c>
    </row>
    <row r="1058" spans="1:8" x14ac:dyDescent="0.25">
      <c r="A1058" t="s">
        <v>1422</v>
      </c>
      <c r="B1058">
        <v>51</v>
      </c>
      <c r="C1058">
        <v>31.364999999999998</v>
      </c>
      <c r="D1058" s="3">
        <v>31.37</v>
      </c>
      <c r="E1058" t="s">
        <v>928</v>
      </c>
      <c r="F1058">
        <v>1965602</v>
      </c>
      <c r="G1058" s="1">
        <v>2.5999999999999999E-2</v>
      </c>
      <c r="H1058" s="1">
        <v>6.4700000000000001E-3</v>
      </c>
    </row>
    <row r="1059" spans="1:8" x14ac:dyDescent="0.25">
      <c r="A1059" t="s">
        <v>1422</v>
      </c>
      <c r="B1059">
        <v>52</v>
      </c>
      <c r="C1059">
        <v>31.827000000000002</v>
      </c>
      <c r="D1059" s="3">
        <v>31.83</v>
      </c>
      <c r="E1059" t="s">
        <v>929</v>
      </c>
      <c r="F1059">
        <v>4205888</v>
      </c>
      <c r="G1059" s="1">
        <v>5.57E-2</v>
      </c>
      <c r="H1059" s="1">
        <v>1.3849999999999999E-2</v>
      </c>
    </row>
    <row r="1060" spans="1:8" x14ac:dyDescent="0.25">
      <c r="A1060" t="s">
        <v>1422</v>
      </c>
      <c r="B1060">
        <v>53</v>
      </c>
      <c r="C1060">
        <v>31.989000000000001</v>
      </c>
      <c r="D1060" s="3">
        <v>31.99</v>
      </c>
      <c r="E1060">
        <v>438809</v>
      </c>
      <c r="F1060">
        <v>10086686</v>
      </c>
      <c r="G1060" s="1">
        <v>0.13350000000000001</v>
      </c>
      <c r="H1060" s="1">
        <v>3.3210000000000003E-2</v>
      </c>
    </row>
    <row r="1061" spans="1:8" x14ac:dyDescent="0.25">
      <c r="A1061" t="s">
        <v>1422</v>
      </c>
      <c r="B1061">
        <v>54</v>
      </c>
      <c r="C1061">
        <v>32.732999999999997</v>
      </c>
      <c r="D1061" s="3">
        <v>32.729999999999997</v>
      </c>
      <c r="E1061" t="s">
        <v>930</v>
      </c>
      <c r="F1061">
        <v>7526809</v>
      </c>
      <c r="G1061" s="1">
        <v>9.9699999999999997E-2</v>
      </c>
      <c r="H1061" s="1">
        <v>2.478E-2</v>
      </c>
    </row>
    <row r="1062" spans="1:8" x14ac:dyDescent="0.25">
      <c r="A1062" t="s">
        <v>1422</v>
      </c>
      <c r="B1062">
        <v>55</v>
      </c>
      <c r="C1062">
        <v>32.829000000000001</v>
      </c>
      <c r="D1062" s="3">
        <v>32.83</v>
      </c>
      <c r="E1062" t="s">
        <v>931</v>
      </c>
      <c r="F1062">
        <v>1081104</v>
      </c>
      <c r="G1062" s="1">
        <v>1.43E-2</v>
      </c>
      <c r="H1062" s="1">
        <v>3.5599999999999998E-3</v>
      </c>
    </row>
    <row r="1063" spans="1:8" x14ac:dyDescent="0.25">
      <c r="A1063" t="s">
        <v>1422</v>
      </c>
      <c r="B1063">
        <v>56</v>
      </c>
      <c r="C1063">
        <v>33.100999999999999</v>
      </c>
      <c r="D1063" s="3">
        <v>33.1</v>
      </c>
      <c r="E1063">
        <v>248560</v>
      </c>
      <c r="F1063">
        <v>8932920</v>
      </c>
      <c r="G1063" s="1">
        <v>0.1183</v>
      </c>
      <c r="H1063" s="1">
        <v>2.9409999999999999E-2</v>
      </c>
    </row>
    <row r="1064" spans="1:8" x14ac:dyDescent="0.25">
      <c r="A1064" t="s">
        <v>1422</v>
      </c>
      <c r="B1064">
        <v>57</v>
      </c>
      <c r="C1064">
        <v>33.691000000000003</v>
      </c>
      <c r="D1064" s="3">
        <v>33.69</v>
      </c>
      <c r="E1064">
        <v>48730</v>
      </c>
      <c r="F1064">
        <v>1723733</v>
      </c>
      <c r="G1064" s="1">
        <v>2.2800000000000001E-2</v>
      </c>
      <c r="H1064" s="1">
        <v>5.6800000000000002E-3</v>
      </c>
    </row>
    <row r="1065" spans="1:8" x14ac:dyDescent="0.25">
      <c r="A1065" t="s">
        <v>1423</v>
      </c>
      <c r="B1065">
        <v>1</v>
      </c>
      <c r="C1065">
        <v>4.5039999999999996</v>
      </c>
      <c r="D1065" s="3">
        <v>4.5</v>
      </c>
      <c r="E1065" t="s">
        <v>932</v>
      </c>
      <c r="F1065">
        <v>1187828</v>
      </c>
      <c r="G1065" s="1">
        <v>8.5000000000000006E-3</v>
      </c>
      <c r="H1065" s="1">
        <v>2.16E-3</v>
      </c>
    </row>
    <row r="1066" spans="1:8" x14ac:dyDescent="0.25">
      <c r="A1066" t="s">
        <v>1423</v>
      </c>
      <c r="B1066">
        <v>2</v>
      </c>
      <c r="C1066">
        <v>4.7270000000000003</v>
      </c>
      <c r="D1066" s="3">
        <v>4.7300000000000004</v>
      </c>
      <c r="E1066" t="s">
        <v>933</v>
      </c>
      <c r="F1066">
        <v>1139074</v>
      </c>
      <c r="G1066" s="1">
        <v>8.2000000000000007E-3</v>
      </c>
      <c r="H1066" s="1">
        <v>2.0699999999999998E-3</v>
      </c>
    </row>
    <row r="1067" spans="1:8" x14ac:dyDescent="0.25">
      <c r="A1067" t="s">
        <v>1423</v>
      </c>
      <c r="B1067">
        <v>3</v>
      </c>
      <c r="C1067">
        <v>4.8179999999999996</v>
      </c>
      <c r="D1067" s="3">
        <v>4.82</v>
      </c>
      <c r="E1067" t="s">
        <v>934</v>
      </c>
      <c r="F1067">
        <v>1635965</v>
      </c>
      <c r="G1067" s="1">
        <v>1.17E-2</v>
      </c>
      <c r="H1067" s="1">
        <v>2.97E-3</v>
      </c>
    </row>
    <row r="1068" spans="1:8" x14ac:dyDescent="0.25">
      <c r="A1068" t="s">
        <v>1423</v>
      </c>
      <c r="B1068">
        <v>4</v>
      </c>
      <c r="C1068">
        <v>4.8929999999999998</v>
      </c>
      <c r="D1068" s="3">
        <v>4.8899999999999997</v>
      </c>
      <c r="E1068" t="s">
        <v>935</v>
      </c>
      <c r="F1068">
        <v>10421070</v>
      </c>
      <c r="G1068" s="1">
        <v>7.4800000000000005E-2</v>
      </c>
      <c r="H1068" s="1">
        <v>1.8919999999999999E-2</v>
      </c>
    </row>
    <row r="1069" spans="1:8" x14ac:dyDescent="0.25">
      <c r="A1069" t="s">
        <v>1423</v>
      </c>
      <c r="B1069">
        <v>5</v>
      </c>
      <c r="C1069">
        <v>4.992</v>
      </c>
      <c r="D1069" s="3">
        <v>4.99</v>
      </c>
      <c r="E1069" t="s">
        <v>936</v>
      </c>
      <c r="F1069">
        <v>2361354</v>
      </c>
      <c r="G1069" s="1">
        <v>1.6899999999999998E-2</v>
      </c>
      <c r="H1069" s="1">
        <v>4.2900000000000004E-3</v>
      </c>
    </row>
    <row r="1070" spans="1:8" x14ac:dyDescent="0.25">
      <c r="A1070" t="s">
        <v>1423</v>
      </c>
      <c r="B1070">
        <v>6</v>
      </c>
      <c r="C1070">
        <v>5.1369999999999996</v>
      </c>
      <c r="D1070" s="3">
        <v>5.14</v>
      </c>
      <c r="E1070" t="s">
        <v>937</v>
      </c>
      <c r="F1070">
        <v>1114781</v>
      </c>
      <c r="G1070" s="1">
        <v>8.0000000000000002E-3</v>
      </c>
      <c r="H1070" s="1">
        <v>2.0200000000000001E-3</v>
      </c>
    </row>
    <row r="1071" spans="1:8" x14ac:dyDescent="0.25">
      <c r="A1071" t="s">
        <v>1423</v>
      </c>
      <c r="B1071">
        <v>7</v>
      </c>
      <c r="C1071">
        <v>6.11</v>
      </c>
      <c r="D1071" s="3">
        <v>6.11</v>
      </c>
      <c r="E1071" t="s">
        <v>938</v>
      </c>
      <c r="F1071">
        <v>1173332</v>
      </c>
      <c r="G1071" s="1">
        <v>8.3999999999999995E-3</v>
      </c>
      <c r="H1071" s="1">
        <v>2.1299999999999999E-3</v>
      </c>
    </row>
    <row r="1072" spans="1:8" x14ac:dyDescent="0.25">
      <c r="A1072" t="s">
        <v>1423</v>
      </c>
      <c r="B1072">
        <v>8</v>
      </c>
      <c r="C1072">
        <v>6.2619999999999996</v>
      </c>
      <c r="D1072" s="3">
        <v>6.26</v>
      </c>
      <c r="E1072" t="s">
        <v>939</v>
      </c>
      <c r="F1072">
        <v>2278628</v>
      </c>
      <c r="G1072" s="1">
        <v>1.6400000000000001E-2</v>
      </c>
      <c r="H1072" s="1">
        <v>4.1399999999999996E-3</v>
      </c>
    </row>
    <row r="1073" spans="1:8" x14ac:dyDescent="0.25">
      <c r="A1073" t="s">
        <v>1423</v>
      </c>
      <c r="B1073">
        <v>9</v>
      </c>
      <c r="C1073">
        <v>6.4969999999999999</v>
      </c>
      <c r="D1073" s="3">
        <v>6.5</v>
      </c>
      <c r="E1073" t="s">
        <v>940</v>
      </c>
      <c r="F1073">
        <v>3439047</v>
      </c>
      <c r="G1073" s="1">
        <v>2.47E-2</v>
      </c>
      <c r="H1073" s="1">
        <v>6.2399999999999999E-3</v>
      </c>
    </row>
    <row r="1074" spans="1:8" x14ac:dyDescent="0.25">
      <c r="A1074" t="s">
        <v>1423</v>
      </c>
      <c r="B1074">
        <v>10</v>
      </c>
      <c r="C1074">
        <v>7.1269999999999998</v>
      </c>
      <c r="D1074" s="3">
        <v>7.13</v>
      </c>
      <c r="E1074" t="s">
        <v>941</v>
      </c>
      <c r="F1074">
        <v>1373556</v>
      </c>
      <c r="G1074" s="1">
        <v>9.9000000000000008E-3</v>
      </c>
      <c r="H1074" s="1">
        <v>2.49E-3</v>
      </c>
    </row>
    <row r="1075" spans="1:8" x14ac:dyDescent="0.25">
      <c r="A1075" t="s">
        <v>1423</v>
      </c>
      <c r="B1075">
        <v>11</v>
      </c>
      <c r="C1075">
        <v>7.36</v>
      </c>
      <c r="D1075" s="3">
        <v>7.36</v>
      </c>
      <c r="E1075" t="s">
        <v>942</v>
      </c>
      <c r="F1075">
        <v>1052017</v>
      </c>
      <c r="G1075" s="1">
        <v>7.4999999999999997E-3</v>
      </c>
      <c r="H1075" s="1">
        <v>1.91E-3</v>
      </c>
    </row>
    <row r="1076" spans="1:8" x14ac:dyDescent="0.25">
      <c r="A1076" t="s">
        <v>1423</v>
      </c>
      <c r="B1076">
        <v>12</v>
      </c>
      <c r="C1076">
        <v>8.2710000000000008</v>
      </c>
      <c r="D1076" s="3">
        <v>8.27</v>
      </c>
      <c r="E1076" t="s">
        <v>943</v>
      </c>
      <c r="F1076">
        <v>3491718</v>
      </c>
      <c r="G1076" s="1">
        <v>2.5100000000000001E-2</v>
      </c>
      <c r="H1076" s="1">
        <v>6.3400000000000001E-3</v>
      </c>
    </row>
    <row r="1077" spans="1:8" x14ac:dyDescent="0.25">
      <c r="A1077" t="s">
        <v>1423</v>
      </c>
      <c r="B1077">
        <v>13</v>
      </c>
      <c r="C1077">
        <v>8.94</v>
      </c>
      <c r="D1077" s="3">
        <v>8.94</v>
      </c>
      <c r="E1077" t="s">
        <v>944</v>
      </c>
      <c r="F1077">
        <v>1901822</v>
      </c>
      <c r="G1077" s="1">
        <v>1.3599999999999999E-2</v>
      </c>
      <c r="H1077" s="1">
        <v>3.4499999999999999E-3</v>
      </c>
    </row>
    <row r="1078" spans="1:8" x14ac:dyDescent="0.25">
      <c r="A1078" t="s">
        <v>1423</v>
      </c>
      <c r="B1078">
        <v>14</v>
      </c>
      <c r="C1078">
        <v>9.1869999999999994</v>
      </c>
      <c r="D1078" s="3">
        <v>9.19</v>
      </c>
      <c r="E1078" t="s">
        <v>945</v>
      </c>
      <c r="F1078">
        <v>3104907</v>
      </c>
      <c r="G1078" s="1">
        <v>2.23E-2</v>
      </c>
      <c r="H1078" s="1">
        <v>5.64E-3</v>
      </c>
    </row>
    <row r="1079" spans="1:8" x14ac:dyDescent="0.25">
      <c r="A1079" t="s">
        <v>1423</v>
      </c>
      <c r="B1079">
        <v>15</v>
      </c>
      <c r="C1079">
        <v>9.2590000000000003</v>
      </c>
      <c r="D1079" s="3">
        <v>9.26</v>
      </c>
      <c r="E1079" t="s">
        <v>946</v>
      </c>
      <c r="F1079">
        <v>3592325</v>
      </c>
      <c r="G1079" s="1">
        <v>2.58E-2</v>
      </c>
      <c r="H1079" s="1">
        <v>6.5199999999999998E-3</v>
      </c>
    </row>
    <row r="1080" spans="1:8" x14ac:dyDescent="0.25">
      <c r="A1080" t="s">
        <v>1423</v>
      </c>
      <c r="B1080">
        <v>16</v>
      </c>
      <c r="C1080">
        <v>9.657</v>
      </c>
      <c r="D1080" s="3">
        <v>9.66</v>
      </c>
      <c r="E1080" t="s">
        <v>947</v>
      </c>
      <c r="F1080">
        <v>11471320</v>
      </c>
      <c r="G1080" s="1">
        <v>8.2299999999999998E-2</v>
      </c>
      <c r="H1080" s="1">
        <v>2.0830000000000001E-2</v>
      </c>
    </row>
    <row r="1081" spans="1:8" x14ac:dyDescent="0.25">
      <c r="A1081" t="s">
        <v>1423</v>
      </c>
      <c r="B1081">
        <v>17</v>
      </c>
      <c r="C1081">
        <v>10.297000000000001</v>
      </c>
      <c r="D1081" s="3">
        <v>10.3</v>
      </c>
      <c r="E1081" t="s">
        <v>948</v>
      </c>
      <c r="F1081">
        <v>1540188</v>
      </c>
      <c r="G1081" s="1">
        <v>1.11E-2</v>
      </c>
      <c r="H1081" s="1">
        <v>2.8E-3</v>
      </c>
    </row>
    <row r="1082" spans="1:8" x14ac:dyDescent="0.25">
      <c r="A1082" t="s">
        <v>1423</v>
      </c>
      <c r="B1082">
        <v>18</v>
      </c>
      <c r="C1082">
        <v>10.404999999999999</v>
      </c>
      <c r="D1082" s="3">
        <v>10.41</v>
      </c>
      <c r="E1082" t="s">
        <v>949</v>
      </c>
      <c r="F1082">
        <v>1616970</v>
      </c>
      <c r="G1082" s="1">
        <v>1.1599999999999999E-2</v>
      </c>
      <c r="H1082" s="1">
        <v>2.9399999999999999E-3</v>
      </c>
    </row>
    <row r="1083" spans="1:8" x14ac:dyDescent="0.25">
      <c r="A1083" t="s">
        <v>1423</v>
      </c>
      <c r="B1083">
        <v>19</v>
      </c>
      <c r="C1083">
        <v>10.772</v>
      </c>
      <c r="D1083" s="3">
        <v>10.77</v>
      </c>
      <c r="E1083" t="s">
        <v>950</v>
      </c>
      <c r="F1083">
        <v>2662679</v>
      </c>
      <c r="G1083" s="1">
        <v>1.9099999999999999E-2</v>
      </c>
      <c r="H1083" s="1">
        <v>4.8399999999999997E-3</v>
      </c>
    </row>
    <row r="1084" spans="1:8" x14ac:dyDescent="0.25">
      <c r="A1084" t="s">
        <v>1423</v>
      </c>
      <c r="B1084">
        <v>20</v>
      </c>
      <c r="C1084">
        <v>11.096</v>
      </c>
      <c r="D1084" s="3">
        <v>11.1</v>
      </c>
      <c r="E1084" t="s">
        <v>951</v>
      </c>
      <c r="F1084">
        <v>3623988</v>
      </c>
      <c r="G1084" s="1">
        <v>2.5999999999999999E-2</v>
      </c>
      <c r="H1084" s="1">
        <v>6.5799999999999999E-3</v>
      </c>
    </row>
    <row r="1085" spans="1:8" x14ac:dyDescent="0.25">
      <c r="A1085" t="s">
        <v>1423</v>
      </c>
      <c r="B1085">
        <v>21</v>
      </c>
      <c r="C1085">
        <v>11.222</v>
      </c>
      <c r="D1085" s="3">
        <v>11.22</v>
      </c>
      <c r="E1085" t="s">
        <v>952</v>
      </c>
      <c r="F1085">
        <v>1050986</v>
      </c>
      <c r="G1085" s="1">
        <v>7.4999999999999997E-3</v>
      </c>
      <c r="H1085" s="1">
        <v>1.91E-3</v>
      </c>
    </row>
    <row r="1086" spans="1:8" x14ac:dyDescent="0.25">
      <c r="A1086" t="s">
        <v>1423</v>
      </c>
      <c r="B1086">
        <v>22</v>
      </c>
      <c r="C1086">
        <v>11.414999999999999</v>
      </c>
      <c r="D1086" s="3">
        <v>11.42</v>
      </c>
      <c r="E1086" t="s">
        <v>953</v>
      </c>
      <c r="F1086">
        <v>1076031</v>
      </c>
      <c r="G1086" s="1">
        <v>7.7000000000000002E-3</v>
      </c>
      <c r="H1086" s="1">
        <v>1.9499999999999999E-3</v>
      </c>
    </row>
    <row r="1087" spans="1:8" x14ac:dyDescent="0.25">
      <c r="A1087" t="s">
        <v>1423</v>
      </c>
      <c r="B1087">
        <v>23</v>
      </c>
      <c r="C1087">
        <v>11.638</v>
      </c>
      <c r="D1087" s="3">
        <v>11.64</v>
      </c>
      <c r="E1087" t="s">
        <v>954</v>
      </c>
      <c r="F1087">
        <v>1056420</v>
      </c>
      <c r="G1087" s="1">
        <v>7.6E-3</v>
      </c>
      <c r="H1087" s="1">
        <v>1.92E-3</v>
      </c>
    </row>
    <row r="1088" spans="1:8" x14ac:dyDescent="0.25">
      <c r="A1088" t="s">
        <v>1423</v>
      </c>
      <c r="B1088">
        <v>24</v>
      </c>
      <c r="C1088">
        <v>12.707000000000001</v>
      </c>
      <c r="D1088" s="3">
        <v>12.71</v>
      </c>
      <c r="E1088" t="s">
        <v>955</v>
      </c>
      <c r="F1088">
        <v>6489179</v>
      </c>
      <c r="G1088" s="1">
        <v>4.6600000000000003E-2</v>
      </c>
      <c r="H1088" s="1">
        <v>1.1780000000000001E-2</v>
      </c>
    </row>
    <row r="1089" spans="1:8" x14ac:dyDescent="0.25">
      <c r="A1089" t="s">
        <v>1423</v>
      </c>
      <c r="B1089">
        <v>25</v>
      </c>
      <c r="C1089">
        <v>12.843</v>
      </c>
      <c r="D1089" s="3">
        <v>12.84</v>
      </c>
      <c r="E1089" t="s">
        <v>956</v>
      </c>
      <c r="F1089">
        <v>22077877</v>
      </c>
      <c r="G1089" s="1">
        <v>0.15840000000000001</v>
      </c>
      <c r="H1089" s="1">
        <v>4.0090000000000001E-2</v>
      </c>
    </row>
    <row r="1090" spans="1:8" x14ac:dyDescent="0.25">
      <c r="A1090" t="s">
        <v>1423</v>
      </c>
      <c r="B1090">
        <v>26</v>
      </c>
      <c r="C1090">
        <v>13.226000000000001</v>
      </c>
      <c r="D1090" s="3">
        <v>13.23</v>
      </c>
      <c r="E1090" t="s">
        <v>957</v>
      </c>
      <c r="F1090">
        <v>14714240</v>
      </c>
      <c r="G1090" s="1">
        <v>0.1056</v>
      </c>
      <c r="H1090" s="1">
        <v>2.6720000000000001E-2</v>
      </c>
    </row>
    <row r="1091" spans="1:8" x14ac:dyDescent="0.25">
      <c r="A1091" t="s">
        <v>1423</v>
      </c>
      <c r="B1091">
        <v>27</v>
      </c>
      <c r="C1091">
        <v>14.007999999999999</v>
      </c>
      <c r="D1091" s="3">
        <v>14.01</v>
      </c>
      <c r="E1091" t="s">
        <v>958</v>
      </c>
      <c r="F1091">
        <v>1171313</v>
      </c>
      <c r="G1091" s="1">
        <v>8.3999999999999995E-3</v>
      </c>
      <c r="H1091" s="1">
        <v>2.1299999999999999E-3</v>
      </c>
    </row>
    <row r="1092" spans="1:8" x14ac:dyDescent="0.25">
      <c r="A1092" t="s">
        <v>1423</v>
      </c>
      <c r="B1092">
        <v>28</v>
      </c>
      <c r="C1092">
        <v>14.233000000000001</v>
      </c>
      <c r="D1092" s="3">
        <v>14.23</v>
      </c>
      <c r="E1092" t="s">
        <v>959</v>
      </c>
      <c r="F1092">
        <v>1600019</v>
      </c>
      <c r="G1092" s="1">
        <v>1.15E-2</v>
      </c>
      <c r="H1092" s="1">
        <v>2.9099999999999998E-3</v>
      </c>
    </row>
    <row r="1093" spans="1:8" x14ac:dyDescent="0.25">
      <c r="A1093" t="s">
        <v>1423</v>
      </c>
      <c r="B1093">
        <v>29</v>
      </c>
      <c r="C1093">
        <v>14.528</v>
      </c>
      <c r="D1093" s="3">
        <v>14.53</v>
      </c>
      <c r="E1093" t="s">
        <v>960</v>
      </c>
      <c r="F1093">
        <v>2022137</v>
      </c>
      <c r="G1093" s="1">
        <v>1.4500000000000001E-2</v>
      </c>
      <c r="H1093" s="1">
        <v>3.6700000000000001E-3</v>
      </c>
    </row>
    <row r="1094" spans="1:8" x14ac:dyDescent="0.25">
      <c r="A1094" t="s">
        <v>1423</v>
      </c>
      <c r="B1094">
        <v>30</v>
      </c>
      <c r="C1094">
        <v>15.343999999999999</v>
      </c>
      <c r="D1094" s="3">
        <v>15.34</v>
      </c>
      <c r="E1094" t="s">
        <v>961</v>
      </c>
      <c r="F1094">
        <v>1298562</v>
      </c>
      <c r="G1094" s="1">
        <v>9.2999999999999992E-3</v>
      </c>
      <c r="H1094" s="1">
        <v>2.3600000000000001E-3</v>
      </c>
    </row>
    <row r="1095" spans="1:8" x14ac:dyDescent="0.25">
      <c r="A1095" t="s">
        <v>1423</v>
      </c>
      <c r="B1095">
        <v>31</v>
      </c>
      <c r="C1095">
        <v>15.416</v>
      </c>
      <c r="D1095" s="3">
        <v>15.42</v>
      </c>
      <c r="E1095" t="s">
        <v>962</v>
      </c>
      <c r="F1095">
        <v>2225809</v>
      </c>
      <c r="G1095" s="1">
        <v>1.6E-2</v>
      </c>
      <c r="H1095" s="1">
        <v>4.0400000000000002E-3</v>
      </c>
    </row>
    <row r="1096" spans="1:8" x14ac:dyDescent="0.25">
      <c r="A1096" t="s">
        <v>1423</v>
      </c>
      <c r="B1096">
        <v>32</v>
      </c>
      <c r="C1096">
        <v>15.526</v>
      </c>
      <c r="D1096" s="3">
        <v>15.53</v>
      </c>
      <c r="E1096" t="s">
        <v>963</v>
      </c>
      <c r="F1096">
        <v>2999924</v>
      </c>
      <c r="G1096" s="1">
        <v>2.1499999999999998E-2</v>
      </c>
      <c r="H1096" s="1">
        <v>5.45E-3</v>
      </c>
    </row>
    <row r="1097" spans="1:8" x14ac:dyDescent="0.25">
      <c r="A1097" t="s">
        <v>1423</v>
      </c>
      <c r="B1097">
        <v>33</v>
      </c>
      <c r="C1097">
        <v>15.722</v>
      </c>
      <c r="D1097" s="3">
        <v>15.72</v>
      </c>
      <c r="E1097" t="s">
        <v>964</v>
      </c>
      <c r="F1097">
        <v>1446610</v>
      </c>
      <c r="G1097" s="1">
        <v>1.04E-2</v>
      </c>
      <c r="H1097" s="1">
        <v>2.63E-3</v>
      </c>
    </row>
    <row r="1098" spans="1:8" x14ac:dyDescent="0.25">
      <c r="A1098" t="s">
        <v>1423</v>
      </c>
      <c r="B1098">
        <v>34</v>
      </c>
      <c r="C1098">
        <v>15.877000000000001</v>
      </c>
      <c r="D1098" s="3">
        <v>15.88</v>
      </c>
      <c r="E1098" t="s">
        <v>965</v>
      </c>
      <c r="F1098">
        <v>7618271</v>
      </c>
      <c r="G1098" s="1">
        <v>5.4699999999999999E-2</v>
      </c>
      <c r="H1098" s="1">
        <v>1.383E-2</v>
      </c>
    </row>
    <row r="1099" spans="1:8" x14ac:dyDescent="0.25">
      <c r="A1099" t="s">
        <v>1423</v>
      </c>
      <c r="B1099">
        <v>35</v>
      </c>
      <c r="C1099">
        <v>16.663</v>
      </c>
      <c r="D1099" s="3">
        <v>16.66</v>
      </c>
      <c r="E1099" t="s">
        <v>966</v>
      </c>
      <c r="F1099">
        <v>3670332</v>
      </c>
      <c r="G1099" s="1">
        <v>2.63E-2</v>
      </c>
      <c r="H1099" s="1">
        <v>6.6600000000000001E-3</v>
      </c>
    </row>
    <row r="1100" spans="1:8" x14ac:dyDescent="0.25">
      <c r="A1100" t="s">
        <v>1423</v>
      </c>
      <c r="B1100">
        <v>36</v>
      </c>
      <c r="C1100">
        <v>16.763999999999999</v>
      </c>
      <c r="D1100" s="3">
        <v>16.760000000000002</v>
      </c>
      <c r="E1100" t="s">
        <v>967</v>
      </c>
      <c r="F1100">
        <v>2845825</v>
      </c>
      <c r="G1100" s="1">
        <v>2.0400000000000001E-2</v>
      </c>
      <c r="H1100" s="1">
        <v>5.1700000000000001E-3</v>
      </c>
    </row>
    <row r="1101" spans="1:8" x14ac:dyDescent="0.25">
      <c r="A1101" t="s">
        <v>1423</v>
      </c>
      <c r="B1101">
        <v>37</v>
      </c>
      <c r="C1101">
        <v>17.071000000000002</v>
      </c>
      <c r="D1101" s="3">
        <v>17.07</v>
      </c>
      <c r="E1101" t="s">
        <v>968</v>
      </c>
      <c r="F1101">
        <v>88503090</v>
      </c>
      <c r="G1101" s="1">
        <v>0.6351</v>
      </c>
      <c r="H1101" s="1">
        <v>0.16070999999999999</v>
      </c>
    </row>
    <row r="1102" spans="1:8" x14ac:dyDescent="0.25">
      <c r="A1102" t="s">
        <v>1423</v>
      </c>
      <c r="B1102">
        <v>38</v>
      </c>
      <c r="C1102">
        <v>17.454999999999998</v>
      </c>
      <c r="D1102" s="3">
        <v>17.46</v>
      </c>
      <c r="E1102" t="s">
        <v>969</v>
      </c>
      <c r="F1102">
        <v>11047071</v>
      </c>
      <c r="G1102" s="1">
        <v>7.9299999999999995E-2</v>
      </c>
      <c r="H1102" s="1">
        <v>2.0060000000000001E-2</v>
      </c>
    </row>
    <row r="1103" spans="1:8" x14ac:dyDescent="0.25">
      <c r="A1103" t="s">
        <v>1423</v>
      </c>
      <c r="B1103">
        <v>39</v>
      </c>
      <c r="C1103">
        <v>17.716999999999999</v>
      </c>
      <c r="D1103" s="3">
        <v>17.72</v>
      </c>
      <c r="E1103" t="s">
        <v>970</v>
      </c>
      <c r="F1103">
        <v>1267564</v>
      </c>
      <c r="G1103" s="1">
        <v>9.1000000000000004E-3</v>
      </c>
      <c r="H1103" s="1">
        <v>2.3E-3</v>
      </c>
    </row>
    <row r="1104" spans="1:8" x14ac:dyDescent="0.25">
      <c r="A1104" t="s">
        <v>1423</v>
      </c>
      <c r="B1104">
        <v>40</v>
      </c>
      <c r="C1104">
        <v>17.803000000000001</v>
      </c>
      <c r="D1104" s="3">
        <v>17.8</v>
      </c>
      <c r="E1104" t="s">
        <v>971</v>
      </c>
      <c r="F1104">
        <v>2681449</v>
      </c>
      <c r="G1104" s="1">
        <v>1.9199999999999998E-2</v>
      </c>
      <c r="H1104" s="1">
        <v>4.8700000000000002E-3</v>
      </c>
    </row>
    <row r="1105" spans="1:8" x14ac:dyDescent="0.25">
      <c r="A1105" t="s">
        <v>1423</v>
      </c>
      <c r="B1105">
        <v>41</v>
      </c>
      <c r="C1105">
        <v>18.062999999999999</v>
      </c>
      <c r="D1105" s="3">
        <v>18.059999999999999</v>
      </c>
      <c r="E1105" t="s">
        <v>972</v>
      </c>
      <c r="F1105">
        <v>3283591</v>
      </c>
      <c r="G1105" s="1">
        <v>2.3599999999999999E-2</v>
      </c>
      <c r="H1105" s="1">
        <v>5.96E-3</v>
      </c>
    </row>
    <row r="1106" spans="1:8" x14ac:dyDescent="0.25">
      <c r="A1106" t="s">
        <v>1423</v>
      </c>
      <c r="B1106">
        <v>42</v>
      </c>
      <c r="C1106">
        <v>18.305</v>
      </c>
      <c r="D1106" s="3">
        <v>18.309999999999999</v>
      </c>
      <c r="E1106" t="s">
        <v>973</v>
      </c>
      <c r="F1106">
        <v>2931826</v>
      </c>
      <c r="G1106" s="1">
        <v>2.1000000000000001E-2</v>
      </c>
      <c r="H1106" s="1">
        <v>5.3200000000000001E-3</v>
      </c>
    </row>
    <row r="1107" spans="1:8" x14ac:dyDescent="0.25">
      <c r="A1107" t="s">
        <v>1423</v>
      </c>
      <c r="B1107">
        <v>43</v>
      </c>
      <c r="C1107">
        <v>18.736000000000001</v>
      </c>
      <c r="D1107" s="3">
        <v>18.739999999999998</v>
      </c>
      <c r="E1107" t="s">
        <v>974</v>
      </c>
      <c r="F1107">
        <v>2070750</v>
      </c>
      <c r="G1107" s="1">
        <v>1.49E-2</v>
      </c>
      <c r="H1107" s="1">
        <v>3.7599999999999999E-3</v>
      </c>
    </row>
    <row r="1108" spans="1:8" x14ac:dyDescent="0.25">
      <c r="A1108" t="s">
        <v>1423</v>
      </c>
      <c r="B1108">
        <v>44</v>
      </c>
      <c r="C1108">
        <v>18.843</v>
      </c>
      <c r="D1108" s="3">
        <v>18.84</v>
      </c>
      <c r="E1108" t="s">
        <v>975</v>
      </c>
      <c r="F1108">
        <v>5594822</v>
      </c>
      <c r="G1108" s="1">
        <v>4.0099999999999997E-2</v>
      </c>
      <c r="H1108" s="1">
        <v>1.0160000000000001E-2</v>
      </c>
    </row>
    <row r="1109" spans="1:8" x14ac:dyDescent="0.25">
      <c r="A1109" t="s">
        <v>1423</v>
      </c>
      <c r="B1109">
        <v>45</v>
      </c>
      <c r="C1109">
        <v>20.225000000000001</v>
      </c>
      <c r="D1109" s="3">
        <v>20.23</v>
      </c>
      <c r="E1109" t="s">
        <v>976</v>
      </c>
      <c r="F1109">
        <v>2507118</v>
      </c>
      <c r="G1109" s="1">
        <v>1.7999999999999999E-2</v>
      </c>
      <c r="H1109" s="1">
        <v>4.5500000000000002E-3</v>
      </c>
    </row>
    <row r="1110" spans="1:8" x14ac:dyDescent="0.25">
      <c r="A1110" t="s">
        <v>1423</v>
      </c>
      <c r="B1110">
        <v>46</v>
      </c>
      <c r="C1110">
        <v>20.966999999999999</v>
      </c>
      <c r="D1110" s="3">
        <v>20.97</v>
      </c>
      <c r="E1110" t="s">
        <v>977</v>
      </c>
      <c r="F1110">
        <v>2062908</v>
      </c>
      <c r="G1110" s="1">
        <v>1.4800000000000001E-2</v>
      </c>
      <c r="H1110" s="1">
        <v>3.7499999999999999E-3</v>
      </c>
    </row>
    <row r="1111" spans="1:8" x14ac:dyDescent="0.25">
      <c r="A1111" t="s">
        <v>1423</v>
      </c>
      <c r="B1111">
        <v>47</v>
      </c>
      <c r="C1111">
        <v>21.170999999999999</v>
      </c>
      <c r="D1111" s="3">
        <v>21.17</v>
      </c>
      <c r="E1111" t="s">
        <v>978</v>
      </c>
      <c r="F1111">
        <v>1586867</v>
      </c>
      <c r="G1111" s="1">
        <v>1.14E-2</v>
      </c>
      <c r="H1111" s="1">
        <v>2.8800000000000002E-3</v>
      </c>
    </row>
    <row r="1112" spans="1:8" x14ac:dyDescent="0.25">
      <c r="A1112" t="s">
        <v>1423</v>
      </c>
      <c r="B1112">
        <v>48</v>
      </c>
      <c r="C1112">
        <v>21.404</v>
      </c>
      <c r="D1112" s="3">
        <v>21.4</v>
      </c>
      <c r="E1112" t="s">
        <v>979</v>
      </c>
      <c r="F1112">
        <v>1799833</v>
      </c>
      <c r="G1112" s="1">
        <v>1.29E-2</v>
      </c>
      <c r="H1112" s="1">
        <v>3.2699999999999999E-3</v>
      </c>
    </row>
    <row r="1113" spans="1:8" x14ac:dyDescent="0.25">
      <c r="A1113" t="s">
        <v>1423</v>
      </c>
      <c r="B1113">
        <v>49</v>
      </c>
      <c r="C1113">
        <v>22.512</v>
      </c>
      <c r="D1113" s="3">
        <v>22.51</v>
      </c>
      <c r="E1113" t="s">
        <v>980</v>
      </c>
      <c r="F1113">
        <v>1164722</v>
      </c>
      <c r="G1113" s="1">
        <v>8.3999999999999995E-3</v>
      </c>
      <c r="H1113" s="1">
        <v>2.1099999999999999E-3</v>
      </c>
    </row>
    <row r="1114" spans="1:8" x14ac:dyDescent="0.25">
      <c r="A1114" t="s">
        <v>1423</v>
      </c>
      <c r="B1114">
        <v>50</v>
      </c>
      <c r="C1114">
        <v>23.475999999999999</v>
      </c>
      <c r="D1114" s="3">
        <v>23.48</v>
      </c>
      <c r="E1114" t="s">
        <v>981</v>
      </c>
      <c r="F1114">
        <v>3994998</v>
      </c>
      <c r="G1114" s="1">
        <v>2.87E-2</v>
      </c>
      <c r="H1114" s="1">
        <v>7.2500000000000004E-3</v>
      </c>
    </row>
    <row r="1115" spans="1:8" x14ac:dyDescent="0.25">
      <c r="A1115" t="s">
        <v>1423</v>
      </c>
      <c r="B1115">
        <v>51</v>
      </c>
      <c r="C1115">
        <v>23.664000000000001</v>
      </c>
      <c r="D1115" s="3">
        <v>23.66</v>
      </c>
      <c r="E1115" t="s">
        <v>982</v>
      </c>
      <c r="F1115">
        <v>1644627</v>
      </c>
      <c r="G1115" s="1">
        <v>1.18E-2</v>
      </c>
      <c r="H1115" s="1">
        <v>2.99E-3</v>
      </c>
    </row>
    <row r="1116" spans="1:8" x14ac:dyDescent="0.25">
      <c r="A1116" t="s">
        <v>1423</v>
      </c>
      <c r="B1116">
        <v>52</v>
      </c>
      <c r="C1116">
        <v>23.928999999999998</v>
      </c>
      <c r="D1116" s="3">
        <v>23.93</v>
      </c>
      <c r="E1116" t="s">
        <v>983</v>
      </c>
      <c r="F1116">
        <v>1154117</v>
      </c>
      <c r="G1116" s="1">
        <v>8.3000000000000001E-3</v>
      </c>
      <c r="H1116" s="1">
        <v>2.0999999999999999E-3</v>
      </c>
    </row>
    <row r="1117" spans="1:8" x14ac:dyDescent="0.25">
      <c r="A1117" t="s">
        <v>1423</v>
      </c>
      <c r="B1117">
        <v>53</v>
      </c>
      <c r="C1117">
        <v>25.846</v>
      </c>
      <c r="D1117" s="3">
        <v>25.85</v>
      </c>
      <c r="E1117" t="s">
        <v>984</v>
      </c>
      <c r="F1117">
        <v>1045577</v>
      </c>
      <c r="G1117" s="1">
        <v>7.4999999999999997E-3</v>
      </c>
      <c r="H1117" s="1">
        <v>1.9E-3</v>
      </c>
    </row>
    <row r="1118" spans="1:8" x14ac:dyDescent="0.25">
      <c r="A1118" t="s">
        <v>1423</v>
      </c>
      <c r="B1118">
        <v>54</v>
      </c>
      <c r="C1118">
        <v>26.012</v>
      </c>
      <c r="D1118" s="3">
        <v>26.01</v>
      </c>
      <c r="E1118" t="s">
        <v>985</v>
      </c>
      <c r="F1118">
        <v>1156273</v>
      </c>
      <c r="G1118" s="1">
        <v>8.3000000000000001E-3</v>
      </c>
      <c r="H1118" s="1">
        <v>2.0999999999999999E-3</v>
      </c>
    </row>
    <row r="1119" spans="1:8" x14ac:dyDescent="0.25">
      <c r="A1119" t="s">
        <v>1423</v>
      </c>
      <c r="B1119">
        <v>55</v>
      </c>
      <c r="C1119">
        <v>27.43</v>
      </c>
      <c r="D1119" s="3">
        <v>27.43</v>
      </c>
      <c r="E1119" t="s">
        <v>986</v>
      </c>
      <c r="F1119">
        <v>1212354</v>
      </c>
      <c r="G1119" s="1">
        <v>8.6999999999999994E-3</v>
      </c>
      <c r="H1119" s="1">
        <v>2.2000000000000001E-3</v>
      </c>
    </row>
    <row r="1120" spans="1:8" x14ac:dyDescent="0.25">
      <c r="A1120" t="s">
        <v>1423</v>
      </c>
      <c r="B1120">
        <v>56</v>
      </c>
      <c r="C1120">
        <v>27.507000000000001</v>
      </c>
      <c r="D1120" s="3">
        <v>27.51</v>
      </c>
      <c r="E1120" t="s">
        <v>987</v>
      </c>
      <c r="F1120">
        <v>2043101</v>
      </c>
      <c r="G1120" s="1">
        <v>1.47E-2</v>
      </c>
      <c r="H1120" s="1">
        <v>3.7100000000000002E-3</v>
      </c>
    </row>
    <row r="1121" spans="1:8" x14ac:dyDescent="0.25">
      <c r="A1121" t="s">
        <v>1423</v>
      </c>
      <c r="B1121">
        <v>57</v>
      </c>
      <c r="C1121">
        <v>28.481000000000002</v>
      </c>
      <c r="D1121" s="3">
        <v>28.48</v>
      </c>
      <c r="E1121">
        <v>3651946</v>
      </c>
      <c r="F1121">
        <v>48174241</v>
      </c>
      <c r="G1121" s="1">
        <v>0.34570000000000001</v>
      </c>
      <c r="H1121" s="1">
        <v>8.7480000000000002E-2</v>
      </c>
    </row>
    <row r="1122" spans="1:8" x14ac:dyDescent="0.25">
      <c r="A1122" t="s">
        <v>1423</v>
      </c>
      <c r="B1122">
        <v>58</v>
      </c>
      <c r="C1122">
        <v>28.594999999999999</v>
      </c>
      <c r="D1122" s="3">
        <v>28.6</v>
      </c>
      <c r="E1122" t="s">
        <v>988</v>
      </c>
      <c r="F1122">
        <v>1996313</v>
      </c>
      <c r="G1122" s="1">
        <v>1.43E-2</v>
      </c>
      <c r="H1122" s="1">
        <v>3.63E-3</v>
      </c>
    </row>
    <row r="1123" spans="1:8" x14ac:dyDescent="0.25">
      <c r="A1123" t="s">
        <v>1423</v>
      </c>
      <c r="B1123">
        <v>59</v>
      </c>
      <c r="C1123">
        <v>28.635999999999999</v>
      </c>
      <c r="D1123" s="3">
        <v>28.64</v>
      </c>
      <c r="E1123" t="s">
        <v>989</v>
      </c>
      <c r="F1123">
        <v>1705356</v>
      </c>
      <c r="G1123" s="1">
        <v>1.2200000000000001E-2</v>
      </c>
      <c r="H1123" s="1">
        <v>3.0999999999999999E-3</v>
      </c>
    </row>
    <row r="1124" spans="1:8" x14ac:dyDescent="0.25">
      <c r="A1124" t="s">
        <v>1423</v>
      </c>
      <c r="B1124">
        <v>60</v>
      </c>
      <c r="C1124">
        <v>28.733000000000001</v>
      </c>
      <c r="D1124" s="3">
        <v>28.73</v>
      </c>
      <c r="E1124" t="s">
        <v>990</v>
      </c>
      <c r="F1124">
        <v>8598875</v>
      </c>
      <c r="G1124" s="1">
        <v>6.1699999999999998E-2</v>
      </c>
      <c r="H1124" s="1">
        <v>1.5610000000000001E-2</v>
      </c>
    </row>
    <row r="1125" spans="1:8" x14ac:dyDescent="0.25">
      <c r="A1125" t="s">
        <v>1423</v>
      </c>
      <c r="B1125">
        <v>61</v>
      </c>
      <c r="C1125">
        <v>28.891999999999999</v>
      </c>
      <c r="D1125" s="3">
        <v>28.89</v>
      </c>
      <c r="E1125">
        <v>1381811</v>
      </c>
      <c r="F1125">
        <v>17076555</v>
      </c>
      <c r="G1125" s="1">
        <v>0.1225</v>
      </c>
      <c r="H1125" s="1">
        <v>3.1009999999999999E-2</v>
      </c>
    </row>
    <row r="1126" spans="1:8" x14ac:dyDescent="0.25">
      <c r="A1126" t="s">
        <v>1423</v>
      </c>
      <c r="B1126">
        <v>62</v>
      </c>
      <c r="C1126">
        <v>29.05</v>
      </c>
      <c r="D1126" s="3">
        <v>29.05</v>
      </c>
      <c r="E1126">
        <v>12240181</v>
      </c>
      <c r="F1126">
        <v>139362336</v>
      </c>
      <c r="G1126" s="1">
        <v>1</v>
      </c>
      <c r="H1126" s="1">
        <v>0.25307000000000002</v>
      </c>
    </row>
    <row r="1127" spans="1:8" x14ac:dyDescent="0.25">
      <c r="A1127" t="s">
        <v>1423</v>
      </c>
      <c r="B1127">
        <v>63</v>
      </c>
      <c r="C1127">
        <v>29.16</v>
      </c>
      <c r="D1127" s="3">
        <v>29.16</v>
      </c>
      <c r="E1127" t="s">
        <v>991</v>
      </c>
      <c r="F1127">
        <v>1950915</v>
      </c>
      <c r="G1127" s="1">
        <v>1.4E-2</v>
      </c>
      <c r="H1127" s="1">
        <v>3.5400000000000002E-3</v>
      </c>
    </row>
    <row r="1128" spans="1:8" x14ac:dyDescent="0.25">
      <c r="A1128" t="s">
        <v>1423</v>
      </c>
      <c r="B1128">
        <v>64</v>
      </c>
      <c r="C1128">
        <v>29.233000000000001</v>
      </c>
      <c r="D1128" s="3">
        <v>29.23</v>
      </c>
      <c r="E1128" t="s">
        <v>992</v>
      </c>
      <c r="F1128">
        <v>3859260</v>
      </c>
      <c r="G1128" s="1">
        <v>2.7699999999999999E-2</v>
      </c>
      <c r="H1128" s="1">
        <v>7.0099999999999997E-3</v>
      </c>
    </row>
    <row r="1129" spans="1:8" x14ac:dyDescent="0.25">
      <c r="A1129" t="s">
        <v>1423</v>
      </c>
      <c r="B1129">
        <v>65</v>
      </c>
      <c r="C1129">
        <v>29.311</v>
      </c>
      <c r="D1129" s="3">
        <v>29.31</v>
      </c>
      <c r="E1129" t="s">
        <v>993</v>
      </c>
      <c r="F1129">
        <v>1720704</v>
      </c>
      <c r="G1129" s="1">
        <v>1.23E-2</v>
      </c>
      <c r="H1129" s="1">
        <v>3.1199999999999999E-3</v>
      </c>
    </row>
    <row r="1130" spans="1:8" x14ac:dyDescent="0.25">
      <c r="A1130" t="s">
        <v>1423</v>
      </c>
      <c r="B1130">
        <v>66</v>
      </c>
      <c r="C1130">
        <v>29.431999999999999</v>
      </c>
      <c r="D1130" s="3">
        <v>29.43</v>
      </c>
      <c r="E1130" t="s">
        <v>994</v>
      </c>
      <c r="F1130">
        <v>2263406</v>
      </c>
      <c r="G1130" s="1">
        <v>1.6199999999999999E-2</v>
      </c>
      <c r="H1130" s="1">
        <v>4.1099999999999999E-3</v>
      </c>
    </row>
    <row r="1131" spans="1:8" x14ac:dyDescent="0.25">
      <c r="A1131" t="s">
        <v>1423</v>
      </c>
      <c r="B1131">
        <v>67</v>
      </c>
      <c r="C1131">
        <v>29.466000000000001</v>
      </c>
      <c r="D1131" s="3">
        <v>29.47</v>
      </c>
      <c r="E1131" t="s">
        <v>995</v>
      </c>
      <c r="F1131">
        <v>1930205</v>
      </c>
      <c r="G1131" s="1">
        <v>1.3899999999999999E-2</v>
      </c>
      <c r="H1131" s="1">
        <v>3.5100000000000001E-3</v>
      </c>
    </row>
    <row r="1132" spans="1:8" x14ac:dyDescent="0.25">
      <c r="A1132" t="s">
        <v>1423</v>
      </c>
      <c r="B1132">
        <v>68</v>
      </c>
      <c r="C1132">
        <v>29.533000000000001</v>
      </c>
      <c r="D1132" s="3">
        <v>29.53</v>
      </c>
      <c r="E1132" t="s">
        <v>996</v>
      </c>
      <c r="F1132">
        <v>1985886</v>
      </c>
      <c r="G1132" s="1">
        <v>1.4200000000000001E-2</v>
      </c>
      <c r="H1132" s="1">
        <v>3.6099999999999999E-3</v>
      </c>
    </row>
    <row r="1133" spans="1:8" x14ac:dyDescent="0.25">
      <c r="A1133" t="s">
        <v>1423</v>
      </c>
      <c r="B1133">
        <v>69</v>
      </c>
      <c r="C1133">
        <v>29.62</v>
      </c>
      <c r="D1133" s="3">
        <v>29.62</v>
      </c>
      <c r="E1133" t="s">
        <v>997</v>
      </c>
      <c r="F1133">
        <v>1332021</v>
      </c>
      <c r="G1133" s="1">
        <v>9.5999999999999992E-3</v>
      </c>
      <c r="H1133" s="1">
        <v>2.4199999999999998E-3</v>
      </c>
    </row>
    <row r="1134" spans="1:8" x14ac:dyDescent="0.25">
      <c r="A1134" t="s">
        <v>1423</v>
      </c>
      <c r="B1134">
        <v>70</v>
      </c>
      <c r="C1134">
        <v>29.67</v>
      </c>
      <c r="D1134" s="3">
        <v>29.67</v>
      </c>
      <c r="E1134" t="s">
        <v>998</v>
      </c>
      <c r="F1134">
        <v>1217191</v>
      </c>
      <c r="G1134" s="1">
        <v>8.6999999999999994E-3</v>
      </c>
      <c r="H1134" s="1">
        <v>2.2100000000000002E-3</v>
      </c>
    </row>
    <row r="1135" spans="1:8" x14ac:dyDescent="0.25">
      <c r="A1135" t="s">
        <v>1423</v>
      </c>
      <c r="B1135">
        <v>71</v>
      </c>
      <c r="C1135">
        <v>29.741</v>
      </c>
      <c r="D1135" s="3">
        <v>29.74</v>
      </c>
      <c r="E1135">
        <v>1067319</v>
      </c>
      <c r="F1135">
        <v>14155848</v>
      </c>
      <c r="G1135" s="1">
        <v>0.1016</v>
      </c>
      <c r="H1135" s="1">
        <v>2.571E-2</v>
      </c>
    </row>
    <row r="1136" spans="1:8" x14ac:dyDescent="0.25">
      <c r="A1136" t="s">
        <v>1423</v>
      </c>
      <c r="B1136">
        <v>72</v>
      </c>
      <c r="C1136">
        <v>29.824000000000002</v>
      </c>
      <c r="D1136" s="3">
        <v>29.82</v>
      </c>
      <c r="E1136" t="s">
        <v>999</v>
      </c>
      <c r="F1136">
        <v>5588971</v>
      </c>
      <c r="G1136" s="1">
        <v>4.0099999999999997E-2</v>
      </c>
      <c r="H1136" s="1">
        <v>1.0149999999999999E-2</v>
      </c>
    </row>
    <row r="1137" spans="1:8" x14ac:dyDescent="0.25">
      <c r="A1137" t="s">
        <v>1423</v>
      </c>
      <c r="B1137">
        <v>73</v>
      </c>
      <c r="C1137">
        <v>29.937999999999999</v>
      </c>
      <c r="D1137" s="3">
        <v>29.94</v>
      </c>
      <c r="E1137" t="s">
        <v>1000</v>
      </c>
      <c r="F1137">
        <v>1316962</v>
      </c>
      <c r="G1137" s="1">
        <v>9.4000000000000004E-3</v>
      </c>
      <c r="H1137" s="1">
        <v>2.3900000000000002E-3</v>
      </c>
    </row>
    <row r="1138" spans="1:8" x14ac:dyDescent="0.25">
      <c r="A1138" t="s">
        <v>1423</v>
      </c>
      <c r="B1138">
        <v>74</v>
      </c>
      <c r="C1138">
        <v>30.015000000000001</v>
      </c>
      <c r="D1138" s="3">
        <v>30.02</v>
      </c>
      <c r="E1138">
        <v>81616</v>
      </c>
      <c r="F1138">
        <v>1554438</v>
      </c>
      <c r="G1138" s="1">
        <v>1.12E-2</v>
      </c>
      <c r="H1138" s="1">
        <v>2.82E-3</v>
      </c>
    </row>
    <row r="1139" spans="1:8" x14ac:dyDescent="0.25">
      <c r="A1139" t="s">
        <v>1423</v>
      </c>
      <c r="B1139">
        <v>75</v>
      </c>
      <c r="C1139">
        <v>30.175999999999998</v>
      </c>
      <c r="D1139" s="3">
        <v>30.18</v>
      </c>
      <c r="E1139">
        <v>139387</v>
      </c>
      <c r="F1139">
        <v>1431569</v>
      </c>
      <c r="G1139" s="1">
        <v>1.03E-2</v>
      </c>
      <c r="H1139" s="1">
        <v>2.5999999999999999E-3</v>
      </c>
    </row>
    <row r="1140" spans="1:8" x14ac:dyDescent="0.25">
      <c r="A1140" t="s">
        <v>1423</v>
      </c>
      <c r="B1140">
        <v>76</v>
      </c>
      <c r="C1140">
        <v>30.812999999999999</v>
      </c>
      <c r="D1140" s="3">
        <v>30.81</v>
      </c>
      <c r="E1140">
        <v>36436</v>
      </c>
      <c r="F1140">
        <v>1006783</v>
      </c>
      <c r="G1140" s="1">
        <v>7.1999999999999998E-3</v>
      </c>
      <c r="H1140" s="1">
        <v>1.83E-3</v>
      </c>
    </row>
    <row r="1141" spans="1:8" x14ac:dyDescent="0.25">
      <c r="A1141" t="s">
        <v>1423</v>
      </c>
      <c r="B1141">
        <v>77</v>
      </c>
      <c r="C1141">
        <v>31.73</v>
      </c>
      <c r="D1141" s="3">
        <v>31.73</v>
      </c>
      <c r="E1141" t="s">
        <v>1001</v>
      </c>
      <c r="F1141">
        <v>1484334</v>
      </c>
      <c r="G1141" s="1">
        <v>1.0699999999999999E-2</v>
      </c>
      <c r="H1141" s="1">
        <v>2.7000000000000001E-3</v>
      </c>
    </row>
    <row r="1142" spans="1:8" x14ac:dyDescent="0.25">
      <c r="A1142" t="s">
        <v>1423</v>
      </c>
      <c r="B1142">
        <v>78</v>
      </c>
      <c r="C1142">
        <v>31.806999999999999</v>
      </c>
      <c r="D1142" s="3">
        <v>31.81</v>
      </c>
      <c r="E1142" t="s">
        <v>1002</v>
      </c>
      <c r="F1142">
        <v>1110407</v>
      </c>
      <c r="G1142" s="1">
        <v>8.0000000000000002E-3</v>
      </c>
      <c r="H1142" s="1">
        <v>2.0200000000000001E-3</v>
      </c>
    </row>
    <row r="1143" spans="1:8" x14ac:dyDescent="0.25">
      <c r="A1143" t="s">
        <v>1423</v>
      </c>
      <c r="B1143">
        <v>79</v>
      </c>
      <c r="C1143">
        <v>31.989000000000001</v>
      </c>
      <c r="D1143" s="3">
        <v>31.99</v>
      </c>
      <c r="E1143">
        <v>272404</v>
      </c>
      <c r="F1143">
        <v>6883861</v>
      </c>
      <c r="G1143" s="1">
        <v>4.9399999999999999E-2</v>
      </c>
      <c r="H1143" s="1">
        <v>1.2500000000000001E-2</v>
      </c>
    </row>
    <row r="1144" spans="1:8" x14ac:dyDescent="0.25">
      <c r="A1144" t="s">
        <v>1423</v>
      </c>
      <c r="B1144">
        <v>80</v>
      </c>
      <c r="C1144">
        <v>32.734999999999999</v>
      </c>
      <c r="D1144" s="3">
        <v>32.74</v>
      </c>
      <c r="E1144" t="s">
        <v>1003</v>
      </c>
      <c r="F1144">
        <v>2668631</v>
      </c>
      <c r="G1144" s="1">
        <v>1.9099999999999999E-2</v>
      </c>
      <c r="H1144" s="1">
        <v>4.8500000000000001E-3</v>
      </c>
    </row>
    <row r="1145" spans="1:8" x14ac:dyDescent="0.25">
      <c r="A1145" t="s">
        <v>1423</v>
      </c>
      <c r="B1145">
        <v>81</v>
      </c>
      <c r="C1145">
        <v>33.101999999999997</v>
      </c>
      <c r="D1145" s="3">
        <v>33.1</v>
      </c>
      <c r="E1145">
        <v>202232</v>
      </c>
      <c r="F1145">
        <v>8023291</v>
      </c>
      <c r="G1145" s="1">
        <v>5.7599999999999998E-2</v>
      </c>
      <c r="H1145" s="1">
        <v>1.457E-2</v>
      </c>
    </row>
    <row r="1146" spans="1:8" x14ac:dyDescent="0.25">
      <c r="A1146" t="s">
        <v>1424</v>
      </c>
      <c r="B1146">
        <v>1</v>
      </c>
      <c r="C1146">
        <v>4.3230000000000004</v>
      </c>
      <c r="D1146" s="3">
        <v>4.32</v>
      </c>
      <c r="E1146">
        <v>88201</v>
      </c>
      <c r="F1146">
        <v>2196332</v>
      </c>
      <c r="G1146" s="1">
        <v>2.8000000000000001E-2</v>
      </c>
      <c r="H1146" s="1">
        <v>4.7699999999999999E-3</v>
      </c>
    </row>
    <row r="1147" spans="1:8" x14ac:dyDescent="0.25">
      <c r="A1147" t="s">
        <v>1424</v>
      </c>
      <c r="B1147">
        <v>2</v>
      </c>
      <c r="C1147">
        <v>4.9059999999999997</v>
      </c>
      <c r="D1147" s="3">
        <v>4.91</v>
      </c>
      <c r="E1147" t="s">
        <v>1004</v>
      </c>
      <c r="F1147">
        <v>3483785</v>
      </c>
      <c r="G1147" s="1">
        <v>4.4400000000000002E-2</v>
      </c>
      <c r="H1147" s="1">
        <v>7.5700000000000003E-3</v>
      </c>
    </row>
    <row r="1148" spans="1:8" x14ac:dyDescent="0.25">
      <c r="A1148" t="s">
        <v>1424</v>
      </c>
      <c r="B1148">
        <v>3</v>
      </c>
      <c r="C1148">
        <v>5.2279999999999998</v>
      </c>
      <c r="D1148" s="3">
        <v>5.23</v>
      </c>
      <c r="E1148" t="s">
        <v>1005</v>
      </c>
      <c r="F1148">
        <v>1844920</v>
      </c>
      <c r="G1148" s="1">
        <v>2.35E-2</v>
      </c>
      <c r="H1148" s="1">
        <v>4.0099999999999997E-3</v>
      </c>
    </row>
    <row r="1149" spans="1:8" x14ac:dyDescent="0.25">
      <c r="A1149" t="s">
        <v>1424</v>
      </c>
      <c r="B1149">
        <v>4</v>
      </c>
      <c r="C1149">
        <v>6.11</v>
      </c>
      <c r="D1149" s="3">
        <v>6.11</v>
      </c>
      <c r="E1149" t="s">
        <v>1006</v>
      </c>
      <c r="F1149">
        <v>2065396</v>
      </c>
      <c r="G1149" s="1">
        <v>2.63E-2</v>
      </c>
      <c r="H1149" s="1">
        <v>4.4900000000000001E-3</v>
      </c>
    </row>
    <row r="1150" spans="1:8" x14ac:dyDescent="0.25">
      <c r="A1150" t="s">
        <v>1424</v>
      </c>
      <c r="B1150">
        <v>5</v>
      </c>
      <c r="C1150">
        <v>6.4930000000000003</v>
      </c>
      <c r="D1150" s="3">
        <v>6.49</v>
      </c>
      <c r="E1150" t="s">
        <v>1007</v>
      </c>
      <c r="F1150">
        <v>5211618</v>
      </c>
      <c r="G1150" s="1">
        <v>6.6400000000000001E-2</v>
      </c>
      <c r="H1150" s="1">
        <v>1.133E-2</v>
      </c>
    </row>
    <row r="1151" spans="1:8" x14ac:dyDescent="0.25">
      <c r="A1151" t="s">
        <v>1424</v>
      </c>
      <c r="B1151">
        <v>6</v>
      </c>
      <c r="C1151">
        <v>8.266</v>
      </c>
      <c r="D1151" s="3">
        <v>8.27</v>
      </c>
      <c r="E1151" t="s">
        <v>1008</v>
      </c>
      <c r="F1151">
        <v>3364725</v>
      </c>
      <c r="G1151" s="1">
        <v>4.2799999999999998E-2</v>
      </c>
      <c r="H1151" s="1">
        <v>7.3099999999999997E-3</v>
      </c>
    </row>
    <row r="1152" spans="1:8" x14ac:dyDescent="0.25">
      <c r="A1152" t="s">
        <v>1424</v>
      </c>
      <c r="B1152">
        <v>7</v>
      </c>
      <c r="C1152">
        <v>9.0589999999999993</v>
      </c>
      <c r="D1152" s="3">
        <v>9.06</v>
      </c>
      <c r="E1152" t="s">
        <v>1009</v>
      </c>
      <c r="F1152">
        <v>8975803</v>
      </c>
      <c r="G1152" s="1">
        <v>0.1143</v>
      </c>
      <c r="H1152" s="1">
        <v>1.951E-2</v>
      </c>
    </row>
    <row r="1153" spans="1:8" x14ac:dyDescent="0.25">
      <c r="A1153" t="s">
        <v>1424</v>
      </c>
      <c r="B1153">
        <v>8</v>
      </c>
      <c r="C1153">
        <v>9.1929999999999996</v>
      </c>
      <c r="D1153" s="3">
        <v>9.19</v>
      </c>
      <c r="E1153" t="s">
        <v>1010</v>
      </c>
      <c r="F1153">
        <v>1703113</v>
      </c>
      <c r="G1153" s="1">
        <v>2.1700000000000001E-2</v>
      </c>
      <c r="H1153" s="1">
        <v>3.7000000000000002E-3</v>
      </c>
    </row>
    <row r="1154" spans="1:8" x14ac:dyDescent="0.25">
      <c r="A1154" t="s">
        <v>1424</v>
      </c>
      <c r="B1154">
        <v>9</v>
      </c>
      <c r="C1154">
        <v>9.2569999999999997</v>
      </c>
      <c r="D1154" s="3">
        <v>9.26</v>
      </c>
      <c r="E1154" t="s">
        <v>1011</v>
      </c>
      <c r="F1154">
        <v>2991354</v>
      </c>
      <c r="G1154" s="1">
        <v>3.8100000000000002E-2</v>
      </c>
      <c r="H1154" s="1">
        <v>6.4999999999999997E-3</v>
      </c>
    </row>
    <row r="1155" spans="1:8" x14ac:dyDescent="0.25">
      <c r="A1155" t="s">
        <v>1424</v>
      </c>
      <c r="B1155">
        <v>10</v>
      </c>
      <c r="C1155">
        <v>9.6549999999999994</v>
      </c>
      <c r="D1155" s="3">
        <v>9.66</v>
      </c>
      <c r="E1155" t="s">
        <v>1012</v>
      </c>
      <c r="F1155">
        <v>21861393</v>
      </c>
      <c r="G1155" s="1">
        <v>0.27839999999999998</v>
      </c>
      <c r="H1155" s="1">
        <v>4.752E-2</v>
      </c>
    </row>
    <row r="1156" spans="1:8" x14ac:dyDescent="0.25">
      <c r="A1156" t="s">
        <v>1424</v>
      </c>
      <c r="B1156">
        <v>11</v>
      </c>
      <c r="C1156">
        <v>11.090999999999999</v>
      </c>
      <c r="D1156" s="3">
        <v>11.09</v>
      </c>
      <c r="E1156" t="s">
        <v>1013</v>
      </c>
      <c r="F1156">
        <v>2207310</v>
      </c>
      <c r="G1156" s="1">
        <v>2.81E-2</v>
      </c>
      <c r="H1156" s="1">
        <v>4.7999999999999996E-3</v>
      </c>
    </row>
    <row r="1157" spans="1:8" x14ac:dyDescent="0.25">
      <c r="A1157" t="s">
        <v>1424</v>
      </c>
      <c r="B1157">
        <v>12</v>
      </c>
      <c r="C1157">
        <v>12.006</v>
      </c>
      <c r="D1157" s="3">
        <v>12.01</v>
      </c>
      <c r="E1157" t="s">
        <v>1014</v>
      </c>
      <c r="F1157">
        <v>1756096</v>
      </c>
      <c r="G1157" s="1">
        <v>2.24E-2</v>
      </c>
      <c r="H1157" s="1">
        <v>3.82E-3</v>
      </c>
    </row>
    <row r="1158" spans="1:8" x14ac:dyDescent="0.25">
      <c r="A1158" t="s">
        <v>1424</v>
      </c>
      <c r="B1158">
        <v>13</v>
      </c>
      <c r="C1158">
        <v>12.435</v>
      </c>
      <c r="D1158" s="3">
        <v>12.44</v>
      </c>
      <c r="E1158" t="s">
        <v>1015</v>
      </c>
      <c r="F1158">
        <v>1000405</v>
      </c>
      <c r="G1158" s="1">
        <v>1.2699999999999999E-2</v>
      </c>
      <c r="H1158" s="1">
        <v>2.1700000000000001E-3</v>
      </c>
    </row>
    <row r="1159" spans="1:8" x14ac:dyDescent="0.25">
      <c r="A1159" t="s">
        <v>1424</v>
      </c>
      <c r="B1159">
        <v>14</v>
      </c>
      <c r="C1159">
        <v>12.542</v>
      </c>
      <c r="D1159" s="3">
        <v>12.54</v>
      </c>
      <c r="E1159" t="s">
        <v>1016</v>
      </c>
      <c r="F1159">
        <v>2585198</v>
      </c>
      <c r="G1159" s="1">
        <v>3.2899999999999999E-2</v>
      </c>
      <c r="H1159" s="1">
        <v>5.62E-3</v>
      </c>
    </row>
    <row r="1160" spans="1:8" x14ac:dyDescent="0.25">
      <c r="A1160" t="s">
        <v>1424</v>
      </c>
      <c r="B1160">
        <v>15</v>
      </c>
      <c r="C1160">
        <v>12.708</v>
      </c>
      <c r="D1160" s="3">
        <v>12.71</v>
      </c>
      <c r="E1160" t="s">
        <v>1017</v>
      </c>
      <c r="F1160">
        <v>1704422</v>
      </c>
      <c r="G1160" s="1">
        <v>2.1700000000000001E-2</v>
      </c>
      <c r="H1160" s="1">
        <v>3.7100000000000002E-3</v>
      </c>
    </row>
    <row r="1161" spans="1:8" x14ac:dyDescent="0.25">
      <c r="A1161" t="s">
        <v>1424</v>
      </c>
      <c r="B1161">
        <v>16</v>
      </c>
      <c r="C1161">
        <v>12.842000000000001</v>
      </c>
      <c r="D1161" s="3">
        <v>12.84</v>
      </c>
      <c r="E1161" t="s">
        <v>1018</v>
      </c>
      <c r="F1161">
        <v>36084755</v>
      </c>
      <c r="G1161" s="1">
        <v>0.45939999999999998</v>
      </c>
      <c r="H1161" s="1">
        <v>7.8439999999999996E-2</v>
      </c>
    </row>
    <row r="1162" spans="1:8" x14ac:dyDescent="0.25">
      <c r="A1162" t="s">
        <v>1424</v>
      </c>
      <c r="B1162">
        <v>17</v>
      </c>
      <c r="C1162">
        <v>13.324999999999999</v>
      </c>
      <c r="D1162" s="3">
        <v>13.33</v>
      </c>
      <c r="E1162" t="s">
        <v>1019</v>
      </c>
      <c r="F1162">
        <v>1320645</v>
      </c>
      <c r="G1162" s="1">
        <v>1.6799999999999999E-2</v>
      </c>
      <c r="H1162" s="1">
        <v>2.8700000000000002E-3</v>
      </c>
    </row>
    <row r="1163" spans="1:8" x14ac:dyDescent="0.25">
      <c r="A1163" t="s">
        <v>1424</v>
      </c>
      <c r="B1163">
        <v>18</v>
      </c>
      <c r="C1163">
        <v>14.427</v>
      </c>
      <c r="D1163" s="3">
        <v>14.43</v>
      </c>
      <c r="E1163" t="s">
        <v>1020</v>
      </c>
      <c r="F1163">
        <v>1157570</v>
      </c>
      <c r="G1163" s="1">
        <v>1.47E-2</v>
      </c>
      <c r="H1163" s="1">
        <v>2.5200000000000001E-3</v>
      </c>
    </row>
    <row r="1164" spans="1:8" x14ac:dyDescent="0.25">
      <c r="A1164" t="s">
        <v>1424</v>
      </c>
      <c r="B1164">
        <v>19</v>
      </c>
      <c r="C1164">
        <v>14.541</v>
      </c>
      <c r="D1164" s="3">
        <v>14.54</v>
      </c>
      <c r="E1164" t="s">
        <v>1021</v>
      </c>
      <c r="F1164">
        <v>8157357</v>
      </c>
      <c r="G1164" s="1">
        <v>0.10390000000000001</v>
      </c>
      <c r="H1164" s="1">
        <v>1.7729999999999999E-2</v>
      </c>
    </row>
    <row r="1165" spans="1:8" x14ac:dyDescent="0.25">
      <c r="A1165" t="s">
        <v>1424</v>
      </c>
      <c r="B1165">
        <v>20</v>
      </c>
      <c r="C1165">
        <v>14.928000000000001</v>
      </c>
      <c r="D1165" s="3">
        <v>14.93</v>
      </c>
      <c r="E1165" t="s">
        <v>1022</v>
      </c>
      <c r="F1165">
        <v>1022941</v>
      </c>
      <c r="G1165" s="1">
        <v>1.2999999999999999E-2</v>
      </c>
      <c r="H1165" s="1">
        <v>2.2200000000000002E-3</v>
      </c>
    </row>
    <row r="1166" spans="1:8" x14ac:dyDescent="0.25">
      <c r="A1166" t="s">
        <v>1424</v>
      </c>
      <c r="B1166">
        <v>21</v>
      </c>
      <c r="C1166">
        <v>15.121</v>
      </c>
      <c r="D1166" s="3">
        <v>15.12</v>
      </c>
      <c r="E1166" t="s">
        <v>1023</v>
      </c>
      <c r="F1166">
        <v>2958387</v>
      </c>
      <c r="G1166" s="1">
        <v>3.7699999999999997E-2</v>
      </c>
      <c r="H1166" s="1">
        <v>6.43E-3</v>
      </c>
    </row>
    <row r="1167" spans="1:8" x14ac:dyDescent="0.25">
      <c r="A1167" t="s">
        <v>1424</v>
      </c>
      <c r="B1167">
        <v>22</v>
      </c>
      <c r="C1167">
        <v>15.275</v>
      </c>
      <c r="D1167" s="3">
        <v>15.28</v>
      </c>
      <c r="E1167" t="s">
        <v>1024</v>
      </c>
      <c r="F1167">
        <v>1850781</v>
      </c>
      <c r="G1167" s="1">
        <v>2.3599999999999999E-2</v>
      </c>
      <c r="H1167" s="1">
        <v>4.0200000000000001E-3</v>
      </c>
    </row>
    <row r="1168" spans="1:8" x14ac:dyDescent="0.25">
      <c r="A1168" t="s">
        <v>1424</v>
      </c>
      <c r="B1168">
        <v>23</v>
      </c>
      <c r="C1168">
        <v>15.523</v>
      </c>
      <c r="D1168" s="3">
        <v>15.52</v>
      </c>
      <c r="E1168" t="s">
        <v>1025</v>
      </c>
      <c r="F1168">
        <v>6219766</v>
      </c>
      <c r="G1168" s="1">
        <v>7.9200000000000007E-2</v>
      </c>
      <c r="H1168" s="1">
        <v>1.3520000000000001E-2</v>
      </c>
    </row>
    <row r="1169" spans="1:8" x14ac:dyDescent="0.25">
      <c r="A1169" t="s">
        <v>1424</v>
      </c>
      <c r="B1169">
        <v>24</v>
      </c>
      <c r="C1169">
        <v>15.877000000000001</v>
      </c>
      <c r="D1169" s="3">
        <v>15.88</v>
      </c>
      <c r="E1169" t="s">
        <v>1026</v>
      </c>
      <c r="F1169">
        <v>8725387</v>
      </c>
      <c r="G1169" s="1">
        <v>0.1111</v>
      </c>
      <c r="H1169" s="1">
        <v>1.8970000000000001E-2</v>
      </c>
    </row>
    <row r="1170" spans="1:8" x14ac:dyDescent="0.25">
      <c r="A1170" t="s">
        <v>1424</v>
      </c>
      <c r="B1170">
        <v>25</v>
      </c>
      <c r="C1170">
        <v>16.661999999999999</v>
      </c>
      <c r="D1170" s="3">
        <v>16.66</v>
      </c>
      <c r="E1170" t="s">
        <v>1027</v>
      </c>
      <c r="F1170">
        <v>3523790</v>
      </c>
      <c r="G1170" s="1">
        <v>4.4900000000000002E-2</v>
      </c>
      <c r="H1170" s="1">
        <v>7.6600000000000001E-3</v>
      </c>
    </row>
    <row r="1171" spans="1:8" x14ac:dyDescent="0.25">
      <c r="A1171" t="s">
        <v>1424</v>
      </c>
      <c r="B1171">
        <v>26</v>
      </c>
      <c r="C1171">
        <v>16.765000000000001</v>
      </c>
      <c r="D1171" s="3">
        <v>16.77</v>
      </c>
      <c r="E1171" t="s">
        <v>1028</v>
      </c>
      <c r="F1171">
        <v>7179978</v>
      </c>
      <c r="G1171" s="1">
        <v>9.1399999999999995E-2</v>
      </c>
      <c r="H1171" s="1">
        <v>1.5610000000000001E-2</v>
      </c>
    </row>
    <row r="1172" spans="1:8" x14ac:dyDescent="0.25">
      <c r="A1172" t="s">
        <v>1424</v>
      </c>
      <c r="B1172">
        <v>27</v>
      </c>
      <c r="C1172">
        <v>16.997</v>
      </c>
      <c r="D1172" s="3">
        <v>17</v>
      </c>
      <c r="E1172" t="s">
        <v>1029</v>
      </c>
      <c r="F1172">
        <v>26623342</v>
      </c>
      <c r="G1172" s="1">
        <v>0.33900000000000002</v>
      </c>
      <c r="H1172" s="1">
        <v>5.7880000000000001E-2</v>
      </c>
    </row>
    <row r="1173" spans="1:8" x14ac:dyDescent="0.25">
      <c r="A1173" t="s">
        <v>1424</v>
      </c>
      <c r="B1173">
        <v>28</v>
      </c>
      <c r="C1173">
        <v>17.073</v>
      </c>
      <c r="D1173" s="3">
        <v>17.07</v>
      </c>
      <c r="E1173" t="s">
        <v>1030</v>
      </c>
      <c r="F1173">
        <v>2589288</v>
      </c>
      <c r="G1173" s="1">
        <v>3.3000000000000002E-2</v>
      </c>
      <c r="H1173" s="1">
        <v>5.6299999999999996E-3</v>
      </c>
    </row>
    <row r="1174" spans="1:8" x14ac:dyDescent="0.25">
      <c r="A1174" t="s">
        <v>1424</v>
      </c>
      <c r="B1174">
        <v>29</v>
      </c>
      <c r="C1174">
        <v>17.454999999999998</v>
      </c>
      <c r="D1174" s="3">
        <v>17.46</v>
      </c>
      <c r="E1174" t="s">
        <v>1031</v>
      </c>
      <c r="F1174">
        <v>13615206</v>
      </c>
      <c r="G1174" s="1">
        <v>0.1734</v>
      </c>
      <c r="H1174" s="1">
        <v>2.9600000000000001E-2</v>
      </c>
    </row>
    <row r="1175" spans="1:8" x14ac:dyDescent="0.25">
      <c r="A1175" t="s">
        <v>1424</v>
      </c>
      <c r="B1175">
        <v>30</v>
      </c>
      <c r="C1175">
        <v>17.768000000000001</v>
      </c>
      <c r="D1175" s="3">
        <v>17.77</v>
      </c>
      <c r="E1175" t="s">
        <v>1032</v>
      </c>
      <c r="F1175">
        <v>12681604</v>
      </c>
      <c r="G1175" s="1">
        <v>0.1615</v>
      </c>
      <c r="H1175" s="1">
        <v>2.7570000000000001E-2</v>
      </c>
    </row>
    <row r="1176" spans="1:8" x14ac:dyDescent="0.25">
      <c r="A1176" t="s">
        <v>1424</v>
      </c>
      <c r="B1176">
        <v>31</v>
      </c>
      <c r="C1176">
        <v>17.920000000000002</v>
      </c>
      <c r="D1176" s="3">
        <v>17.920000000000002</v>
      </c>
      <c r="E1176" t="s">
        <v>1033</v>
      </c>
      <c r="F1176">
        <v>1198941</v>
      </c>
      <c r="G1176" s="1">
        <v>1.5299999999999999E-2</v>
      </c>
      <c r="H1176" s="1">
        <v>2.6099999999999999E-3</v>
      </c>
    </row>
    <row r="1177" spans="1:8" x14ac:dyDescent="0.25">
      <c r="A1177" t="s">
        <v>1424</v>
      </c>
      <c r="B1177">
        <v>32</v>
      </c>
      <c r="C1177">
        <v>17.998000000000001</v>
      </c>
      <c r="D1177" s="3">
        <v>18</v>
      </c>
      <c r="E1177" t="s">
        <v>1034</v>
      </c>
      <c r="F1177">
        <v>1467508</v>
      </c>
      <c r="G1177" s="1">
        <v>1.8700000000000001E-2</v>
      </c>
      <c r="H1177" s="1">
        <v>3.1900000000000001E-3</v>
      </c>
    </row>
    <row r="1178" spans="1:8" x14ac:dyDescent="0.25">
      <c r="A1178" t="s">
        <v>1424</v>
      </c>
      <c r="B1178">
        <v>33</v>
      </c>
      <c r="C1178">
        <v>18.053000000000001</v>
      </c>
      <c r="D1178" s="3">
        <v>18.05</v>
      </c>
      <c r="E1178" t="s">
        <v>1035</v>
      </c>
      <c r="F1178">
        <v>2710945</v>
      </c>
      <c r="G1178" s="1">
        <v>3.4500000000000003E-2</v>
      </c>
      <c r="H1178" s="1">
        <v>5.8900000000000003E-3</v>
      </c>
    </row>
    <row r="1179" spans="1:8" x14ac:dyDescent="0.25">
      <c r="A1179" t="s">
        <v>1424</v>
      </c>
      <c r="B1179">
        <v>34</v>
      </c>
      <c r="C1179">
        <v>18.138999999999999</v>
      </c>
      <c r="D1179" s="3">
        <v>18.14</v>
      </c>
      <c r="E1179" t="s">
        <v>1036</v>
      </c>
      <c r="F1179">
        <v>1153466</v>
      </c>
      <c r="G1179" s="1">
        <v>1.47E-2</v>
      </c>
      <c r="H1179" s="1">
        <v>2.5100000000000001E-3</v>
      </c>
    </row>
    <row r="1180" spans="1:8" x14ac:dyDescent="0.25">
      <c r="A1180" t="s">
        <v>1424</v>
      </c>
      <c r="B1180">
        <v>35</v>
      </c>
      <c r="C1180">
        <v>18.305</v>
      </c>
      <c r="D1180" s="3">
        <v>18.309999999999999</v>
      </c>
      <c r="E1180" t="s">
        <v>1037</v>
      </c>
      <c r="F1180">
        <v>2499148</v>
      </c>
      <c r="G1180" s="1">
        <v>3.1800000000000002E-2</v>
      </c>
      <c r="H1180" s="1">
        <v>5.4299999999999999E-3</v>
      </c>
    </row>
    <row r="1181" spans="1:8" x14ac:dyDescent="0.25">
      <c r="A1181" t="s">
        <v>1424</v>
      </c>
      <c r="B1181">
        <v>36</v>
      </c>
      <c r="C1181">
        <v>18.727</v>
      </c>
      <c r="D1181" s="3">
        <v>18.73</v>
      </c>
      <c r="E1181" t="s">
        <v>1038</v>
      </c>
      <c r="F1181">
        <v>1908311</v>
      </c>
      <c r="G1181" s="1">
        <v>2.4299999999999999E-2</v>
      </c>
      <c r="H1181" s="1">
        <v>4.15E-3</v>
      </c>
    </row>
    <row r="1182" spans="1:8" x14ac:dyDescent="0.25">
      <c r="A1182" t="s">
        <v>1424</v>
      </c>
      <c r="B1182">
        <v>37</v>
      </c>
      <c r="C1182">
        <v>18.84</v>
      </c>
      <c r="D1182" s="3">
        <v>18.84</v>
      </c>
      <c r="E1182" t="s">
        <v>1039</v>
      </c>
      <c r="F1182">
        <v>4027178</v>
      </c>
      <c r="G1182" s="1">
        <v>5.1299999999999998E-2</v>
      </c>
      <c r="H1182" s="1">
        <v>8.7500000000000008E-3</v>
      </c>
    </row>
    <row r="1183" spans="1:8" x14ac:dyDescent="0.25">
      <c r="A1183" t="s">
        <v>1424</v>
      </c>
      <c r="B1183">
        <v>38</v>
      </c>
      <c r="C1183">
        <v>19.405999999999999</v>
      </c>
      <c r="D1183" s="3">
        <v>19.41</v>
      </c>
      <c r="E1183" t="s">
        <v>1040</v>
      </c>
      <c r="F1183">
        <v>1369603</v>
      </c>
      <c r="G1183" s="1">
        <v>1.7399999999999999E-2</v>
      </c>
      <c r="H1183" s="1">
        <v>2.98E-3</v>
      </c>
    </row>
    <row r="1184" spans="1:8" x14ac:dyDescent="0.25">
      <c r="A1184" t="s">
        <v>1424</v>
      </c>
      <c r="B1184">
        <v>39</v>
      </c>
      <c r="C1184">
        <v>20.225999999999999</v>
      </c>
      <c r="D1184" s="3">
        <v>20.23</v>
      </c>
      <c r="E1184" t="s">
        <v>1041</v>
      </c>
      <c r="F1184">
        <v>2599789</v>
      </c>
      <c r="G1184" s="1">
        <v>3.3099999999999997E-2</v>
      </c>
      <c r="H1184" s="1">
        <v>5.6499999999999996E-3</v>
      </c>
    </row>
    <row r="1185" spans="1:8" x14ac:dyDescent="0.25">
      <c r="A1185" t="s">
        <v>1424</v>
      </c>
      <c r="B1185">
        <v>40</v>
      </c>
      <c r="C1185">
        <v>20.571999999999999</v>
      </c>
      <c r="D1185" s="3">
        <v>20.57</v>
      </c>
      <c r="E1185" t="s">
        <v>1042</v>
      </c>
      <c r="F1185">
        <v>1806929</v>
      </c>
      <c r="G1185" s="1">
        <v>2.3E-2</v>
      </c>
      <c r="H1185" s="1">
        <v>3.9300000000000003E-3</v>
      </c>
    </row>
    <row r="1186" spans="1:8" x14ac:dyDescent="0.25">
      <c r="A1186" t="s">
        <v>1424</v>
      </c>
      <c r="B1186">
        <v>41</v>
      </c>
      <c r="C1186">
        <v>20.620999999999999</v>
      </c>
      <c r="D1186" s="3">
        <v>20.62</v>
      </c>
      <c r="E1186" t="s">
        <v>1043</v>
      </c>
      <c r="F1186">
        <v>1749896</v>
      </c>
      <c r="G1186" s="1">
        <v>2.23E-2</v>
      </c>
      <c r="H1186" s="1">
        <v>3.8E-3</v>
      </c>
    </row>
    <row r="1187" spans="1:8" x14ac:dyDescent="0.25">
      <c r="A1187" t="s">
        <v>1424</v>
      </c>
      <c r="B1187">
        <v>42</v>
      </c>
      <c r="C1187">
        <v>20.893999999999998</v>
      </c>
      <c r="D1187" s="3">
        <v>20.89</v>
      </c>
      <c r="E1187" t="s">
        <v>1044</v>
      </c>
      <c r="F1187">
        <v>1835049</v>
      </c>
      <c r="G1187" s="1">
        <v>2.3400000000000001E-2</v>
      </c>
      <c r="H1187" s="1">
        <v>3.9899999999999996E-3</v>
      </c>
    </row>
    <row r="1188" spans="1:8" x14ac:dyDescent="0.25">
      <c r="A1188" t="s">
        <v>1424</v>
      </c>
      <c r="B1188">
        <v>43</v>
      </c>
      <c r="C1188">
        <v>20.965</v>
      </c>
      <c r="D1188" s="3">
        <v>20.97</v>
      </c>
      <c r="E1188" t="s">
        <v>1045</v>
      </c>
      <c r="F1188">
        <v>2508233</v>
      </c>
      <c r="G1188" s="1">
        <v>3.1899999999999998E-2</v>
      </c>
      <c r="H1188" s="1">
        <v>5.45E-3</v>
      </c>
    </row>
    <row r="1189" spans="1:8" x14ac:dyDescent="0.25">
      <c r="A1189" t="s">
        <v>1424</v>
      </c>
      <c r="B1189">
        <v>44</v>
      </c>
      <c r="C1189">
        <v>21.167999999999999</v>
      </c>
      <c r="D1189" s="3">
        <v>21.17</v>
      </c>
      <c r="E1189" t="s">
        <v>1046</v>
      </c>
      <c r="F1189">
        <v>1645032</v>
      </c>
      <c r="G1189" s="1">
        <v>2.0899999999999998E-2</v>
      </c>
      <c r="H1189" s="1">
        <v>3.5799999999999998E-3</v>
      </c>
    </row>
    <row r="1190" spans="1:8" x14ac:dyDescent="0.25">
      <c r="A1190" t="s">
        <v>1424</v>
      </c>
      <c r="B1190">
        <v>45</v>
      </c>
      <c r="C1190">
        <v>21.315999999999999</v>
      </c>
      <c r="D1190" s="3">
        <v>21.32</v>
      </c>
      <c r="E1190" t="s">
        <v>1047</v>
      </c>
      <c r="F1190">
        <v>1592519</v>
      </c>
      <c r="G1190" s="1">
        <v>2.0299999999999999E-2</v>
      </c>
      <c r="H1190" s="1">
        <v>3.46E-3</v>
      </c>
    </row>
    <row r="1191" spans="1:8" x14ac:dyDescent="0.25">
      <c r="A1191" t="s">
        <v>1424</v>
      </c>
      <c r="B1191">
        <v>46</v>
      </c>
      <c r="C1191">
        <v>21.396000000000001</v>
      </c>
      <c r="D1191" s="3">
        <v>21.4</v>
      </c>
      <c r="E1191" t="s">
        <v>1048</v>
      </c>
      <c r="F1191">
        <v>1830666</v>
      </c>
      <c r="G1191" s="1">
        <v>2.3300000000000001E-2</v>
      </c>
      <c r="H1191" s="1">
        <v>3.98E-3</v>
      </c>
    </row>
    <row r="1192" spans="1:8" x14ac:dyDescent="0.25">
      <c r="A1192" t="s">
        <v>1424</v>
      </c>
      <c r="B1192">
        <v>47</v>
      </c>
      <c r="C1192">
        <v>21.692</v>
      </c>
      <c r="D1192" s="3">
        <v>21.69</v>
      </c>
      <c r="E1192" t="s">
        <v>1049</v>
      </c>
      <c r="F1192">
        <v>1254188</v>
      </c>
      <c r="G1192" s="1">
        <v>1.6E-2</v>
      </c>
      <c r="H1192" s="1">
        <v>2.7299999999999998E-3</v>
      </c>
    </row>
    <row r="1193" spans="1:8" x14ac:dyDescent="0.25">
      <c r="A1193" t="s">
        <v>1424</v>
      </c>
      <c r="B1193">
        <v>48</v>
      </c>
      <c r="C1193">
        <v>22.507999999999999</v>
      </c>
      <c r="D1193" s="3">
        <v>22.51</v>
      </c>
      <c r="E1193" t="s">
        <v>1050</v>
      </c>
      <c r="F1193">
        <v>1075363</v>
      </c>
      <c r="G1193" s="1">
        <v>1.37E-2</v>
      </c>
      <c r="H1193" s="1">
        <v>2.3400000000000001E-3</v>
      </c>
    </row>
    <row r="1194" spans="1:8" x14ac:dyDescent="0.25">
      <c r="A1194" t="s">
        <v>1424</v>
      </c>
      <c r="B1194">
        <v>49</v>
      </c>
      <c r="C1194">
        <v>23.010999999999999</v>
      </c>
      <c r="D1194" s="3">
        <v>23.01</v>
      </c>
      <c r="E1194" t="s">
        <v>1051</v>
      </c>
      <c r="F1194">
        <v>1525628</v>
      </c>
      <c r="G1194" s="1">
        <v>1.9400000000000001E-2</v>
      </c>
      <c r="H1194" s="1">
        <v>3.32E-3</v>
      </c>
    </row>
    <row r="1195" spans="1:8" x14ac:dyDescent="0.25">
      <c r="A1195" t="s">
        <v>1424</v>
      </c>
      <c r="B1195">
        <v>50</v>
      </c>
      <c r="C1195">
        <v>23.475000000000001</v>
      </c>
      <c r="D1195" s="3">
        <v>23.48</v>
      </c>
      <c r="E1195" t="s">
        <v>1052</v>
      </c>
      <c r="F1195">
        <v>4825688</v>
      </c>
      <c r="G1195" s="1">
        <v>6.1400000000000003E-2</v>
      </c>
      <c r="H1195" s="1">
        <v>1.0489999999999999E-2</v>
      </c>
    </row>
    <row r="1196" spans="1:8" x14ac:dyDescent="0.25">
      <c r="A1196" t="s">
        <v>1424</v>
      </c>
      <c r="B1196">
        <v>51</v>
      </c>
      <c r="C1196">
        <v>23.664000000000001</v>
      </c>
      <c r="D1196" s="3">
        <v>23.66</v>
      </c>
      <c r="E1196" t="s">
        <v>1053</v>
      </c>
      <c r="F1196">
        <v>2183784</v>
      </c>
      <c r="G1196" s="1">
        <v>2.7799999999999998E-2</v>
      </c>
      <c r="H1196" s="1">
        <v>4.7499999999999999E-3</v>
      </c>
    </row>
    <row r="1197" spans="1:8" x14ac:dyDescent="0.25">
      <c r="A1197" t="s">
        <v>1424</v>
      </c>
      <c r="B1197">
        <v>52</v>
      </c>
      <c r="C1197">
        <v>23.773</v>
      </c>
      <c r="D1197" s="3">
        <v>23.77</v>
      </c>
      <c r="E1197" t="s">
        <v>1054</v>
      </c>
      <c r="F1197">
        <v>1229022</v>
      </c>
      <c r="G1197" s="1">
        <v>1.5599999999999999E-2</v>
      </c>
      <c r="H1197" s="1">
        <v>2.6700000000000001E-3</v>
      </c>
    </row>
    <row r="1198" spans="1:8" x14ac:dyDescent="0.25">
      <c r="A1198" t="s">
        <v>1424</v>
      </c>
      <c r="B1198">
        <v>53</v>
      </c>
      <c r="C1198">
        <v>23.922000000000001</v>
      </c>
      <c r="D1198" s="3">
        <v>23.92</v>
      </c>
      <c r="E1198" t="s">
        <v>1055</v>
      </c>
      <c r="F1198">
        <v>1541990</v>
      </c>
      <c r="G1198" s="1">
        <v>1.9599999999999999E-2</v>
      </c>
      <c r="H1198" s="1">
        <v>3.3500000000000001E-3</v>
      </c>
    </row>
    <row r="1199" spans="1:8" x14ac:dyDescent="0.25">
      <c r="A1199" t="s">
        <v>1424</v>
      </c>
      <c r="B1199">
        <v>54</v>
      </c>
      <c r="C1199">
        <v>24.036000000000001</v>
      </c>
      <c r="D1199" s="3">
        <v>24.04</v>
      </c>
      <c r="E1199" t="s">
        <v>1056</v>
      </c>
      <c r="F1199">
        <v>1437080</v>
      </c>
      <c r="G1199" s="1">
        <v>1.83E-2</v>
      </c>
      <c r="H1199" s="1">
        <v>3.1199999999999999E-3</v>
      </c>
    </row>
    <row r="1200" spans="1:8" x14ac:dyDescent="0.25">
      <c r="A1200" t="s">
        <v>1424</v>
      </c>
      <c r="B1200">
        <v>55</v>
      </c>
      <c r="C1200">
        <v>24.263999999999999</v>
      </c>
      <c r="D1200" s="3">
        <v>24.26</v>
      </c>
      <c r="E1200" t="s">
        <v>1057</v>
      </c>
      <c r="F1200">
        <v>1440900</v>
      </c>
      <c r="G1200" s="1">
        <v>1.83E-2</v>
      </c>
      <c r="H1200" s="1">
        <v>3.13E-3</v>
      </c>
    </row>
    <row r="1201" spans="1:8" x14ac:dyDescent="0.25">
      <c r="A1201" t="s">
        <v>1424</v>
      </c>
      <c r="B1201">
        <v>56</v>
      </c>
      <c r="C1201">
        <v>24.356000000000002</v>
      </c>
      <c r="D1201" s="3">
        <v>24.36</v>
      </c>
      <c r="E1201" t="s">
        <v>1058</v>
      </c>
      <c r="F1201">
        <v>2351442</v>
      </c>
      <c r="G1201" s="1">
        <v>2.9899999999999999E-2</v>
      </c>
      <c r="H1201" s="1">
        <v>5.11E-3</v>
      </c>
    </row>
    <row r="1202" spans="1:8" x14ac:dyDescent="0.25">
      <c r="A1202" t="s">
        <v>1424</v>
      </c>
      <c r="B1202">
        <v>57</v>
      </c>
      <c r="C1202">
        <v>25.45</v>
      </c>
      <c r="D1202" s="3">
        <v>25.45</v>
      </c>
      <c r="E1202" t="s">
        <v>1059</v>
      </c>
      <c r="F1202">
        <v>1279378</v>
      </c>
      <c r="G1202" s="1">
        <v>1.6299999999999999E-2</v>
      </c>
      <c r="H1202" s="1">
        <v>2.7799999999999999E-3</v>
      </c>
    </row>
    <row r="1203" spans="1:8" x14ac:dyDescent="0.25">
      <c r="A1203" t="s">
        <v>1424</v>
      </c>
      <c r="B1203">
        <v>58</v>
      </c>
      <c r="C1203">
        <v>25.850999999999999</v>
      </c>
      <c r="D1203" s="3">
        <v>25.85</v>
      </c>
      <c r="E1203" t="s">
        <v>1060</v>
      </c>
      <c r="F1203">
        <v>1466107</v>
      </c>
      <c r="G1203" s="1">
        <v>1.8700000000000001E-2</v>
      </c>
      <c r="H1203" s="1">
        <v>3.1900000000000001E-3</v>
      </c>
    </row>
    <row r="1204" spans="1:8" x14ac:dyDescent="0.25">
      <c r="A1204" t="s">
        <v>1424</v>
      </c>
      <c r="B1204">
        <v>59</v>
      </c>
      <c r="C1204">
        <v>25.913</v>
      </c>
      <c r="D1204" s="3">
        <v>25.91</v>
      </c>
      <c r="E1204" t="s">
        <v>1061</v>
      </c>
      <c r="F1204">
        <v>1767021</v>
      </c>
      <c r="G1204" s="1">
        <v>2.2499999999999999E-2</v>
      </c>
      <c r="H1204" s="1">
        <v>3.8400000000000001E-3</v>
      </c>
    </row>
    <row r="1205" spans="1:8" x14ac:dyDescent="0.25">
      <c r="A1205" t="s">
        <v>1424</v>
      </c>
      <c r="B1205">
        <v>60</v>
      </c>
      <c r="C1205">
        <v>26.007000000000001</v>
      </c>
      <c r="D1205" s="3">
        <v>26.01</v>
      </c>
      <c r="E1205" t="s">
        <v>1062</v>
      </c>
      <c r="F1205">
        <v>1923374</v>
      </c>
      <c r="G1205" s="1">
        <v>2.4500000000000001E-2</v>
      </c>
      <c r="H1205" s="1">
        <v>4.1799999999999997E-3</v>
      </c>
    </row>
    <row r="1206" spans="1:8" x14ac:dyDescent="0.25">
      <c r="A1206" t="s">
        <v>1424</v>
      </c>
      <c r="B1206">
        <v>61</v>
      </c>
      <c r="C1206">
        <v>26.114999999999998</v>
      </c>
      <c r="D1206" s="3">
        <v>26.12</v>
      </c>
      <c r="E1206" t="s">
        <v>1063</v>
      </c>
      <c r="F1206">
        <v>6263086</v>
      </c>
      <c r="G1206" s="1">
        <v>7.9699999999999993E-2</v>
      </c>
      <c r="H1206" s="1">
        <v>1.362E-2</v>
      </c>
    </row>
    <row r="1207" spans="1:8" x14ac:dyDescent="0.25">
      <c r="A1207" t="s">
        <v>1424</v>
      </c>
      <c r="B1207">
        <v>62</v>
      </c>
      <c r="C1207">
        <v>26.562999999999999</v>
      </c>
      <c r="D1207" s="3">
        <v>26.56</v>
      </c>
      <c r="E1207" t="s">
        <v>1064</v>
      </c>
      <c r="F1207">
        <v>2168087</v>
      </c>
      <c r="G1207" s="1">
        <v>2.76E-2</v>
      </c>
      <c r="H1207" s="1">
        <v>4.7099999999999998E-3</v>
      </c>
    </row>
    <row r="1208" spans="1:8" x14ac:dyDescent="0.25">
      <c r="A1208" t="s">
        <v>1424</v>
      </c>
      <c r="B1208">
        <v>63</v>
      </c>
      <c r="C1208">
        <v>27.116</v>
      </c>
      <c r="D1208" s="3">
        <v>27.12</v>
      </c>
      <c r="E1208" t="s">
        <v>1065</v>
      </c>
      <c r="F1208">
        <v>1417945</v>
      </c>
      <c r="G1208" s="1">
        <v>1.8100000000000002E-2</v>
      </c>
      <c r="H1208" s="1">
        <v>3.0799999999999998E-3</v>
      </c>
    </row>
    <row r="1209" spans="1:8" x14ac:dyDescent="0.25">
      <c r="A1209" t="s">
        <v>1424</v>
      </c>
      <c r="B1209">
        <v>64</v>
      </c>
      <c r="C1209">
        <v>27.425999999999998</v>
      </c>
      <c r="D1209" s="3">
        <v>27.43</v>
      </c>
      <c r="E1209" t="s">
        <v>1066</v>
      </c>
      <c r="F1209">
        <v>1222738</v>
      </c>
      <c r="G1209" s="1">
        <v>1.5599999999999999E-2</v>
      </c>
      <c r="H1209" s="1">
        <v>2.66E-3</v>
      </c>
    </row>
    <row r="1210" spans="1:8" x14ac:dyDescent="0.25">
      <c r="A1210" t="s">
        <v>1424</v>
      </c>
      <c r="B1210">
        <v>65</v>
      </c>
      <c r="C1210">
        <v>27.504999999999999</v>
      </c>
      <c r="D1210" s="3">
        <v>27.51</v>
      </c>
      <c r="E1210" t="s">
        <v>1067</v>
      </c>
      <c r="F1210">
        <v>3570945</v>
      </c>
      <c r="G1210" s="1">
        <v>4.5499999999999999E-2</v>
      </c>
      <c r="H1210" s="1">
        <v>7.7600000000000004E-3</v>
      </c>
    </row>
    <row r="1211" spans="1:8" x14ac:dyDescent="0.25">
      <c r="A1211" t="s">
        <v>1424</v>
      </c>
      <c r="B1211">
        <v>66</v>
      </c>
      <c r="C1211">
        <v>27.664000000000001</v>
      </c>
      <c r="D1211" s="3">
        <v>27.66</v>
      </c>
      <c r="E1211" t="s">
        <v>1068</v>
      </c>
      <c r="F1211">
        <v>1383426</v>
      </c>
      <c r="G1211" s="1">
        <v>1.7600000000000001E-2</v>
      </c>
      <c r="H1211" s="1">
        <v>3.0100000000000001E-3</v>
      </c>
    </row>
    <row r="1212" spans="1:8" x14ac:dyDescent="0.25">
      <c r="A1212" t="s">
        <v>1424</v>
      </c>
      <c r="B1212">
        <v>67</v>
      </c>
      <c r="C1212">
        <v>28.178000000000001</v>
      </c>
      <c r="D1212" s="3">
        <v>28.18</v>
      </c>
      <c r="E1212" t="s">
        <v>1069</v>
      </c>
      <c r="F1212">
        <v>1083421</v>
      </c>
      <c r="G1212" s="1">
        <v>1.38E-2</v>
      </c>
      <c r="H1212" s="1">
        <v>2.3600000000000001E-3</v>
      </c>
    </row>
    <row r="1213" spans="1:8" x14ac:dyDescent="0.25">
      <c r="A1213" t="s">
        <v>1424</v>
      </c>
      <c r="B1213">
        <v>68</v>
      </c>
      <c r="C1213">
        <v>28.481000000000002</v>
      </c>
      <c r="D1213" s="3">
        <v>28.48</v>
      </c>
      <c r="E1213">
        <v>2195632</v>
      </c>
      <c r="F1213">
        <v>33799956</v>
      </c>
      <c r="G1213" s="1">
        <v>0.4304</v>
      </c>
      <c r="H1213" s="1">
        <v>7.3480000000000004E-2</v>
      </c>
    </row>
    <row r="1214" spans="1:8" x14ac:dyDescent="0.25">
      <c r="A1214" t="s">
        <v>1424</v>
      </c>
      <c r="B1214">
        <v>69</v>
      </c>
      <c r="C1214">
        <v>28.638999999999999</v>
      </c>
      <c r="D1214" s="3">
        <v>28.64</v>
      </c>
      <c r="E1214" t="s">
        <v>1070</v>
      </c>
      <c r="F1214">
        <v>1665735</v>
      </c>
      <c r="G1214" s="1">
        <v>2.12E-2</v>
      </c>
      <c r="H1214" s="1">
        <v>3.62E-3</v>
      </c>
    </row>
    <row r="1215" spans="1:8" x14ac:dyDescent="0.25">
      <c r="A1215" t="s">
        <v>1424</v>
      </c>
      <c r="B1215">
        <v>70</v>
      </c>
      <c r="C1215">
        <v>28.731999999999999</v>
      </c>
      <c r="D1215" s="3">
        <v>28.73</v>
      </c>
      <c r="E1215" t="s">
        <v>1071</v>
      </c>
      <c r="F1215">
        <v>8269563</v>
      </c>
      <c r="G1215" s="1">
        <v>0.1053</v>
      </c>
      <c r="H1215" s="1">
        <v>1.7979999999999999E-2</v>
      </c>
    </row>
    <row r="1216" spans="1:8" x14ac:dyDescent="0.25">
      <c r="A1216" t="s">
        <v>1424</v>
      </c>
      <c r="B1216">
        <v>71</v>
      </c>
      <c r="C1216">
        <v>28.891999999999999</v>
      </c>
      <c r="D1216" s="3">
        <v>28.89</v>
      </c>
      <c r="E1216">
        <v>856849</v>
      </c>
      <c r="F1216">
        <v>11022396</v>
      </c>
      <c r="G1216" s="1">
        <v>0.14030000000000001</v>
      </c>
      <c r="H1216" s="1">
        <v>2.3959999999999999E-2</v>
      </c>
    </row>
    <row r="1217" spans="1:8" x14ac:dyDescent="0.25">
      <c r="A1217" t="s">
        <v>1424</v>
      </c>
      <c r="B1217">
        <v>72</v>
      </c>
      <c r="C1217">
        <v>28.951000000000001</v>
      </c>
      <c r="D1217" s="3">
        <v>28.95</v>
      </c>
      <c r="E1217" t="s">
        <v>1072</v>
      </c>
      <c r="F1217">
        <v>1025926</v>
      </c>
      <c r="G1217" s="1">
        <v>1.3100000000000001E-2</v>
      </c>
      <c r="H1217" s="1">
        <v>2.2300000000000002E-3</v>
      </c>
    </row>
    <row r="1218" spans="1:8" x14ac:dyDescent="0.25">
      <c r="A1218" t="s">
        <v>1424</v>
      </c>
      <c r="B1218">
        <v>73</v>
      </c>
      <c r="C1218">
        <v>29.047999999999998</v>
      </c>
      <c r="D1218" s="3">
        <v>29.05</v>
      </c>
      <c r="E1218">
        <v>6990182</v>
      </c>
      <c r="F1218">
        <v>78539166</v>
      </c>
      <c r="G1218" s="1">
        <v>0</v>
      </c>
      <c r="H1218" s="1">
        <v>0.17072999999999999</v>
      </c>
    </row>
    <row r="1219" spans="1:8" x14ac:dyDescent="0.25">
      <c r="A1219" t="s">
        <v>1424</v>
      </c>
      <c r="B1219">
        <v>74</v>
      </c>
      <c r="C1219">
        <v>29.158000000000001</v>
      </c>
      <c r="D1219" s="3">
        <v>29.16</v>
      </c>
      <c r="E1219" t="s">
        <v>1073</v>
      </c>
      <c r="F1219">
        <v>1209154</v>
      </c>
      <c r="G1219" s="1">
        <v>1.54E-2</v>
      </c>
      <c r="H1219" s="1">
        <v>2.63E-3</v>
      </c>
    </row>
    <row r="1220" spans="1:8" x14ac:dyDescent="0.25">
      <c r="A1220" t="s">
        <v>1424</v>
      </c>
      <c r="B1220">
        <v>75</v>
      </c>
      <c r="C1220">
        <v>29.231999999999999</v>
      </c>
      <c r="D1220" s="3">
        <v>29.23</v>
      </c>
      <c r="E1220" t="s">
        <v>1074</v>
      </c>
      <c r="F1220">
        <v>3638756</v>
      </c>
      <c r="G1220" s="1">
        <v>4.6300000000000001E-2</v>
      </c>
      <c r="H1220" s="1">
        <v>7.9100000000000004E-3</v>
      </c>
    </row>
    <row r="1221" spans="1:8" x14ac:dyDescent="0.25">
      <c r="A1221" t="s">
        <v>1424</v>
      </c>
      <c r="B1221">
        <v>76</v>
      </c>
      <c r="C1221">
        <v>29.285</v>
      </c>
      <c r="D1221" s="3">
        <v>29.29</v>
      </c>
      <c r="E1221" t="s">
        <v>1075</v>
      </c>
      <c r="F1221">
        <v>1209637</v>
      </c>
      <c r="G1221" s="1">
        <v>1.54E-2</v>
      </c>
      <c r="H1221" s="1">
        <v>2.63E-3</v>
      </c>
    </row>
    <row r="1222" spans="1:8" x14ac:dyDescent="0.25">
      <c r="A1222" t="s">
        <v>1424</v>
      </c>
      <c r="B1222">
        <v>77</v>
      </c>
      <c r="C1222">
        <v>29.431000000000001</v>
      </c>
      <c r="D1222" s="3">
        <v>29.43</v>
      </c>
      <c r="E1222" t="s">
        <v>1076</v>
      </c>
      <c r="F1222">
        <v>2276837</v>
      </c>
      <c r="G1222" s="1">
        <v>2.9000000000000001E-2</v>
      </c>
      <c r="H1222" s="1">
        <v>4.9500000000000004E-3</v>
      </c>
    </row>
    <row r="1223" spans="1:8" x14ac:dyDescent="0.25">
      <c r="A1223" t="s">
        <v>1424</v>
      </c>
      <c r="B1223">
        <v>78</v>
      </c>
      <c r="C1223">
        <v>29.463000000000001</v>
      </c>
      <c r="D1223" s="3">
        <v>29.46</v>
      </c>
      <c r="E1223" t="s">
        <v>1077</v>
      </c>
      <c r="F1223">
        <v>2308980</v>
      </c>
      <c r="G1223" s="1">
        <v>2.9399999999999999E-2</v>
      </c>
      <c r="H1223" s="1">
        <v>5.0200000000000002E-3</v>
      </c>
    </row>
    <row r="1224" spans="1:8" x14ac:dyDescent="0.25">
      <c r="A1224" t="s">
        <v>1424</v>
      </c>
      <c r="B1224">
        <v>79</v>
      </c>
      <c r="C1224">
        <v>29.532</v>
      </c>
      <c r="D1224" s="3">
        <v>29.53</v>
      </c>
      <c r="E1224" t="s">
        <v>1078</v>
      </c>
      <c r="F1224">
        <v>2436630</v>
      </c>
      <c r="G1224" s="1">
        <v>3.1E-2</v>
      </c>
      <c r="H1224" s="1">
        <v>5.3E-3</v>
      </c>
    </row>
    <row r="1225" spans="1:8" x14ac:dyDescent="0.25">
      <c r="A1225" t="s">
        <v>1424</v>
      </c>
      <c r="B1225">
        <v>80</v>
      </c>
      <c r="C1225">
        <v>29.664999999999999</v>
      </c>
      <c r="D1225" s="3">
        <v>29.67</v>
      </c>
      <c r="E1225" t="s">
        <v>1079</v>
      </c>
      <c r="F1225">
        <v>1164717</v>
      </c>
      <c r="G1225" s="1">
        <v>1.4800000000000001E-2</v>
      </c>
      <c r="H1225" s="1">
        <v>2.5300000000000001E-3</v>
      </c>
    </row>
    <row r="1226" spans="1:8" x14ac:dyDescent="0.25">
      <c r="A1226" t="s">
        <v>1424</v>
      </c>
      <c r="B1226">
        <v>81</v>
      </c>
      <c r="C1226">
        <v>29.741</v>
      </c>
      <c r="D1226" s="3">
        <v>29.74</v>
      </c>
      <c r="E1226">
        <v>631327</v>
      </c>
      <c r="F1226">
        <v>9158661</v>
      </c>
      <c r="G1226" s="1">
        <v>0.1166</v>
      </c>
      <c r="H1226" s="1">
        <v>1.9910000000000001E-2</v>
      </c>
    </row>
    <row r="1227" spans="1:8" x14ac:dyDescent="0.25">
      <c r="A1227" t="s">
        <v>1424</v>
      </c>
      <c r="B1227">
        <v>82</v>
      </c>
      <c r="C1227">
        <v>29.82</v>
      </c>
      <c r="D1227" s="3">
        <v>29.82</v>
      </c>
      <c r="E1227" t="s">
        <v>1080</v>
      </c>
      <c r="F1227">
        <v>1698889</v>
      </c>
      <c r="G1227" s="1">
        <v>2.1600000000000001E-2</v>
      </c>
      <c r="H1227" s="1">
        <v>3.6900000000000001E-3</v>
      </c>
    </row>
    <row r="1228" spans="1:8" x14ac:dyDescent="0.25">
      <c r="A1228" t="s">
        <v>1424</v>
      </c>
      <c r="B1228">
        <v>83</v>
      </c>
      <c r="C1228">
        <v>29.937999999999999</v>
      </c>
      <c r="D1228" s="3">
        <v>29.94</v>
      </c>
      <c r="E1228" t="s">
        <v>1081</v>
      </c>
      <c r="F1228">
        <v>2620168</v>
      </c>
      <c r="G1228" s="1">
        <v>3.3399999999999999E-2</v>
      </c>
      <c r="H1228" s="1">
        <v>5.7000000000000002E-3</v>
      </c>
    </row>
    <row r="1229" spans="1:8" x14ac:dyDescent="0.25">
      <c r="A1229" t="s">
        <v>1424</v>
      </c>
      <c r="B1229">
        <v>84</v>
      </c>
      <c r="C1229">
        <v>30.013000000000002</v>
      </c>
      <c r="D1229" s="3">
        <v>30.01</v>
      </c>
      <c r="E1229" t="s">
        <v>1082</v>
      </c>
      <c r="F1229">
        <v>1828135</v>
      </c>
      <c r="G1229" s="1">
        <v>2.3300000000000001E-2</v>
      </c>
      <c r="H1229" s="1">
        <v>3.9699999999999996E-3</v>
      </c>
    </row>
    <row r="1230" spans="1:8" x14ac:dyDescent="0.25">
      <c r="A1230" t="s">
        <v>1424</v>
      </c>
      <c r="B1230">
        <v>85</v>
      </c>
      <c r="C1230">
        <v>30.466000000000001</v>
      </c>
      <c r="D1230" s="3">
        <v>30.47</v>
      </c>
      <c r="E1230" t="s">
        <v>1083</v>
      </c>
      <c r="F1230">
        <v>1057382</v>
      </c>
      <c r="G1230" s="1">
        <v>1.35E-2</v>
      </c>
      <c r="H1230" s="1">
        <v>2.3E-3</v>
      </c>
    </row>
    <row r="1231" spans="1:8" x14ac:dyDescent="0.25">
      <c r="A1231" t="s">
        <v>1424</v>
      </c>
      <c r="B1231">
        <v>86</v>
      </c>
      <c r="C1231">
        <v>31.297000000000001</v>
      </c>
      <c r="D1231" s="3">
        <v>31.3</v>
      </c>
      <c r="E1231" t="s">
        <v>1084</v>
      </c>
      <c r="F1231">
        <v>1193125</v>
      </c>
      <c r="G1231" s="1">
        <v>1.52E-2</v>
      </c>
      <c r="H1231" s="1">
        <v>2.5899999999999999E-3</v>
      </c>
    </row>
    <row r="1232" spans="1:8" x14ac:dyDescent="0.25">
      <c r="A1232" t="s">
        <v>1424</v>
      </c>
      <c r="B1232">
        <v>87</v>
      </c>
      <c r="C1232">
        <v>31.59</v>
      </c>
      <c r="D1232" s="3">
        <v>31.59</v>
      </c>
      <c r="E1232" t="s">
        <v>1085</v>
      </c>
      <c r="F1232">
        <v>2606143</v>
      </c>
      <c r="G1232" s="1">
        <v>3.32E-2</v>
      </c>
      <c r="H1232" s="1">
        <v>5.6699999999999997E-3</v>
      </c>
    </row>
    <row r="1233" spans="1:8" x14ac:dyDescent="0.25">
      <c r="A1233" t="s">
        <v>1424</v>
      </c>
      <c r="B1233">
        <v>88</v>
      </c>
      <c r="C1233">
        <v>31.77</v>
      </c>
      <c r="D1233" s="3">
        <v>31.77</v>
      </c>
      <c r="E1233" t="s">
        <v>1086</v>
      </c>
      <c r="F1233">
        <v>5313254</v>
      </c>
      <c r="G1233" s="1">
        <v>6.7699999999999996E-2</v>
      </c>
      <c r="H1233" s="1">
        <v>1.155E-2</v>
      </c>
    </row>
    <row r="1234" spans="1:8" x14ac:dyDescent="0.25">
      <c r="A1234" t="s">
        <v>1424</v>
      </c>
      <c r="B1234">
        <v>89</v>
      </c>
      <c r="C1234">
        <v>31.988</v>
      </c>
      <c r="D1234" s="3">
        <v>31.99</v>
      </c>
      <c r="E1234">
        <v>197160</v>
      </c>
      <c r="F1234">
        <v>4693135</v>
      </c>
      <c r="G1234" s="1">
        <v>5.9799999999999999E-2</v>
      </c>
      <c r="H1234" s="1">
        <v>1.0200000000000001E-2</v>
      </c>
    </row>
    <row r="1235" spans="1:8" x14ac:dyDescent="0.25">
      <c r="A1235" t="s">
        <v>1424</v>
      </c>
      <c r="B1235">
        <v>90</v>
      </c>
      <c r="C1235">
        <v>32.731000000000002</v>
      </c>
      <c r="D1235" s="3">
        <v>32.729999999999997</v>
      </c>
      <c r="E1235" t="s">
        <v>1087</v>
      </c>
      <c r="F1235">
        <v>2214271</v>
      </c>
      <c r="G1235" s="1">
        <v>2.8199999999999999E-2</v>
      </c>
      <c r="H1235" s="1">
        <v>4.81E-3</v>
      </c>
    </row>
    <row r="1236" spans="1:8" x14ac:dyDescent="0.25">
      <c r="A1236" t="s">
        <v>1424</v>
      </c>
      <c r="B1236">
        <v>91</v>
      </c>
      <c r="C1236">
        <v>32.887999999999998</v>
      </c>
      <c r="D1236" s="3">
        <v>32.89</v>
      </c>
      <c r="E1236" t="s">
        <v>1088</v>
      </c>
      <c r="F1236">
        <v>3074108</v>
      </c>
      <c r="G1236" s="1">
        <v>3.9100000000000003E-2</v>
      </c>
      <c r="H1236" s="1">
        <v>6.6800000000000002E-3</v>
      </c>
    </row>
    <row r="1237" spans="1:8" x14ac:dyDescent="0.25">
      <c r="A1237" t="s">
        <v>1424</v>
      </c>
      <c r="B1237">
        <v>92</v>
      </c>
      <c r="C1237">
        <v>33.101999999999997</v>
      </c>
      <c r="D1237" s="3">
        <v>33.1</v>
      </c>
      <c r="E1237">
        <v>73293</v>
      </c>
      <c r="F1237">
        <v>3482802</v>
      </c>
      <c r="G1237" s="1">
        <v>4.4299999999999999E-2</v>
      </c>
      <c r="H1237" s="1">
        <v>7.5700000000000003E-3</v>
      </c>
    </row>
    <row r="1238" spans="1:8" x14ac:dyDescent="0.25">
      <c r="A1238" t="s">
        <v>1424</v>
      </c>
      <c r="B1238">
        <v>93</v>
      </c>
      <c r="C1238">
        <v>33.692999999999998</v>
      </c>
      <c r="D1238" s="3">
        <v>33.69</v>
      </c>
      <c r="E1238" t="s">
        <v>1089</v>
      </c>
      <c r="F1238">
        <v>1527339</v>
      </c>
      <c r="G1238" s="1">
        <v>1.9400000000000001E-2</v>
      </c>
      <c r="H1238" s="1">
        <v>3.32E-3</v>
      </c>
    </row>
    <row r="1239" spans="1:8" x14ac:dyDescent="0.25">
      <c r="A1239" t="s">
        <v>1425</v>
      </c>
      <c r="B1239">
        <v>1</v>
      </c>
      <c r="C1239">
        <v>4.8899999999999997</v>
      </c>
      <c r="D1239" s="3">
        <v>4.8899999999999997</v>
      </c>
      <c r="E1239" t="s">
        <v>1090</v>
      </c>
      <c r="F1239">
        <v>14969001</v>
      </c>
      <c r="G1239" s="1">
        <v>0.3281</v>
      </c>
      <c r="H1239" s="1">
        <v>4.3549999999999998E-2</v>
      </c>
    </row>
    <row r="1240" spans="1:8" x14ac:dyDescent="0.25">
      <c r="A1240" t="s">
        <v>1425</v>
      </c>
      <c r="B1240">
        <v>2</v>
      </c>
      <c r="C1240">
        <v>6.2690000000000001</v>
      </c>
      <c r="D1240" s="3">
        <v>6.27</v>
      </c>
      <c r="E1240" t="s">
        <v>1091</v>
      </c>
      <c r="F1240">
        <v>1314253</v>
      </c>
      <c r="G1240" s="1">
        <v>2.8799999999999999E-2</v>
      </c>
      <c r="H1240" s="1">
        <v>3.82E-3</v>
      </c>
    </row>
    <row r="1241" spans="1:8" x14ac:dyDescent="0.25">
      <c r="A1241" t="s">
        <v>1425</v>
      </c>
      <c r="B1241">
        <v>3</v>
      </c>
      <c r="C1241">
        <v>6.4960000000000004</v>
      </c>
      <c r="D1241" s="3">
        <v>6.5</v>
      </c>
      <c r="E1241" t="s">
        <v>1092</v>
      </c>
      <c r="F1241">
        <v>4141841</v>
      </c>
      <c r="G1241" s="1">
        <v>9.0800000000000006E-2</v>
      </c>
      <c r="H1241" s="1">
        <v>1.205E-2</v>
      </c>
    </row>
    <row r="1242" spans="1:8" x14ac:dyDescent="0.25">
      <c r="A1242" t="s">
        <v>1425</v>
      </c>
      <c r="B1242">
        <v>4</v>
      </c>
      <c r="C1242">
        <v>8.1219999999999999</v>
      </c>
      <c r="D1242" s="3">
        <v>8.1199999999999992</v>
      </c>
      <c r="E1242" t="s">
        <v>1093</v>
      </c>
      <c r="F1242">
        <v>1375739</v>
      </c>
      <c r="G1242" s="1">
        <v>3.0200000000000001E-2</v>
      </c>
      <c r="H1242" s="1">
        <v>4.0000000000000001E-3</v>
      </c>
    </row>
    <row r="1243" spans="1:8" x14ac:dyDescent="0.25">
      <c r="A1243" t="s">
        <v>1425</v>
      </c>
      <c r="B1243">
        <v>5</v>
      </c>
      <c r="C1243">
        <v>8.2279999999999998</v>
      </c>
      <c r="D1243" s="3">
        <v>8.23</v>
      </c>
      <c r="E1243" t="s">
        <v>1094</v>
      </c>
      <c r="F1243">
        <v>1168169</v>
      </c>
      <c r="G1243" s="1">
        <v>2.5600000000000001E-2</v>
      </c>
      <c r="H1243" s="1">
        <v>3.3999999999999998E-3</v>
      </c>
    </row>
    <row r="1244" spans="1:8" x14ac:dyDescent="0.25">
      <c r="A1244" t="s">
        <v>1425</v>
      </c>
      <c r="B1244">
        <v>6</v>
      </c>
      <c r="C1244">
        <v>8.2840000000000007</v>
      </c>
      <c r="D1244" s="3">
        <v>8.2799999999999994</v>
      </c>
      <c r="E1244" t="s">
        <v>1095</v>
      </c>
      <c r="F1244">
        <v>1666731</v>
      </c>
      <c r="G1244" s="1">
        <v>3.6499999999999998E-2</v>
      </c>
      <c r="H1244" s="1">
        <v>4.8500000000000001E-3</v>
      </c>
    </row>
    <row r="1245" spans="1:8" x14ac:dyDescent="0.25">
      <c r="A1245" t="s">
        <v>1425</v>
      </c>
      <c r="B1245">
        <v>7</v>
      </c>
      <c r="C1245">
        <v>8.6440000000000001</v>
      </c>
      <c r="D1245" s="3">
        <v>8.64</v>
      </c>
      <c r="E1245" t="s">
        <v>1096</v>
      </c>
      <c r="F1245">
        <v>1622614</v>
      </c>
      <c r="G1245" s="1">
        <v>3.56E-2</v>
      </c>
      <c r="H1245" s="1">
        <v>4.7200000000000002E-3</v>
      </c>
    </row>
    <row r="1246" spans="1:8" x14ac:dyDescent="0.25">
      <c r="A1246" t="s">
        <v>1425</v>
      </c>
      <c r="B1246">
        <v>8</v>
      </c>
      <c r="C1246">
        <v>8.9510000000000005</v>
      </c>
      <c r="D1246" s="3">
        <v>8.9499999999999993</v>
      </c>
      <c r="E1246" t="s">
        <v>1097</v>
      </c>
      <c r="F1246">
        <v>2077330</v>
      </c>
      <c r="G1246" s="1">
        <v>4.5499999999999999E-2</v>
      </c>
      <c r="H1246" s="1">
        <v>6.0400000000000002E-3</v>
      </c>
    </row>
    <row r="1247" spans="1:8" x14ac:dyDescent="0.25">
      <c r="A1247" t="s">
        <v>1425</v>
      </c>
      <c r="B1247">
        <v>9</v>
      </c>
      <c r="C1247">
        <v>9.1829999999999998</v>
      </c>
      <c r="D1247" s="3">
        <v>9.18</v>
      </c>
      <c r="E1247" t="s">
        <v>1098</v>
      </c>
      <c r="F1247">
        <v>1484465</v>
      </c>
      <c r="G1247" s="1">
        <v>3.2500000000000001E-2</v>
      </c>
      <c r="H1247" s="1">
        <v>4.3200000000000001E-3</v>
      </c>
    </row>
    <row r="1248" spans="1:8" x14ac:dyDescent="0.25">
      <c r="A1248" t="s">
        <v>1425</v>
      </c>
      <c r="B1248">
        <v>10</v>
      </c>
      <c r="C1248">
        <v>9.26</v>
      </c>
      <c r="D1248" s="3">
        <v>9.26</v>
      </c>
      <c r="E1248" t="s">
        <v>1099</v>
      </c>
      <c r="F1248">
        <v>3460618</v>
      </c>
      <c r="G1248" s="1">
        <v>7.5800000000000006E-2</v>
      </c>
      <c r="H1248" s="1">
        <v>1.0070000000000001E-2</v>
      </c>
    </row>
    <row r="1249" spans="1:8" x14ac:dyDescent="0.25">
      <c r="A1249" t="s">
        <v>1425</v>
      </c>
      <c r="B1249">
        <v>11</v>
      </c>
      <c r="C1249">
        <v>9.6579999999999995</v>
      </c>
      <c r="D1249" s="3">
        <v>9.66</v>
      </c>
      <c r="E1249" t="s">
        <v>1100</v>
      </c>
      <c r="F1249">
        <v>10883053</v>
      </c>
      <c r="G1249" s="1">
        <v>0.23849999999999999</v>
      </c>
      <c r="H1249" s="1">
        <v>3.1660000000000001E-2</v>
      </c>
    </row>
    <row r="1250" spans="1:8" x14ac:dyDescent="0.25">
      <c r="A1250" t="s">
        <v>1425</v>
      </c>
      <c r="B1250">
        <v>12</v>
      </c>
      <c r="C1250">
        <v>9.8379999999999992</v>
      </c>
      <c r="D1250" s="3">
        <v>9.84</v>
      </c>
      <c r="E1250">
        <v>41436</v>
      </c>
      <c r="F1250">
        <v>2064734</v>
      </c>
      <c r="G1250" s="1">
        <v>4.53E-2</v>
      </c>
      <c r="H1250" s="1">
        <v>6.0099999999999997E-3</v>
      </c>
    </row>
    <row r="1251" spans="1:8" x14ac:dyDescent="0.25">
      <c r="A1251" t="s">
        <v>1425</v>
      </c>
      <c r="B1251">
        <v>13</v>
      </c>
      <c r="C1251">
        <v>10.284000000000001</v>
      </c>
      <c r="D1251" s="3">
        <v>10.28</v>
      </c>
      <c r="E1251" t="s">
        <v>1101</v>
      </c>
      <c r="F1251">
        <v>1244220</v>
      </c>
      <c r="G1251" s="1">
        <v>2.7300000000000001E-2</v>
      </c>
      <c r="H1251" s="1">
        <v>3.62E-3</v>
      </c>
    </row>
    <row r="1252" spans="1:8" x14ac:dyDescent="0.25">
      <c r="A1252" t="s">
        <v>1425</v>
      </c>
      <c r="B1252">
        <v>14</v>
      </c>
      <c r="C1252">
        <v>10.585000000000001</v>
      </c>
      <c r="D1252" s="3">
        <v>10.59</v>
      </c>
      <c r="E1252" t="s">
        <v>1102</v>
      </c>
      <c r="F1252">
        <v>10925344</v>
      </c>
      <c r="G1252" s="1">
        <v>0.2394</v>
      </c>
      <c r="H1252" s="1">
        <v>3.1780000000000003E-2</v>
      </c>
    </row>
    <row r="1253" spans="1:8" x14ac:dyDescent="0.25">
      <c r="A1253" t="s">
        <v>1425</v>
      </c>
      <c r="B1253">
        <v>15</v>
      </c>
      <c r="C1253">
        <v>10.766</v>
      </c>
      <c r="D1253" s="3">
        <v>10.77</v>
      </c>
      <c r="E1253" t="s">
        <v>1103</v>
      </c>
      <c r="F1253">
        <v>2761742</v>
      </c>
      <c r="G1253" s="1">
        <v>6.0499999999999998E-2</v>
      </c>
      <c r="H1253" s="1">
        <v>8.0300000000000007E-3</v>
      </c>
    </row>
    <row r="1254" spans="1:8" x14ac:dyDescent="0.25">
      <c r="A1254" t="s">
        <v>1425</v>
      </c>
      <c r="B1254">
        <v>16</v>
      </c>
      <c r="C1254">
        <v>10.837999999999999</v>
      </c>
      <c r="D1254" s="3">
        <v>10.84</v>
      </c>
      <c r="E1254" t="s">
        <v>1104</v>
      </c>
      <c r="F1254">
        <v>1516583</v>
      </c>
      <c r="G1254" s="1">
        <v>3.32E-2</v>
      </c>
      <c r="H1254" s="1">
        <v>4.4099999999999999E-3</v>
      </c>
    </row>
    <row r="1255" spans="1:8" x14ac:dyDescent="0.25">
      <c r="A1255" t="s">
        <v>1425</v>
      </c>
      <c r="B1255">
        <v>17</v>
      </c>
      <c r="C1255">
        <v>11.124000000000001</v>
      </c>
      <c r="D1255" s="3">
        <v>11.12</v>
      </c>
      <c r="E1255" t="s">
        <v>1105</v>
      </c>
      <c r="F1255">
        <v>1541592</v>
      </c>
      <c r="G1255" s="1">
        <v>3.3799999999999997E-2</v>
      </c>
      <c r="H1255" s="1">
        <v>4.4799999999999996E-3</v>
      </c>
    </row>
    <row r="1256" spans="1:8" x14ac:dyDescent="0.25">
      <c r="A1256" t="s">
        <v>1425</v>
      </c>
      <c r="B1256">
        <v>18</v>
      </c>
      <c r="C1256">
        <v>11.21</v>
      </c>
      <c r="D1256" s="3">
        <v>11.21</v>
      </c>
      <c r="E1256" t="s">
        <v>1106</v>
      </c>
      <c r="F1256">
        <v>2570159</v>
      </c>
      <c r="G1256" s="1">
        <v>5.6300000000000003E-2</v>
      </c>
      <c r="H1256" s="1">
        <v>7.4799999999999997E-3</v>
      </c>
    </row>
    <row r="1257" spans="1:8" x14ac:dyDescent="0.25">
      <c r="A1257" t="s">
        <v>1425</v>
      </c>
      <c r="B1257">
        <v>19</v>
      </c>
      <c r="C1257">
        <v>11.555</v>
      </c>
      <c r="D1257" s="3">
        <v>11.56</v>
      </c>
      <c r="E1257" t="s">
        <v>1107</v>
      </c>
      <c r="F1257">
        <v>1022813</v>
      </c>
      <c r="G1257" s="1">
        <v>2.24E-2</v>
      </c>
      <c r="H1257" s="1">
        <v>2.98E-3</v>
      </c>
    </row>
    <row r="1258" spans="1:8" x14ac:dyDescent="0.25">
      <c r="A1258" t="s">
        <v>1425</v>
      </c>
      <c r="B1258">
        <v>20</v>
      </c>
      <c r="C1258">
        <v>11.632</v>
      </c>
      <c r="D1258" s="3">
        <v>11.63</v>
      </c>
      <c r="E1258" t="s">
        <v>1108</v>
      </c>
      <c r="F1258">
        <v>1279992</v>
      </c>
      <c r="G1258" s="1">
        <v>2.81E-2</v>
      </c>
      <c r="H1258" s="1">
        <v>3.7200000000000002E-3</v>
      </c>
    </row>
    <row r="1259" spans="1:8" x14ac:dyDescent="0.25">
      <c r="A1259" t="s">
        <v>1425</v>
      </c>
      <c r="B1259">
        <v>21</v>
      </c>
      <c r="C1259">
        <v>12.226000000000001</v>
      </c>
      <c r="D1259" s="3">
        <v>12.23</v>
      </c>
      <c r="E1259" t="s">
        <v>1109</v>
      </c>
      <c r="F1259">
        <v>3772428</v>
      </c>
      <c r="G1259" s="1">
        <v>8.2699999999999996E-2</v>
      </c>
      <c r="H1259" s="1">
        <v>1.0970000000000001E-2</v>
      </c>
    </row>
    <row r="1260" spans="1:8" x14ac:dyDescent="0.25">
      <c r="A1260" t="s">
        <v>1425</v>
      </c>
      <c r="B1260">
        <v>22</v>
      </c>
      <c r="C1260">
        <v>12.711</v>
      </c>
      <c r="D1260" s="3">
        <v>12.71</v>
      </c>
      <c r="E1260" t="s">
        <v>1110</v>
      </c>
      <c r="F1260">
        <v>2995161</v>
      </c>
      <c r="G1260" s="1">
        <v>6.5600000000000006E-2</v>
      </c>
      <c r="H1260" s="1">
        <v>8.7100000000000007E-3</v>
      </c>
    </row>
    <row r="1261" spans="1:8" x14ac:dyDescent="0.25">
      <c r="A1261" t="s">
        <v>1425</v>
      </c>
      <c r="B1261">
        <v>23</v>
      </c>
      <c r="C1261">
        <v>12.843</v>
      </c>
      <c r="D1261" s="3">
        <v>12.84</v>
      </c>
      <c r="E1261" t="s">
        <v>1111</v>
      </c>
      <c r="F1261">
        <v>37959662</v>
      </c>
      <c r="G1261" s="1">
        <v>0.83199999999999996</v>
      </c>
      <c r="H1261" s="1">
        <v>0.11043</v>
      </c>
    </row>
    <row r="1262" spans="1:8" x14ac:dyDescent="0.25">
      <c r="A1262" t="s">
        <v>1425</v>
      </c>
      <c r="B1262">
        <v>24</v>
      </c>
      <c r="C1262">
        <v>13.228</v>
      </c>
      <c r="D1262" s="3">
        <v>13.23</v>
      </c>
      <c r="E1262" t="s">
        <v>1112</v>
      </c>
      <c r="F1262">
        <v>4645268</v>
      </c>
      <c r="G1262" s="1">
        <v>0.1018</v>
      </c>
      <c r="H1262" s="1">
        <v>1.3509999999999999E-2</v>
      </c>
    </row>
    <row r="1263" spans="1:8" x14ac:dyDescent="0.25">
      <c r="A1263" t="s">
        <v>1425</v>
      </c>
      <c r="B1263">
        <v>25</v>
      </c>
      <c r="C1263">
        <v>14.233000000000001</v>
      </c>
      <c r="D1263" s="3">
        <v>14.23</v>
      </c>
      <c r="E1263" t="s">
        <v>1113</v>
      </c>
      <c r="F1263">
        <v>1061935</v>
      </c>
      <c r="G1263" s="1">
        <v>2.3300000000000001E-2</v>
      </c>
      <c r="H1263" s="1">
        <v>3.0899999999999999E-3</v>
      </c>
    </row>
    <row r="1264" spans="1:8" x14ac:dyDescent="0.25">
      <c r="A1264" t="s">
        <v>1425</v>
      </c>
      <c r="B1264">
        <v>26</v>
      </c>
      <c r="C1264">
        <v>14.534000000000001</v>
      </c>
      <c r="D1264" s="3">
        <v>14.53</v>
      </c>
      <c r="E1264" t="s">
        <v>1114</v>
      </c>
      <c r="F1264">
        <v>1328695</v>
      </c>
      <c r="G1264" s="1">
        <v>2.9100000000000001E-2</v>
      </c>
      <c r="H1264" s="1">
        <v>3.8700000000000002E-3</v>
      </c>
    </row>
    <row r="1265" spans="1:8" x14ac:dyDescent="0.25">
      <c r="A1265" t="s">
        <v>1425</v>
      </c>
      <c r="B1265">
        <v>27</v>
      </c>
      <c r="C1265">
        <v>14.585000000000001</v>
      </c>
      <c r="D1265" s="3">
        <v>14.59</v>
      </c>
      <c r="E1265" t="s">
        <v>1115</v>
      </c>
      <c r="F1265">
        <v>1974226</v>
      </c>
      <c r="G1265" s="1">
        <v>4.3299999999999998E-2</v>
      </c>
      <c r="H1265" s="1">
        <v>5.7400000000000003E-3</v>
      </c>
    </row>
    <row r="1266" spans="1:8" x14ac:dyDescent="0.25">
      <c r="A1266" t="s">
        <v>1425</v>
      </c>
      <c r="B1266">
        <v>28</v>
      </c>
      <c r="C1266">
        <v>15.538</v>
      </c>
      <c r="D1266" s="3">
        <v>15.54</v>
      </c>
      <c r="E1266" t="s">
        <v>1116</v>
      </c>
      <c r="F1266">
        <v>1447173</v>
      </c>
      <c r="G1266" s="1">
        <v>3.1699999999999999E-2</v>
      </c>
      <c r="H1266" s="1">
        <v>4.2100000000000002E-3</v>
      </c>
    </row>
    <row r="1267" spans="1:8" x14ac:dyDescent="0.25">
      <c r="A1267" t="s">
        <v>1425</v>
      </c>
      <c r="B1267">
        <v>29</v>
      </c>
      <c r="C1267">
        <v>15.717000000000001</v>
      </c>
      <c r="D1267" s="3">
        <v>15.72</v>
      </c>
      <c r="E1267" t="s">
        <v>1117</v>
      </c>
      <c r="F1267">
        <v>1017227</v>
      </c>
      <c r="G1267" s="1">
        <v>2.23E-2</v>
      </c>
      <c r="H1267" s="1">
        <v>2.96E-3</v>
      </c>
    </row>
    <row r="1268" spans="1:8" x14ac:dyDescent="0.25">
      <c r="A1268" t="s">
        <v>1425</v>
      </c>
      <c r="B1268">
        <v>30</v>
      </c>
      <c r="C1268">
        <v>15.877000000000001</v>
      </c>
      <c r="D1268" s="3">
        <v>15.88</v>
      </c>
      <c r="E1268" t="s">
        <v>1118</v>
      </c>
      <c r="F1268">
        <v>5855401</v>
      </c>
      <c r="G1268" s="1">
        <v>0.1283</v>
      </c>
      <c r="H1268" s="1">
        <v>1.703E-2</v>
      </c>
    </row>
    <row r="1269" spans="1:8" x14ac:dyDescent="0.25">
      <c r="A1269" t="s">
        <v>1425</v>
      </c>
      <c r="B1269">
        <v>31</v>
      </c>
      <c r="C1269">
        <v>16.667999999999999</v>
      </c>
      <c r="D1269" s="3">
        <v>16.670000000000002</v>
      </c>
      <c r="E1269" t="s">
        <v>1119</v>
      </c>
      <c r="F1269">
        <v>2022985</v>
      </c>
      <c r="G1269" s="1">
        <v>4.4299999999999999E-2</v>
      </c>
      <c r="H1269" s="1">
        <v>5.8900000000000003E-3</v>
      </c>
    </row>
    <row r="1270" spans="1:8" x14ac:dyDescent="0.25">
      <c r="A1270" t="s">
        <v>1425</v>
      </c>
      <c r="B1270">
        <v>32</v>
      </c>
      <c r="C1270">
        <v>16.762</v>
      </c>
      <c r="D1270" s="3">
        <v>16.760000000000002</v>
      </c>
      <c r="E1270" t="s">
        <v>1120</v>
      </c>
      <c r="F1270">
        <v>1099925</v>
      </c>
      <c r="G1270" s="1">
        <v>2.41E-2</v>
      </c>
      <c r="H1270" s="1">
        <v>3.2000000000000002E-3</v>
      </c>
    </row>
    <row r="1271" spans="1:8" x14ac:dyDescent="0.25">
      <c r="A1271" t="s">
        <v>1425</v>
      </c>
      <c r="B1271">
        <v>33</v>
      </c>
      <c r="C1271">
        <v>17.015000000000001</v>
      </c>
      <c r="D1271" s="3">
        <v>17.02</v>
      </c>
      <c r="E1271" t="s">
        <v>1121</v>
      </c>
      <c r="F1271">
        <v>45627254</v>
      </c>
      <c r="G1271" s="1">
        <v>0</v>
      </c>
      <c r="H1271" s="1">
        <v>0.13274</v>
      </c>
    </row>
    <row r="1272" spans="1:8" x14ac:dyDescent="0.25">
      <c r="A1272" t="s">
        <v>1425</v>
      </c>
      <c r="B1272">
        <v>34</v>
      </c>
      <c r="C1272">
        <v>17.081</v>
      </c>
      <c r="D1272" s="3">
        <v>17.079999999999998</v>
      </c>
      <c r="E1272" t="s">
        <v>1122</v>
      </c>
      <c r="F1272">
        <v>1214240</v>
      </c>
      <c r="G1272" s="1">
        <v>2.6599999999999999E-2</v>
      </c>
      <c r="H1272" s="1">
        <v>3.5300000000000002E-3</v>
      </c>
    </row>
    <row r="1273" spans="1:8" x14ac:dyDescent="0.25">
      <c r="A1273" t="s">
        <v>1425</v>
      </c>
      <c r="B1273">
        <v>35</v>
      </c>
      <c r="C1273">
        <v>17.459</v>
      </c>
      <c r="D1273" s="3">
        <v>17.46</v>
      </c>
      <c r="E1273" t="s">
        <v>1123</v>
      </c>
      <c r="F1273">
        <v>7225912</v>
      </c>
      <c r="G1273" s="1">
        <v>0.15840000000000001</v>
      </c>
      <c r="H1273" s="1">
        <v>2.102E-2</v>
      </c>
    </row>
    <row r="1274" spans="1:8" x14ac:dyDescent="0.25">
      <c r="A1274" t="s">
        <v>1425</v>
      </c>
      <c r="B1274">
        <v>36</v>
      </c>
      <c r="C1274">
        <v>18.309000000000001</v>
      </c>
      <c r="D1274" s="3">
        <v>18.309999999999999</v>
      </c>
      <c r="E1274" t="s">
        <v>1124</v>
      </c>
      <c r="F1274">
        <v>1237904</v>
      </c>
      <c r="G1274" s="1">
        <v>2.7099999999999999E-2</v>
      </c>
      <c r="H1274" s="1">
        <v>3.5999999999999999E-3</v>
      </c>
    </row>
    <row r="1275" spans="1:8" x14ac:dyDescent="0.25">
      <c r="A1275" t="s">
        <v>1425</v>
      </c>
      <c r="B1275">
        <v>37</v>
      </c>
      <c r="C1275">
        <v>18.411000000000001</v>
      </c>
      <c r="D1275" s="3">
        <v>18.41</v>
      </c>
      <c r="E1275" t="s">
        <v>1125</v>
      </c>
      <c r="F1275">
        <v>1029031</v>
      </c>
      <c r="G1275" s="1">
        <v>2.2599999999999999E-2</v>
      </c>
      <c r="H1275" s="1">
        <v>2.99E-3</v>
      </c>
    </row>
    <row r="1276" spans="1:8" x14ac:dyDescent="0.25">
      <c r="A1276" t="s">
        <v>1425</v>
      </c>
      <c r="B1276">
        <v>38</v>
      </c>
      <c r="C1276">
        <v>18.731000000000002</v>
      </c>
      <c r="D1276" s="3">
        <v>18.73</v>
      </c>
      <c r="E1276" t="s">
        <v>1126</v>
      </c>
      <c r="F1276">
        <v>1017715</v>
      </c>
      <c r="G1276" s="1">
        <v>2.23E-2</v>
      </c>
      <c r="H1276" s="1">
        <v>2.96E-3</v>
      </c>
    </row>
    <row r="1277" spans="1:8" x14ac:dyDescent="0.25">
      <c r="A1277" t="s">
        <v>1425</v>
      </c>
      <c r="B1277">
        <v>39</v>
      </c>
      <c r="C1277">
        <v>18.843</v>
      </c>
      <c r="D1277" s="3">
        <v>18.84</v>
      </c>
      <c r="E1277" t="s">
        <v>1127</v>
      </c>
      <c r="F1277">
        <v>4223416</v>
      </c>
      <c r="G1277" s="1">
        <v>9.2600000000000002E-2</v>
      </c>
      <c r="H1277" s="1">
        <v>1.2290000000000001E-2</v>
      </c>
    </row>
    <row r="1278" spans="1:8" x14ac:dyDescent="0.25">
      <c r="A1278" t="s">
        <v>1425</v>
      </c>
      <c r="B1278">
        <v>40</v>
      </c>
      <c r="C1278">
        <v>20.234999999999999</v>
      </c>
      <c r="D1278" s="3">
        <v>20.239999999999998</v>
      </c>
      <c r="E1278" t="s">
        <v>1128</v>
      </c>
      <c r="F1278">
        <v>1071045</v>
      </c>
      <c r="G1278" s="1">
        <v>2.35E-2</v>
      </c>
      <c r="H1278" s="1">
        <v>3.1199999999999999E-3</v>
      </c>
    </row>
    <row r="1279" spans="1:8" x14ac:dyDescent="0.25">
      <c r="A1279" t="s">
        <v>1425</v>
      </c>
      <c r="B1279">
        <v>41</v>
      </c>
      <c r="C1279">
        <v>21.693000000000001</v>
      </c>
      <c r="D1279" s="3">
        <v>21.69</v>
      </c>
      <c r="E1279" t="s">
        <v>1129</v>
      </c>
      <c r="F1279">
        <v>2016140</v>
      </c>
      <c r="G1279" s="1">
        <v>4.4200000000000003E-2</v>
      </c>
      <c r="H1279" s="1">
        <v>5.8700000000000002E-3</v>
      </c>
    </row>
    <row r="1280" spans="1:8" x14ac:dyDescent="0.25">
      <c r="A1280" t="s">
        <v>1425</v>
      </c>
      <c r="B1280">
        <v>42</v>
      </c>
      <c r="C1280">
        <v>23.475000000000001</v>
      </c>
      <c r="D1280" s="3">
        <v>23.48</v>
      </c>
      <c r="E1280" t="s">
        <v>1130</v>
      </c>
      <c r="F1280">
        <v>1669370</v>
      </c>
      <c r="G1280" s="1">
        <v>3.6600000000000001E-2</v>
      </c>
      <c r="H1280" s="1">
        <v>4.8599999999999997E-3</v>
      </c>
    </row>
    <row r="1281" spans="1:8" x14ac:dyDescent="0.25">
      <c r="A1281" t="s">
        <v>1425</v>
      </c>
      <c r="B1281">
        <v>43</v>
      </c>
      <c r="C1281">
        <v>27.97</v>
      </c>
      <c r="D1281" s="3">
        <v>27.97</v>
      </c>
      <c r="E1281" t="s">
        <v>1131</v>
      </c>
      <c r="F1281">
        <v>1629300</v>
      </c>
      <c r="G1281" s="1">
        <v>3.5700000000000003E-2</v>
      </c>
      <c r="H1281" s="1">
        <v>4.7400000000000003E-3</v>
      </c>
    </row>
    <row r="1282" spans="1:8" x14ac:dyDescent="0.25">
      <c r="A1282" t="s">
        <v>1425</v>
      </c>
      <c r="B1282">
        <v>44</v>
      </c>
      <c r="C1282">
        <v>28.483000000000001</v>
      </c>
      <c r="D1282" s="3">
        <v>28.48</v>
      </c>
      <c r="E1282">
        <v>771730</v>
      </c>
      <c r="F1282">
        <v>13251353</v>
      </c>
      <c r="G1282" s="1">
        <v>0.29039999999999999</v>
      </c>
      <c r="H1282" s="1">
        <v>3.8550000000000001E-2</v>
      </c>
    </row>
    <row r="1283" spans="1:8" x14ac:dyDescent="0.25">
      <c r="A1283" t="s">
        <v>1425</v>
      </c>
      <c r="B1283">
        <v>45</v>
      </c>
      <c r="C1283">
        <v>28.638000000000002</v>
      </c>
      <c r="D1283" s="3">
        <v>28.64</v>
      </c>
      <c r="E1283" t="s">
        <v>1132</v>
      </c>
      <c r="F1283">
        <v>1211916</v>
      </c>
      <c r="G1283" s="1">
        <v>2.6599999999999999E-2</v>
      </c>
      <c r="H1283" s="1">
        <v>3.5300000000000002E-3</v>
      </c>
    </row>
    <row r="1284" spans="1:8" x14ac:dyDescent="0.25">
      <c r="A1284" t="s">
        <v>1425</v>
      </c>
      <c r="B1284">
        <v>46</v>
      </c>
      <c r="C1284">
        <v>28.733000000000001</v>
      </c>
      <c r="D1284" s="3">
        <v>28.73</v>
      </c>
      <c r="E1284" t="s">
        <v>1133</v>
      </c>
      <c r="F1284">
        <v>2661630</v>
      </c>
      <c r="G1284" s="1">
        <v>5.8299999999999998E-2</v>
      </c>
      <c r="H1284" s="1">
        <v>7.7400000000000004E-3</v>
      </c>
    </row>
    <row r="1285" spans="1:8" x14ac:dyDescent="0.25">
      <c r="A1285" t="s">
        <v>1425</v>
      </c>
      <c r="B1285">
        <v>47</v>
      </c>
      <c r="C1285">
        <v>28.891999999999999</v>
      </c>
      <c r="D1285" s="3">
        <v>28.89</v>
      </c>
      <c r="E1285">
        <v>360799</v>
      </c>
      <c r="F1285">
        <v>4642002</v>
      </c>
      <c r="G1285" s="1">
        <v>0.1017</v>
      </c>
      <c r="H1285" s="1">
        <v>1.35E-2</v>
      </c>
    </row>
    <row r="1286" spans="1:8" x14ac:dyDescent="0.25">
      <c r="A1286" t="s">
        <v>1425</v>
      </c>
      <c r="B1286">
        <v>48</v>
      </c>
      <c r="C1286">
        <v>29.047000000000001</v>
      </c>
      <c r="D1286" s="3">
        <v>29.05</v>
      </c>
      <c r="E1286">
        <v>3544264</v>
      </c>
      <c r="F1286">
        <v>41549671</v>
      </c>
      <c r="G1286" s="1">
        <v>0.91059999999999997</v>
      </c>
      <c r="H1286" s="1">
        <v>0.12088</v>
      </c>
    </row>
    <row r="1287" spans="1:8" x14ac:dyDescent="0.25">
      <c r="A1287" t="s">
        <v>1425</v>
      </c>
      <c r="B1287">
        <v>49</v>
      </c>
      <c r="C1287">
        <v>29.463999999999999</v>
      </c>
      <c r="D1287" s="3">
        <v>29.46</v>
      </c>
      <c r="E1287" t="s">
        <v>1134</v>
      </c>
      <c r="F1287">
        <v>1180876</v>
      </c>
      <c r="G1287" s="1">
        <v>2.5899999999999999E-2</v>
      </c>
      <c r="H1287" s="1">
        <v>3.4399999999999999E-3</v>
      </c>
    </row>
    <row r="1288" spans="1:8" x14ac:dyDescent="0.25">
      <c r="A1288" t="s">
        <v>1425</v>
      </c>
      <c r="B1288">
        <v>50</v>
      </c>
      <c r="C1288">
        <v>29.54</v>
      </c>
      <c r="D1288" s="3">
        <v>29.54</v>
      </c>
      <c r="E1288" t="s">
        <v>1135</v>
      </c>
      <c r="F1288">
        <v>1036986</v>
      </c>
      <c r="G1288" s="1">
        <v>2.2700000000000001E-2</v>
      </c>
      <c r="H1288" s="1">
        <v>3.0200000000000001E-3</v>
      </c>
    </row>
    <row r="1289" spans="1:8" x14ac:dyDescent="0.25">
      <c r="A1289" t="s">
        <v>1425</v>
      </c>
      <c r="B1289">
        <v>51</v>
      </c>
      <c r="C1289">
        <v>29.741</v>
      </c>
      <c r="D1289" s="3">
        <v>29.74</v>
      </c>
      <c r="E1289">
        <v>874066</v>
      </c>
      <c r="F1289">
        <v>11022847</v>
      </c>
      <c r="G1289" s="1">
        <v>0.24160000000000001</v>
      </c>
      <c r="H1289" s="1">
        <v>3.2070000000000001E-2</v>
      </c>
    </row>
    <row r="1290" spans="1:8" x14ac:dyDescent="0.25">
      <c r="A1290" t="s">
        <v>1425</v>
      </c>
      <c r="B1290">
        <v>52</v>
      </c>
      <c r="C1290">
        <v>29.838000000000001</v>
      </c>
      <c r="D1290" s="3">
        <v>29.84</v>
      </c>
      <c r="E1290" t="s">
        <v>1136</v>
      </c>
      <c r="F1290">
        <v>3064613</v>
      </c>
      <c r="G1290" s="1">
        <v>6.7199999999999996E-2</v>
      </c>
      <c r="H1290" s="1">
        <v>8.9200000000000008E-3</v>
      </c>
    </row>
    <row r="1291" spans="1:8" x14ac:dyDescent="0.25">
      <c r="A1291" t="s">
        <v>1425</v>
      </c>
      <c r="B1291">
        <v>53</v>
      </c>
      <c r="C1291">
        <v>29.888999999999999</v>
      </c>
      <c r="D1291" s="3">
        <v>29.89</v>
      </c>
      <c r="E1291" t="s">
        <v>1137</v>
      </c>
      <c r="F1291">
        <v>2440630</v>
      </c>
      <c r="G1291" s="1">
        <v>5.3499999999999999E-2</v>
      </c>
      <c r="H1291" s="1">
        <v>7.1000000000000004E-3</v>
      </c>
    </row>
    <row r="1292" spans="1:8" x14ac:dyDescent="0.25">
      <c r="A1292" t="s">
        <v>1425</v>
      </c>
      <c r="B1292">
        <v>54</v>
      </c>
      <c r="C1292">
        <v>30.175000000000001</v>
      </c>
      <c r="D1292" s="3">
        <v>30.18</v>
      </c>
      <c r="E1292" t="s">
        <v>1138</v>
      </c>
      <c r="F1292">
        <v>1505210</v>
      </c>
      <c r="G1292" s="1">
        <v>3.3000000000000002E-2</v>
      </c>
      <c r="H1292" s="1">
        <v>4.3800000000000002E-3</v>
      </c>
    </row>
    <row r="1293" spans="1:8" x14ac:dyDescent="0.25">
      <c r="A1293" t="s">
        <v>1425</v>
      </c>
      <c r="B1293">
        <v>55</v>
      </c>
      <c r="C1293">
        <v>30.465</v>
      </c>
      <c r="D1293" s="3">
        <v>30.47</v>
      </c>
      <c r="E1293" t="s">
        <v>1139</v>
      </c>
      <c r="F1293">
        <v>1768027</v>
      </c>
      <c r="G1293" s="1">
        <v>3.8699999999999998E-2</v>
      </c>
      <c r="H1293" s="1">
        <v>5.1399999999999996E-3</v>
      </c>
    </row>
    <row r="1294" spans="1:8" x14ac:dyDescent="0.25">
      <c r="A1294" t="s">
        <v>1425</v>
      </c>
      <c r="B1294">
        <v>56</v>
      </c>
      <c r="C1294">
        <v>30.81</v>
      </c>
      <c r="D1294" s="3">
        <v>30.81</v>
      </c>
      <c r="E1294" t="s">
        <v>1140</v>
      </c>
      <c r="F1294">
        <v>1289804</v>
      </c>
      <c r="G1294" s="1">
        <v>2.8299999999999999E-2</v>
      </c>
      <c r="H1294" s="1">
        <v>3.7499999999999999E-3</v>
      </c>
    </row>
    <row r="1295" spans="1:8" x14ac:dyDescent="0.25">
      <c r="A1295" t="s">
        <v>1425</v>
      </c>
      <c r="B1295">
        <v>57</v>
      </c>
      <c r="C1295">
        <v>31.013999999999999</v>
      </c>
      <c r="D1295" s="3">
        <v>31.01</v>
      </c>
      <c r="E1295" t="s">
        <v>1141</v>
      </c>
      <c r="F1295">
        <v>2075536</v>
      </c>
      <c r="G1295" s="1">
        <v>4.5499999999999999E-2</v>
      </c>
      <c r="H1295" s="1">
        <v>6.0400000000000002E-3</v>
      </c>
    </row>
    <row r="1296" spans="1:8" x14ac:dyDescent="0.25">
      <c r="A1296" t="s">
        <v>1425</v>
      </c>
      <c r="B1296">
        <v>58</v>
      </c>
      <c r="C1296">
        <v>31.306000000000001</v>
      </c>
      <c r="D1296" s="3">
        <v>31.31</v>
      </c>
      <c r="E1296" t="s">
        <v>1142</v>
      </c>
      <c r="F1296">
        <v>1179128</v>
      </c>
      <c r="G1296" s="1">
        <v>2.58E-2</v>
      </c>
      <c r="H1296" s="1">
        <v>3.4299999999999999E-3</v>
      </c>
    </row>
    <row r="1297" spans="1:8" x14ac:dyDescent="0.25">
      <c r="A1297" t="s">
        <v>1425</v>
      </c>
      <c r="B1297">
        <v>59</v>
      </c>
      <c r="C1297">
        <v>31.36</v>
      </c>
      <c r="D1297" s="3">
        <v>31.36</v>
      </c>
      <c r="E1297" t="s">
        <v>1143</v>
      </c>
      <c r="F1297">
        <v>1277394</v>
      </c>
      <c r="G1297" s="1">
        <v>2.8000000000000001E-2</v>
      </c>
      <c r="H1297" s="1">
        <v>3.7200000000000002E-3</v>
      </c>
    </row>
    <row r="1298" spans="1:8" x14ac:dyDescent="0.25">
      <c r="A1298" t="s">
        <v>1425</v>
      </c>
      <c r="B1298">
        <v>60</v>
      </c>
      <c r="C1298">
        <v>31.518000000000001</v>
      </c>
      <c r="D1298" s="3">
        <v>31.52</v>
      </c>
      <c r="E1298" t="s">
        <v>1144</v>
      </c>
      <c r="F1298">
        <v>1051557</v>
      </c>
      <c r="G1298" s="1">
        <v>2.3E-2</v>
      </c>
      <c r="H1298" s="1">
        <v>3.0599999999999998E-3</v>
      </c>
    </row>
    <row r="1299" spans="1:8" x14ac:dyDescent="0.25">
      <c r="A1299" t="s">
        <v>1425</v>
      </c>
      <c r="B1299">
        <v>61</v>
      </c>
      <c r="C1299">
        <v>31.591999999999999</v>
      </c>
      <c r="D1299" s="3">
        <v>31.59</v>
      </c>
      <c r="E1299" t="s">
        <v>1145</v>
      </c>
      <c r="F1299">
        <v>1701556</v>
      </c>
      <c r="G1299" s="1">
        <v>3.73E-2</v>
      </c>
      <c r="H1299" s="1">
        <v>4.9500000000000004E-3</v>
      </c>
    </row>
    <row r="1300" spans="1:8" x14ac:dyDescent="0.25">
      <c r="A1300" t="s">
        <v>1425</v>
      </c>
      <c r="B1300">
        <v>62</v>
      </c>
      <c r="C1300">
        <v>31.695</v>
      </c>
      <c r="D1300" s="3">
        <v>31.7</v>
      </c>
      <c r="E1300" t="s">
        <v>1146</v>
      </c>
      <c r="F1300">
        <v>1043380</v>
      </c>
      <c r="G1300" s="1">
        <v>2.29E-2</v>
      </c>
      <c r="H1300" s="1">
        <v>3.0400000000000002E-3</v>
      </c>
    </row>
    <row r="1301" spans="1:8" x14ac:dyDescent="0.25">
      <c r="A1301" t="s">
        <v>1425</v>
      </c>
      <c r="B1301">
        <v>63</v>
      </c>
      <c r="C1301">
        <v>31.986999999999998</v>
      </c>
      <c r="D1301" s="3">
        <v>31.99</v>
      </c>
      <c r="E1301">
        <v>150280</v>
      </c>
      <c r="F1301">
        <v>3896073</v>
      </c>
      <c r="G1301" s="1">
        <v>8.5400000000000004E-2</v>
      </c>
      <c r="H1301" s="1">
        <v>1.133E-2</v>
      </c>
    </row>
    <row r="1302" spans="1:8" x14ac:dyDescent="0.25">
      <c r="A1302" t="s">
        <v>1425</v>
      </c>
      <c r="B1302">
        <v>64</v>
      </c>
      <c r="C1302">
        <v>32.548000000000002</v>
      </c>
      <c r="D1302" s="3">
        <v>32.549999999999997</v>
      </c>
      <c r="E1302">
        <v>54698</v>
      </c>
      <c r="F1302">
        <v>1304368</v>
      </c>
      <c r="G1302" s="1">
        <v>2.86E-2</v>
      </c>
      <c r="H1302" s="1">
        <v>3.79E-3</v>
      </c>
    </row>
    <row r="1303" spans="1:8" x14ac:dyDescent="0.25">
      <c r="A1303" t="s">
        <v>1425</v>
      </c>
      <c r="B1303">
        <v>65</v>
      </c>
      <c r="C1303">
        <v>32.726999999999997</v>
      </c>
      <c r="D1303" s="3">
        <v>32.729999999999997</v>
      </c>
      <c r="E1303" t="s">
        <v>1147</v>
      </c>
      <c r="F1303">
        <v>13469524</v>
      </c>
      <c r="G1303" s="1">
        <v>0.29520000000000002</v>
      </c>
      <c r="H1303" s="1">
        <v>3.9190000000000003E-2</v>
      </c>
    </row>
    <row r="1304" spans="1:8" x14ac:dyDescent="0.25">
      <c r="A1304" t="s">
        <v>1425</v>
      </c>
      <c r="B1304">
        <v>66</v>
      </c>
      <c r="C1304">
        <v>33.097999999999999</v>
      </c>
      <c r="D1304" s="3">
        <v>33.1</v>
      </c>
      <c r="E1304">
        <v>168642</v>
      </c>
      <c r="F1304">
        <v>6504124</v>
      </c>
      <c r="G1304" s="1">
        <v>0.14249999999999999</v>
      </c>
      <c r="H1304" s="1">
        <v>1.8919999999999999E-2</v>
      </c>
    </row>
    <row r="1305" spans="1:8" x14ac:dyDescent="0.25">
      <c r="A1305" t="s">
        <v>1425</v>
      </c>
      <c r="B1305">
        <v>67</v>
      </c>
      <c r="C1305">
        <v>33.334000000000003</v>
      </c>
      <c r="D1305" s="3">
        <v>33.33</v>
      </c>
      <c r="E1305">
        <v>112207</v>
      </c>
      <c r="F1305">
        <v>6130708</v>
      </c>
      <c r="G1305" s="1">
        <v>0.13439999999999999</v>
      </c>
      <c r="H1305" s="1">
        <v>1.7840000000000002E-2</v>
      </c>
    </row>
    <row r="1306" spans="1:8" x14ac:dyDescent="0.25">
      <c r="A1306" t="s">
        <v>1425</v>
      </c>
      <c r="B1306">
        <v>68</v>
      </c>
      <c r="C1306">
        <v>33.468000000000004</v>
      </c>
      <c r="D1306" s="3">
        <v>33.47</v>
      </c>
      <c r="E1306">
        <v>40736</v>
      </c>
      <c r="F1306">
        <v>1280109</v>
      </c>
      <c r="G1306" s="1">
        <v>2.81E-2</v>
      </c>
      <c r="H1306" s="1">
        <v>3.7200000000000002E-3</v>
      </c>
    </row>
    <row r="1307" spans="1:8" x14ac:dyDescent="0.25">
      <c r="A1307" t="s">
        <v>1425</v>
      </c>
      <c r="B1307">
        <v>69</v>
      </c>
      <c r="C1307">
        <v>33.685000000000002</v>
      </c>
      <c r="D1307" s="3">
        <v>33.69</v>
      </c>
      <c r="E1307" t="s">
        <v>1148</v>
      </c>
      <c r="F1307">
        <v>13960782</v>
      </c>
      <c r="G1307" s="1">
        <v>0.30599999999999999</v>
      </c>
      <c r="H1307" s="1">
        <v>4.0620000000000003E-2</v>
      </c>
    </row>
    <row r="1308" spans="1:8" x14ac:dyDescent="0.25">
      <c r="A1308" t="s">
        <v>1426</v>
      </c>
      <c r="B1308">
        <v>1</v>
      </c>
      <c r="C1308">
        <v>4.8949999999999996</v>
      </c>
      <c r="D1308" s="3">
        <v>4.9000000000000004</v>
      </c>
      <c r="E1308" t="s">
        <v>1149</v>
      </c>
      <c r="F1308">
        <v>10574829</v>
      </c>
      <c r="G1308" s="1">
        <v>8.3699999999999997E-2</v>
      </c>
      <c r="H1308" s="1">
        <v>2.2970000000000001E-2</v>
      </c>
    </row>
    <row r="1309" spans="1:8" x14ac:dyDescent="0.25">
      <c r="A1309" t="s">
        <v>1426</v>
      </c>
      <c r="B1309">
        <v>2</v>
      </c>
      <c r="C1309">
        <v>5.36</v>
      </c>
      <c r="D1309" s="3">
        <v>5.36</v>
      </c>
      <c r="E1309" t="s">
        <v>1150</v>
      </c>
      <c r="F1309">
        <v>1521418</v>
      </c>
      <c r="G1309" s="1">
        <v>1.2E-2</v>
      </c>
      <c r="H1309" s="1">
        <v>3.31E-3</v>
      </c>
    </row>
    <row r="1310" spans="1:8" x14ac:dyDescent="0.25">
      <c r="A1310" t="s">
        <v>1426</v>
      </c>
      <c r="B1310">
        <v>3</v>
      </c>
      <c r="C1310">
        <v>6.4960000000000004</v>
      </c>
      <c r="D1310" s="3">
        <v>6.5</v>
      </c>
      <c r="E1310" t="s">
        <v>1151</v>
      </c>
      <c r="F1310">
        <v>3866323</v>
      </c>
      <c r="G1310" s="1">
        <v>3.0599999999999999E-2</v>
      </c>
      <c r="H1310" s="1">
        <v>8.3999999999999995E-3</v>
      </c>
    </row>
    <row r="1311" spans="1:8" x14ac:dyDescent="0.25">
      <c r="A1311" t="s">
        <v>1426</v>
      </c>
      <c r="B1311">
        <v>4</v>
      </c>
      <c r="C1311">
        <v>8.2850000000000001</v>
      </c>
      <c r="D1311" s="3">
        <v>8.2899999999999991</v>
      </c>
      <c r="E1311" t="s">
        <v>1152</v>
      </c>
      <c r="F1311">
        <v>1634107</v>
      </c>
      <c r="G1311" s="1">
        <v>1.29E-2</v>
      </c>
      <c r="H1311" s="1">
        <v>3.5500000000000002E-3</v>
      </c>
    </row>
    <row r="1312" spans="1:8" x14ac:dyDescent="0.25">
      <c r="A1312" t="s">
        <v>1426</v>
      </c>
      <c r="B1312">
        <v>5</v>
      </c>
      <c r="C1312">
        <v>9.19</v>
      </c>
      <c r="D1312" s="3">
        <v>9.19</v>
      </c>
      <c r="E1312" t="s">
        <v>1153</v>
      </c>
      <c r="F1312">
        <v>1858444</v>
      </c>
      <c r="G1312" s="1">
        <v>1.47E-2</v>
      </c>
      <c r="H1312" s="1">
        <v>4.0400000000000002E-3</v>
      </c>
    </row>
    <row r="1313" spans="1:8" x14ac:dyDescent="0.25">
      <c r="A1313" t="s">
        <v>1426</v>
      </c>
      <c r="B1313">
        <v>6</v>
      </c>
      <c r="C1313">
        <v>9.2840000000000007</v>
      </c>
      <c r="D1313" s="3">
        <v>9.2799999999999994</v>
      </c>
      <c r="E1313" t="s">
        <v>1154</v>
      </c>
      <c r="F1313">
        <v>1194421</v>
      </c>
      <c r="G1313" s="1">
        <v>9.4999999999999998E-3</v>
      </c>
      <c r="H1313" s="1">
        <v>2.5899999999999999E-3</v>
      </c>
    </row>
    <row r="1314" spans="1:8" x14ac:dyDescent="0.25">
      <c r="A1314" t="s">
        <v>1426</v>
      </c>
      <c r="B1314">
        <v>7</v>
      </c>
      <c r="C1314">
        <v>9.657</v>
      </c>
      <c r="D1314" s="3">
        <v>9.66</v>
      </c>
      <c r="E1314" t="s">
        <v>1155</v>
      </c>
      <c r="F1314">
        <v>15251564</v>
      </c>
      <c r="G1314" s="1">
        <v>0.1207</v>
      </c>
      <c r="H1314" s="1">
        <v>3.313E-2</v>
      </c>
    </row>
    <row r="1315" spans="1:8" x14ac:dyDescent="0.25">
      <c r="A1315" t="s">
        <v>1426</v>
      </c>
      <c r="B1315">
        <v>8</v>
      </c>
      <c r="C1315">
        <v>9.8369999999999997</v>
      </c>
      <c r="D1315" s="3">
        <v>9.84</v>
      </c>
      <c r="E1315">
        <v>38977</v>
      </c>
      <c r="F1315">
        <v>1288378</v>
      </c>
      <c r="G1315" s="1">
        <v>1.0200000000000001E-2</v>
      </c>
      <c r="H1315" s="1">
        <v>2.8E-3</v>
      </c>
    </row>
    <row r="1316" spans="1:8" x14ac:dyDescent="0.25">
      <c r="A1316" t="s">
        <v>1426</v>
      </c>
      <c r="B1316">
        <v>9</v>
      </c>
      <c r="C1316">
        <v>12.71</v>
      </c>
      <c r="D1316" s="3">
        <v>12.71</v>
      </c>
      <c r="E1316">
        <v>35972</v>
      </c>
      <c r="F1316">
        <v>1320768</v>
      </c>
      <c r="G1316" s="1">
        <v>1.0500000000000001E-2</v>
      </c>
      <c r="H1316" s="1">
        <v>2.8700000000000002E-3</v>
      </c>
    </row>
    <row r="1317" spans="1:8" x14ac:dyDescent="0.25">
      <c r="A1317" t="s">
        <v>1426</v>
      </c>
      <c r="B1317">
        <v>10</v>
      </c>
      <c r="C1317">
        <v>12.843999999999999</v>
      </c>
      <c r="D1317" s="3">
        <v>12.84</v>
      </c>
      <c r="E1317" t="s">
        <v>1156</v>
      </c>
      <c r="F1317">
        <v>63450197</v>
      </c>
      <c r="G1317" s="1">
        <v>0.502</v>
      </c>
      <c r="H1317" s="1">
        <v>0.13785</v>
      </c>
    </row>
    <row r="1318" spans="1:8" x14ac:dyDescent="0.25">
      <c r="A1318" t="s">
        <v>1426</v>
      </c>
      <c r="B1318">
        <v>11</v>
      </c>
      <c r="C1318">
        <v>13.622</v>
      </c>
      <c r="D1318" s="3">
        <v>13.62</v>
      </c>
      <c r="E1318" t="s">
        <v>1157</v>
      </c>
      <c r="F1318">
        <v>2562188</v>
      </c>
      <c r="G1318" s="1">
        <v>2.0299999999999999E-2</v>
      </c>
      <c r="H1318" s="1">
        <v>5.5700000000000003E-3</v>
      </c>
    </row>
    <row r="1319" spans="1:8" x14ac:dyDescent="0.25">
      <c r="A1319" t="s">
        <v>1426</v>
      </c>
      <c r="B1319">
        <v>12</v>
      </c>
      <c r="C1319">
        <v>14.541</v>
      </c>
      <c r="D1319" s="3">
        <v>14.54</v>
      </c>
      <c r="E1319" t="s">
        <v>1158</v>
      </c>
      <c r="F1319">
        <v>1471742</v>
      </c>
      <c r="G1319" s="1">
        <v>1.1599999999999999E-2</v>
      </c>
      <c r="H1319" s="1">
        <v>3.2000000000000002E-3</v>
      </c>
    </row>
    <row r="1320" spans="1:8" x14ac:dyDescent="0.25">
      <c r="A1320" t="s">
        <v>1426</v>
      </c>
      <c r="B1320">
        <v>13</v>
      </c>
      <c r="C1320">
        <v>14.595000000000001</v>
      </c>
      <c r="D1320" s="3">
        <v>14.6</v>
      </c>
      <c r="E1320" t="s">
        <v>1159</v>
      </c>
      <c r="F1320">
        <v>1289328</v>
      </c>
      <c r="G1320" s="1">
        <v>1.0200000000000001E-2</v>
      </c>
      <c r="H1320" s="1">
        <v>2.8E-3</v>
      </c>
    </row>
    <row r="1321" spans="1:8" x14ac:dyDescent="0.25">
      <c r="A1321" t="s">
        <v>1426</v>
      </c>
      <c r="B1321">
        <v>14</v>
      </c>
      <c r="C1321">
        <v>14.824</v>
      </c>
      <c r="D1321" s="3">
        <v>14.82</v>
      </c>
      <c r="E1321" t="s">
        <v>1160</v>
      </c>
      <c r="F1321">
        <v>1441449</v>
      </c>
      <c r="G1321" s="1">
        <v>1.14E-2</v>
      </c>
      <c r="H1321" s="1">
        <v>3.13E-3</v>
      </c>
    </row>
    <row r="1322" spans="1:8" x14ac:dyDescent="0.25">
      <c r="A1322" t="s">
        <v>1426</v>
      </c>
      <c r="B1322">
        <v>15</v>
      </c>
      <c r="C1322">
        <v>15.875</v>
      </c>
      <c r="D1322" s="3">
        <v>15.88</v>
      </c>
      <c r="E1322" t="s">
        <v>1161</v>
      </c>
      <c r="F1322">
        <v>24880729</v>
      </c>
      <c r="G1322" s="1">
        <v>0.19689999999999999</v>
      </c>
      <c r="H1322" s="1">
        <v>5.4050000000000001E-2</v>
      </c>
    </row>
    <row r="1323" spans="1:8" x14ac:dyDescent="0.25">
      <c r="A1323" t="s">
        <v>1426</v>
      </c>
      <c r="B1323">
        <v>16</v>
      </c>
      <c r="C1323">
        <v>16.670999999999999</v>
      </c>
      <c r="D1323" s="3">
        <v>16.670000000000002</v>
      </c>
      <c r="E1323" t="s">
        <v>1162</v>
      </c>
      <c r="F1323">
        <v>2038885</v>
      </c>
      <c r="G1323" s="1">
        <v>1.61E-2</v>
      </c>
      <c r="H1323" s="1">
        <v>4.4299999999999999E-3</v>
      </c>
    </row>
    <row r="1324" spans="1:8" x14ac:dyDescent="0.25">
      <c r="A1324" t="s">
        <v>1426</v>
      </c>
      <c r="B1324">
        <v>17</v>
      </c>
      <c r="C1324">
        <v>16.984999999999999</v>
      </c>
      <c r="D1324" s="3">
        <v>16.989999999999998</v>
      </c>
      <c r="E1324" t="s">
        <v>1163</v>
      </c>
      <c r="F1324">
        <v>27132217</v>
      </c>
      <c r="G1324" s="1">
        <v>0.2147</v>
      </c>
      <c r="H1324" s="1">
        <v>5.8939999999999999E-2</v>
      </c>
    </row>
    <row r="1325" spans="1:8" x14ac:dyDescent="0.25">
      <c r="A1325" t="s">
        <v>1426</v>
      </c>
      <c r="B1325">
        <v>18</v>
      </c>
      <c r="C1325">
        <v>17.082000000000001</v>
      </c>
      <c r="D1325" s="3">
        <v>17.079999999999998</v>
      </c>
      <c r="E1325" t="s">
        <v>1164</v>
      </c>
      <c r="F1325">
        <v>1782084</v>
      </c>
      <c r="G1325" s="1">
        <v>1.41E-2</v>
      </c>
      <c r="H1325" s="1">
        <v>3.8700000000000002E-3</v>
      </c>
    </row>
    <row r="1326" spans="1:8" x14ac:dyDescent="0.25">
      <c r="A1326" t="s">
        <v>1426</v>
      </c>
      <c r="B1326">
        <v>19</v>
      </c>
      <c r="C1326">
        <v>17.469000000000001</v>
      </c>
      <c r="D1326" s="3">
        <v>17.47</v>
      </c>
      <c r="E1326" t="s">
        <v>1165</v>
      </c>
      <c r="F1326">
        <v>6096492</v>
      </c>
      <c r="G1326" s="1">
        <v>4.82E-2</v>
      </c>
      <c r="H1326" s="1">
        <v>1.324E-2</v>
      </c>
    </row>
    <row r="1327" spans="1:8" x14ac:dyDescent="0.25">
      <c r="A1327" t="s">
        <v>1426</v>
      </c>
      <c r="B1327">
        <v>20</v>
      </c>
      <c r="C1327">
        <v>17.913</v>
      </c>
      <c r="D1327" s="3">
        <v>17.91</v>
      </c>
      <c r="E1327" t="s">
        <v>1166</v>
      </c>
      <c r="F1327">
        <v>1914458</v>
      </c>
      <c r="G1327" s="1">
        <v>1.5100000000000001E-2</v>
      </c>
      <c r="H1327" s="1">
        <v>4.1599999999999996E-3</v>
      </c>
    </row>
    <row r="1328" spans="1:8" x14ac:dyDescent="0.25">
      <c r="A1328" t="s">
        <v>1426</v>
      </c>
      <c r="B1328">
        <v>21</v>
      </c>
      <c r="C1328">
        <v>18.006</v>
      </c>
      <c r="D1328" s="3">
        <v>18.010000000000002</v>
      </c>
      <c r="E1328" t="s">
        <v>1167</v>
      </c>
      <c r="F1328">
        <v>1153340</v>
      </c>
      <c r="G1328" s="1">
        <v>9.1000000000000004E-3</v>
      </c>
      <c r="H1328" s="1">
        <v>2.5100000000000001E-3</v>
      </c>
    </row>
    <row r="1329" spans="1:8" x14ac:dyDescent="0.25">
      <c r="A1329" t="s">
        <v>1426</v>
      </c>
      <c r="B1329">
        <v>22</v>
      </c>
      <c r="C1329">
        <v>18.731999999999999</v>
      </c>
      <c r="D1329" s="3">
        <v>18.73</v>
      </c>
      <c r="E1329" t="s">
        <v>1168</v>
      </c>
      <c r="F1329">
        <v>3696918</v>
      </c>
      <c r="G1329" s="1">
        <v>2.93E-2</v>
      </c>
      <c r="H1329" s="1">
        <v>8.0300000000000007E-3</v>
      </c>
    </row>
    <row r="1330" spans="1:8" x14ac:dyDescent="0.25">
      <c r="A1330" t="s">
        <v>1426</v>
      </c>
      <c r="B1330">
        <v>23</v>
      </c>
      <c r="C1330">
        <v>18.844000000000001</v>
      </c>
      <c r="D1330" s="3">
        <v>18.84</v>
      </c>
      <c r="E1330" t="s">
        <v>1169</v>
      </c>
      <c r="F1330">
        <v>4854606</v>
      </c>
      <c r="G1330" s="1">
        <v>3.8399999999999997E-2</v>
      </c>
      <c r="H1330" s="1">
        <v>1.055E-2</v>
      </c>
    </row>
    <row r="1331" spans="1:8" x14ac:dyDescent="0.25">
      <c r="A1331" t="s">
        <v>1426</v>
      </c>
      <c r="B1331">
        <v>24</v>
      </c>
      <c r="C1331">
        <v>20.228000000000002</v>
      </c>
      <c r="D1331" s="3">
        <v>20.23</v>
      </c>
      <c r="E1331" t="s">
        <v>1170</v>
      </c>
      <c r="F1331">
        <v>1050275</v>
      </c>
      <c r="G1331" s="1">
        <v>8.3000000000000001E-3</v>
      </c>
      <c r="H1331" s="1">
        <v>2.2799999999999999E-3</v>
      </c>
    </row>
    <row r="1332" spans="1:8" x14ac:dyDescent="0.25">
      <c r="A1332" t="s">
        <v>1426</v>
      </c>
      <c r="B1332">
        <v>25</v>
      </c>
      <c r="C1332">
        <v>21.402000000000001</v>
      </c>
      <c r="D1332" s="3">
        <v>21.4</v>
      </c>
      <c r="E1332" t="s">
        <v>1171</v>
      </c>
      <c r="F1332">
        <v>1802514</v>
      </c>
      <c r="G1332" s="1">
        <v>1.43E-2</v>
      </c>
      <c r="H1332" s="1">
        <v>3.9199999999999999E-3</v>
      </c>
    </row>
    <row r="1333" spans="1:8" x14ac:dyDescent="0.25">
      <c r="A1333" t="s">
        <v>1426</v>
      </c>
      <c r="B1333">
        <v>26</v>
      </c>
      <c r="C1333">
        <v>25.911999999999999</v>
      </c>
      <c r="D1333" s="3">
        <v>25.91</v>
      </c>
      <c r="E1333" t="s">
        <v>1172</v>
      </c>
      <c r="F1333">
        <v>12613962</v>
      </c>
      <c r="G1333" s="1">
        <v>9.98E-2</v>
      </c>
      <c r="H1333" s="1">
        <v>2.7400000000000001E-2</v>
      </c>
    </row>
    <row r="1334" spans="1:8" x14ac:dyDescent="0.25">
      <c r="A1334" t="s">
        <v>1426</v>
      </c>
      <c r="B1334">
        <v>27</v>
      </c>
      <c r="C1334">
        <v>28.481999999999999</v>
      </c>
      <c r="D1334" s="3">
        <v>28.48</v>
      </c>
      <c r="E1334">
        <v>3177810</v>
      </c>
      <c r="F1334">
        <v>43334200</v>
      </c>
      <c r="G1334" s="1">
        <v>0.34289999999999998</v>
      </c>
      <c r="H1334" s="1">
        <v>9.4140000000000001E-2</v>
      </c>
    </row>
    <row r="1335" spans="1:8" x14ac:dyDescent="0.25">
      <c r="A1335" t="s">
        <v>1426</v>
      </c>
      <c r="B1335">
        <v>28</v>
      </c>
      <c r="C1335">
        <v>28.593</v>
      </c>
      <c r="D1335" s="3">
        <v>28.59</v>
      </c>
      <c r="E1335" t="s">
        <v>1173</v>
      </c>
      <c r="F1335">
        <v>2235459</v>
      </c>
      <c r="G1335" s="1">
        <v>1.77E-2</v>
      </c>
      <c r="H1335" s="1">
        <v>4.8599999999999997E-3</v>
      </c>
    </row>
    <row r="1336" spans="1:8" x14ac:dyDescent="0.25">
      <c r="A1336" t="s">
        <v>1426</v>
      </c>
      <c r="B1336">
        <v>29</v>
      </c>
      <c r="C1336">
        <v>28.638999999999999</v>
      </c>
      <c r="D1336" s="3">
        <v>28.64</v>
      </c>
      <c r="E1336" t="s">
        <v>1174</v>
      </c>
      <c r="F1336">
        <v>2137228</v>
      </c>
      <c r="G1336" s="1">
        <v>1.6899999999999998E-2</v>
      </c>
      <c r="H1336" s="1">
        <v>4.64E-3</v>
      </c>
    </row>
    <row r="1337" spans="1:8" x14ac:dyDescent="0.25">
      <c r="A1337" t="s">
        <v>1426</v>
      </c>
      <c r="B1337">
        <v>30</v>
      </c>
      <c r="C1337">
        <v>28.733000000000001</v>
      </c>
      <c r="D1337" s="3">
        <v>28.73</v>
      </c>
      <c r="E1337" t="s">
        <v>1175</v>
      </c>
      <c r="F1337">
        <v>2746841</v>
      </c>
      <c r="G1337" s="1">
        <v>2.1700000000000001E-2</v>
      </c>
      <c r="H1337" s="1">
        <v>5.9699999999999996E-3</v>
      </c>
    </row>
    <row r="1338" spans="1:8" x14ac:dyDescent="0.25">
      <c r="A1338" t="s">
        <v>1426</v>
      </c>
      <c r="B1338">
        <v>31</v>
      </c>
      <c r="C1338">
        <v>28.891999999999999</v>
      </c>
      <c r="D1338" s="3">
        <v>28.89</v>
      </c>
      <c r="E1338">
        <v>1114479</v>
      </c>
      <c r="F1338">
        <v>14132990</v>
      </c>
      <c r="G1338" s="1">
        <v>0.1118</v>
      </c>
      <c r="H1338" s="1">
        <v>3.0700000000000002E-2</v>
      </c>
    </row>
    <row r="1339" spans="1:8" x14ac:dyDescent="0.25">
      <c r="A1339" t="s">
        <v>1426</v>
      </c>
      <c r="B1339">
        <v>32</v>
      </c>
      <c r="C1339">
        <v>29.05</v>
      </c>
      <c r="D1339" s="3">
        <v>29.05</v>
      </c>
      <c r="E1339">
        <v>11740093</v>
      </c>
      <c r="F1339">
        <v>126384895</v>
      </c>
      <c r="G1339" s="1">
        <v>1</v>
      </c>
      <c r="H1339" s="1">
        <v>0.27456999999999998</v>
      </c>
    </row>
    <row r="1340" spans="1:8" x14ac:dyDescent="0.25">
      <c r="A1340" t="s">
        <v>1426</v>
      </c>
      <c r="B1340">
        <v>33</v>
      </c>
      <c r="C1340">
        <v>29.231000000000002</v>
      </c>
      <c r="D1340" s="3">
        <v>29.23</v>
      </c>
      <c r="E1340" t="s">
        <v>1176</v>
      </c>
      <c r="F1340">
        <v>1363877</v>
      </c>
      <c r="G1340" s="1">
        <v>1.0800000000000001E-2</v>
      </c>
      <c r="H1340" s="1">
        <v>2.96E-3</v>
      </c>
    </row>
    <row r="1341" spans="1:8" x14ac:dyDescent="0.25">
      <c r="A1341" t="s">
        <v>1426</v>
      </c>
      <c r="B1341">
        <v>34</v>
      </c>
      <c r="C1341">
        <v>29.288</v>
      </c>
      <c r="D1341" s="3">
        <v>29.29</v>
      </c>
      <c r="E1341" t="s">
        <v>1177</v>
      </c>
      <c r="F1341">
        <v>1462134</v>
      </c>
      <c r="G1341" s="1">
        <v>1.1599999999999999E-2</v>
      </c>
      <c r="H1341" s="1">
        <v>3.1800000000000001E-3</v>
      </c>
    </row>
    <row r="1342" spans="1:8" x14ac:dyDescent="0.25">
      <c r="A1342" t="s">
        <v>1426</v>
      </c>
      <c r="B1342">
        <v>35</v>
      </c>
      <c r="C1342">
        <v>29.416</v>
      </c>
      <c r="D1342" s="3">
        <v>29.42</v>
      </c>
      <c r="E1342" t="s">
        <v>1178</v>
      </c>
      <c r="F1342">
        <v>1085688</v>
      </c>
      <c r="G1342" s="1">
        <v>8.6E-3</v>
      </c>
      <c r="H1342" s="1">
        <v>2.3600000000000001E-3</v>
      </c>
    </row>
    <row r="1343" spans="1:8" x14ac:dyDescent="0.25">
      <c r="A1343" t="s">
        <v>1426</v>
      </c>
      <c r="B1343">
        <v>36</v>
      </c>
      <c r="C1343">
        <v>29.54</v>
      </c>
      <c r="D1343" s="3">
        <v>29.54</v>
      </c>
      <c r="E1343" t="s">
        <v>1179</v>
      </c>
      <c r="F1343">
        <v>1452895</v>
      </c>
      <c r="G1343" s="1">
        <v>1.15E-2</v>
      </c>
      <c r="H1343" s="1">
        <v>3.16E-3</v>
      </c>
    </row>
    <row r="1344" spans="1:8" x14ac:dyDescent="0.25">
      <c r="A1344" t="s">
        <v>1426</v>
      </c>
      <c r="B1344">
        <v>37</v>
      </c>
      <c r="C1344">
        <v>29.741</v>
      </c>
      <c r="D1344" s="3">
        <v>29.74</v>
      </c>
      <c r="E1344">
        <v>946429</v>
      </c>
      <c r="F1344">
        <v>12393063</v>
      </c>
      <c r="G1344" s="1">
        <v>9.8100000000000007E-2</v>
      </c>
      <c r="H1344" s="1">
        <v>2.6919999999999999E-2</v>
      </c>
    </row>
    <row r="1345" spans="1:8" x14ac:dyDescent="0.25">
      <c r="A1345" t="s">
        <v>1426</v>
      </c>
      <c r="B1345">
        <v>38</v>
      </c>
      <c r="C1345">
        <v>29.838000000000001</v>
      </c>
      <c r="D1345" s="3">
        <v>29.84</v>
      </c>
      <c r="E1345" t="s">
        <v>1180</v>
      </c>
      <c r="F1345">
        <v>2386354</v>
      </c>
      <c r="G1345" s="1">
        <v>1.89E-2</v>
      </c>
      <c r="H1345" s="1">
        <v>5.1799999999999997E-3</v>
      </c>
    </row>
    <row r="1346" spans="1:8" x14ac:dyDescent="0.25">
      <c r="A1346" t="s">
        <v>1426</v>
      </c>
      <c r="B1346">
        <v>39</v>
      </c>
      <c r="C1346">
        <v>29.896999999999998</v>
      </c>
      <c r="D1346" s="3">
        <v>29.9</v>
      </c>
      <c r="E1346" t="s">
        <v>1181</v>
      </c>
      <c r="F1346">
        <v>3526054</v>
      </c>
      <c r="G1346" s="1">
        <v>2.7900000000000001E-2</v>
      </c>
      <c r="H1346" s="1">
        <v>7.6600000000000001E-3</v>
      </c>
    </row>
    <row r="1347" spans="1:8" x14ac:dyDescent="0.25">
      <c r="A1347" t="s">
        <v>1426</v>
      </c>
      <c r="B1347">
        <v>40</v>
      </c>
      <c r="C1347">
        <v>30.013999999999999</v>
      </c>
      <c r="D1347" s="3">
        <v>30.01</v>
      </c>
      <c r="E1347" t="s">
        <v>1182</v>
      </c>
      <c r="F1347">
        <v>1585439</v>
      </c>
      <c r="G1347" s="1">
        <v>1.2500000000000001E-2</v>
      </c>
      <c r="H1347" s="1">
        <v>3.4399999999999999E-3</v>
      </c>
    </row>
    <row r="1348" spans="1:8" x14ac:dyDescent="0.25">
      <c r="A1348" t="s">
        <v>1426</v>
      </c>
      <c r="B1348">
        <v>41</v>
      </c>
      <c r="C1348">
        <v>30.173999999999999</v>
      </c>
      <c r="D1348" s="3">
        <v>30.17</v>
      </c>
      <c r="E1348" t="s">
        <v>1183</v>
      </c>
      <c r="F1348">
        <v>1814235</v>
      </c>
      <c r="G1348" s="1">
        <v>1.44E-2</v>
      </c>
      <c r="H1348" s="1">
        <v>3.9399999999999999E-3</v>
      </c>
    </row>
    <row r="1349" spans="1:8" x14ac:dyDescent="0.25">
      <c r="A1349" t="s">
        <v>1426</v>
      </c>
      <c r="B1349">
        <v>42</v>
      </c>
      <c r="C1349">
        <v>30.234000000000002</v>
      </c>
      <c r="D1349" s="3">
        <v>30.23</v>
      </c>
      <c r="E1349" t="s">
        <v>1184</v>
      </c>
      <c r="F1349">
        <v>1102621</v>
      </c>
      <c r="G1349" s="1">
        <v>8.6999999999999994E-3</v>
      </c>
      <c r="H1349" s="1">
        <v>2.3999999999999998E-3</v>
      </c>
    </row>
    <row r="1350" spans="1:8" x14ac:dyDescent="0.25">
      <c r="A1350" t="s">
        <v>1426</v>
      </c>
      <c r="B1350">
        <v>43</v>
      </c>
      <c r="C1350">
        <v>31.821999999999999</v>
      </c>
      <c r="D1350" s="3">
        <v>31.82</v>
      </c>
      <c r="E1350" t="s">
        <v>1185</v>
      </c>
      <c r="F1350">
        <v>5077991</v>
      </c>
      <c r="G1350" s="1">
        <v>4.02E-2</v>
      </c>
      <c r="H1350" s="1">
        <v>1.103E-2</v>
      </c>
    </row>
    <row r="1351" spans="1:8" x14ac:dyDescent="0.25">
      <c r="A1351" t="s">
        <v>1426</v>
      </c>
      <c r="B1351">
        <v>44</v>
      </c>
      <c r="C1351">
        <v>31.986999999999998</v>
      </c>
      <c r="D1351" s="3">
        <v>31.99</v>
      </c>
      <c r="E1351">
        <v>285122</v>
      </c>
      <c r="F1351">
        <v>5657953</v>
      </c>
      <c r="G1351" s="1">
        <v>4.48E-2</v>
      </c>
      <c r="H1351" s="1">
        <v>1.2290000000000001E-2</v>
      </c>
    </row>
    <row r="1352" spans="1:8" x14ac:dyDescent="0.25">
      <c r="A1352" t="s">
        <v>1426</v>
      </c>
      <c r="B1352">
        <v>45</v>
      </c>
      <c r="C1352">
        <v>32.728999999999999</v>
      </c>
      <c r="D1352" s="3">
        <v>32.729999999999997</v>
      </c>
      <c r="E1352" t="s">
        <v>1186</v>
      </c>
      <c r="F1352">
        <v>11007468</v>
      </c>
      <c r="G1352" s="1">
        <v>8.7099999999999997E-2</v>
      </c>
      <c r="H1352" s="1">
        <v>2.3910000000000001E-2</v>
      </c>
    </row>
    <row r="1353" spans="1:8" x14ac:dyDescent="0.25">
      <c r="A1353" t="s">
        <v>1426</v>
      </c>
      <c r="B1353">
        <v>46</v>
      </c>
      <c r="C1353">
        <v>33.1</v>
      </c>
      <c r="D1353" s="3">
        <v>33.1</v>
      </c>
      <c r="E1353">
        <v>647510</v>
      </c>
      <c r="F1353">
        <v>18198469</v>
      </c>
      <c r="G1353" s="1">
        <v>0.14399999999999999</v>
      </c>
      <c r="H1353" s="1">
        <v>3.9539999999999999E-2</v>
      </c>
    </row>
    <row r="1354" spans="1:8" x14ac:dyDescent="0.25">
      <c r="A1354" t="s">
        <v>1426</v>
      </c>
      <c r="B1354">
        <v>47</v>
      </c>
      <c r="C1354">
        <v>33.694000000000003</v>
      </c>
      <c r="D1354" s="3">
        <v>33.69</v>
      </c>
      <c r="E1354" t="s">
        <v>1187</v>
      </c>
      <c r="F1354">
        <v>3470941</v>
      </c>
      <c r="G1354" s="1">
        <v>2.75E-2</v>
      </c>
      <c r="H1354" s="1">
        <v>7.5399999999999998E-3</v>
      </c>
    </row>
    <row r="1355" spans="1:8" x14ac:dyDescent="0.25">
      <c r="A1355" t="s">
        <v>1427</v>
      </c>
      <c r="B1355">
        <v>1</v>
      </c>
      <c r="C1355">
        <v>4.8540000000000001</v>
      </c>
      <c r="D1355" s="3">
        <v>4.8499999999999996</v>
      </c>
      <c r="E1355" t="s">
        <v>1188</v>
      </c>
      <c r="F1355">
        <v>1003169</v>
      </c>
      <c r="G1355" s="1">
        <v>6.3E-3</v>
      </c>
      <c r="H1355" s="1">
        <v>1.9599999999999999E-3</v>
      </c>
    </row>
    <row r="1356" spans="1:8" x14ac:dyDescent="0.25">
      <c r="A1356" t="s">
        <v>1427</v>
      </c>
      <c r="B1356">
        <v>2</v>
      </c>
      <c r="C1356">
        <v>4.8899999999999997</v>
      </c>
      <c r="D1356" s="3">
        <v>4.8899999999999997</v>
      </c>
      <c r="E1356" t="s">
        <v>1189</v>
      </c>
      <c r="F1356">
        <v>11417248</v>
      </c>
      <c r="G1356" s="1">
        <v>7.1599999999999997E-2</v>
      </c>
      <c r="H1356" s="1">
        <v>2.2280000000000001E-2</v>
      </c>
    </row>
    <row r="1357" spans="1:8" x14ac:dyDescent="0.25">
      <c r="A1357" t="s">
        <v>1427</v>
      </c>
      <c r="B1357">
        <v>3</v>
      </c>
      <c r="C1357">
        <v>4.984</v>
      </c>
      <c r="D1357" s="3">
        <v>4.9800000000000004</v>
      </c>
      <c r="E1357" t="s">
        <v>1190</v>
      </c>
      <c r="F1357">
        <v>1953432</v>
      </c>
      <c r="G1357" s="1">
        <v>1.23E-2</v>
      </c>
      <c r="H1357" s="1">
        <v>3.81E-3</v>
      </c>
    </row>
    <row r="1358" spans="1:8" x14ac:dyDescent="0.25">
      <c r="A1358" t="s">
        <v>1427</v>
      </c>
      <c r="B1358">
        <v>4</v>
      </c>
      <c r="C1358">
        <v>5.6219999999999999</v>
      </c>
      <c r="D1358" s="3">
        <v>5.62</v>
      </c>
      <c r="E1358" t="s">
        <v>1191</v>
      </c>
      <c r="F1358">
        <v>1176314</v>
      </c>
      <c r="G1358" s="1">
        <v>7.4000000000000003E-3</v>
      </c>
      <c r="H1358" s="1">
        <v>2.3E-3</v>
      </c>
    </row>
    <row r="1359" spans="1:8" x14ac:dyDescent="0.25">
      <c r="A1359" t="s">
        <v>1427</v>
      </c>
      <c r="B1359">
        <v>5</v>
      </c>
      <c r="C1359">
        <v>6.117</v>
      </c>
      <c r="D1359" s="3">
        <v>6.12</v>
      </c>
      <c r="E1359" t="s">
        <v>1192</v>
      </c>
      <c r="F1359">
        <v>1033728</v>
      </c>
      <c r="G1359" s="1">
        <v>6.4999999999999997E-3</v>
      </c>
      <c r="H1359" s="1">
        <v>2.0200000000000001E-3</v>
      </c>
    </row>
    <row r="1360" spans="1:8" x14ac:dyDescent="0.25">
      <c r="A1360" t="s">
        <v>1427</v>
      </c>
      <c r="B1360">
        <v>6</v>
      </c>
      <c r="C1360">
        <v>6.266</v>
      </c>
      <c r="D1360" s="3">
        <v>6.27</v>
      </c>
      <c r="E1360" t="s">
        <v>1193</v>
      </c>
      <c r="F1360">
        <v>1434543</v>
      </c>
      <c r="G1360" s="1">
        <v>8.9999999999999993E-3</v>
      </c>
      <c r="H1360" s="1">
        <v>2.8E-3</v>
      </c>
    </row>
    <row r="1361" spans="1:8" x14ac:dyDescent="0.25">
      <c r="A1361" t="s">
        <v>1427</v>
      </c>
      <c r="B1361">
        <v>7</v>
      </c>
      <c r="C1361">
        <v>6.4939999999999998</v>
      </c>
      <c r="D1361" s="3">
        <v>6.49</v>
      </c>
      <c r="E1361" t="s">
        <v>1194</v>
      </c>
      <c r="F1361">
        <v>2840350</v>
      </c>
      <c r="G1361" s="1">
        <v>1.78E-2</v>
      </c>
      <c r="H1361" s="1">
        <v>5.5399999999999998E-3</v>
      </c>
    </row>
    <row r="1362" spans="1:8" x14ac:dyDescent="0.25">
      <c r="A1362" t="s">
        <v>1427</v>
      </c>
      <c r="B1362">
        <v>8</v>
      </c>
      <c r="C1362">
        <v>8.2919999999999998</v>
      </c>
      <c r="D1362" s="3">
        <v>8.2899999999999991</v>
      </c>
      <c r="E1362" t="s">
        <v>1195</v>
      </c>
      <c r="F1362">
        <v>1864859</v>
      </c>
      <c r="G1362" s="1">
        <v>1.17E-2</v>
      </c>
      <c r="H1362" s="1">
        <v>3.64E-3</v>
      </c>
    </row>
    <row r="1363" spans="1:8" x14ac:dyDescent="0.25">
      <c r="A1363" t="s">
        <v>1427</v>
      </c>
      <c r="B1363">
        <v>9</v>
      </c>
      <c r="C1363">
        <v>9.19</v>
      </c>
      <c r="D1363" s="3">
        <v>9.19</v>
      </c>
      <c r="E1363" t="s">
        <v>1196</v>
      </c>
      <c r="F1363">
        <v>1369160</v>
      </c>
      <c r="G1363" s="1">
        <v>8.6E-3</v>
      </c>
      <c r="H1363" s="1">
        <v>2.6700000000000001E-3</v>
      </c>
    </row>
    <row r="1364" spans="1:8" x14ac:dyDescent="0.25">
      <c r="A1364" t="s">
        <v>1427</v>
      </c>
      <c r="B1364">
        <v>10</v>
      </c>
      <c r="C1364">
        <v>9.26</v>
      </c>
      <c r="D1364" s="3">
        <v>9.26</v>
      </c>
      <c r="E1364" t="s">
        <v>1197</v>
      </c>
      <c r="F1364">
        <v>1021854</v>
      </c>
      <c r="G1364" s="1">
        <v>6.4000000000000003E-3</v>
      </c>
      <c r="H1364" s="1">
        <v>1.99E-3</v>
      </c>
    </row>
    <row r="1365" spans="1:8" x14ac:dyDescent="0.25">
      <c r="A1365" t="s">
        <v>1427</v>
      </c>
      <c r="B1365">
        <v>11</v>
      </c>
      <c r="C1365">
        <v>9.66</v>
      </c>
      <c r="D1365" s="3">
        <v>9.66</v>
      </c>
      <c r="E1365" t="s">
        <v>1198</v>
      </c>
      <c r="F1365">
        <v>6948458</v>
      </c>
      <c r="G1365" s="1">
        <v>4.36E-2</v>
      </c>
      <c r="H1365" s="1">
        <v>1.3559999999999999E-2</v>
      </c>
    </row>
    <row r="1366" spans="1:8" x14ac:dyDescent="0.25">
      <c r="A1366" t="s">
        <v>1427</v>
      </c>
      <c r="B1366">
        <v>12</v>
      </c>
      <c r="C1366">
        <v>10.596</v>
      </c>
      <c r="D1366" s="3">
        <v>10.6</v>
      </c>
      <c r="E1366" t="s">
        <v>1199</v>
      </c>
      <c r="F1366">
        <v>1006766</v>
      </c>
      <c r="G1366" s="1">
        <v>6.3E-3</v>
      </c>
      <c r="H1366" s="1">
        <v>1.9599999999999999E-3</v>
      </c>
    </row>
    <row r="1367" spans="1:8" x14ac:dyDescent="0.25">
      <c r="A1367" t="s">
        <v>1427</v>
      </c>
      <c r="B1367">
        <v>13</v>
      </c>
      <c r="C1367">
        <v>11.233000000000001</v>
      </c>
      <c r="D1367" s="3">
        <v>11.23</v>
      </c>
      <c r="E1367" t="s">
        <v>1200</v>
      </c>
      <c r="F1367">
        <v>1319605</v>
      </c>
      <c r="G1367" s="1">
        <v>8.3000000000000001E-3</v>
      </c>
      <c r="H1367" s="1">
        <v>2.5799999999999998E-3</v>
      </c>
    </row>
    <row r="1368" spans="1:8" x14ac:dyDescent="0.25">
      <c r="A1368" t="s">
        <v>1427</v>
      </c>
      <c r="B1368">
        <v>14</v>
      </c>
      <c r="C1368">
        <v>12.705</v>
      </c>
      <c r="D1368" s="3">
        <v>12.71</v>
      </c>
      <c r="E1368" t="s">
        <v>1201</v>
      </c>
      <c r="F1368">
        <v>3277982</v>
      </c>
      <c r="G1368" s="1">
        <v>2.06E-2</v>
      </c>
      <c r="H1368" s="1">
        <v>6.4000000000000003E-3</v>
      </c>
    </row>
    <row r="1369" spans="1:8" x14ac:dyDescent="0.25">
      <c r="A1369" t="s">
        <v>1427</v>
      </c>
      <c r="B1369">
        <v>15</v>
      </c>
      <c r="C1369">
        <v>12.843999999999999</v>
      </c>
      <c r="D1369" s="3">
        <v>12.84</v>
      </c>
      <c r="E1369" t="s">
        <v>1202</v>
      </c>
      <c r="F1369">
        <v>19462653</v>
      </c>
      <c r="G1369" s="1">
        <v>0.1221</v>
      </c>
      <c r="H1369" s="1">
        <v>3.798E-2</v>
      </c>
    </row>
    <row r="1370" spans="1:8" x14ac:dyDescent="0.25">
      <c r="A1370" t="s">
        <v>1427</v>
      </c>
      <c r="B1370">
        <v>16</v>
      </c>
      <c r="C1370">
        <v>13</v>
      </c>
      <c r="D1370" s="3">
        <v>13</v>
      </c>
      <c r="E1370" t="s">
        <v>1203</v>
      </c>
      <c r="F1370">
        <v>1279091</v>
      </c>
      <c r="G1370" s="1">
        <v>8.0000000000000002E-3</v>
      </c>
      <c r="H1370" s="1">
        <v>2.5000000000000001E-3</v>
      </c>
    </row>
    <row r="1371" spans="1:8" x14ac:dyDescent="0.25">
      <c r="A1371" t="s">
        <v>1427</v>
      </c>
      <c r="B1371">
        <v>17</v>
      </c>
      <c r="C1371">
        <v>13.227</v>
      </c>
      <c r="D1371" s="3">
        <v>13.23</v>
      </c>
      <c r="E1371" t="s">
        <v>1204</v>
      </c>
      <c r="F1371">
        <v>2869345</v>
      </c>
      <c r="G1371" s="1">
        <v>1.7999999999999999E-2</v>
      </c>
      <c r="H1371" s="1">
        <v>5.5999999999999999E-3</v>
      </c>
    </row>
    <row r="1372" spans="1:8" x14ac:dyDescent="0.25">
      <c r="A1372" t="s">
        <v>1427</v>
      </c>
      <c r="B1372">
        <v>18</v>
      </c>
      <c r="C1372">
        <v>14.541</v>
      </c>
      <c r="D1372" s="3">
        <v>14.54</v>
      </c>
      <c r="E1372" t="s">
        <v>1205</v>
      </c>
      <c r="F1372">
        <v>1085653</v>
      </c>
      <c r="G1372" s="1">
        <v>6.7999999999999996E-3</v>
      </c>
      <c r="H1372" s="1">
        <v>2.1199999999999999E-3</v>
      </c>
    </row>
    <row r="1373" spans="1:8" x14ac:dyDescent="0.25">
      <c r="A1373" t="s">
        <v>1427</v>
      </c>
      <c r="B1373">
        <v>19</v>
      </c>
      <c r="C1373">
        <v>14.589</v>
      </c>
      <c r="D1373" s="3">
        <v>14.59</v>
      </c>
      <c r="E1373" t="s">
        <v>1206</v>
      </c>
      <c r="F1373">
        <v>1814962</v>
      </c>
      <c r="G1373" s="1">
        <v>1.14E-2</v>
      </c>
      <c r="H1373" s="1">
        <v>3.5400000000000002E-3</v>
      </c>
    </row>
    <row r="1374" spans="1:8" x14ac:dyDescent="0.25">
      <c r="A1374" t="s">
        <v>1427</v>
      </c>
      <c r="B1374">
        <v>20</v>
      </c>
      <c r="C1374">
        <v>15.529</v>
      </c>
      <c r="D1374" s="3">
        <v>15.53</v>
      </c>
      <c r="E1374" t="s">
        <v>1207</v>
      </c>
      <c r="F1374">
        <v>2760546</v>
      </c>
      <c r="G1374" s="1">
        <v>1.7299999999999999E-2</v>
      </c>
      <c r="H1374" s="1">
        <v>5.3899999999999998E-3</v>
      </c>
    </row>
    <row r="1375" spans="1:8" x14ac:dyDescent="0.25">
      <c r="A1375" t="s">
        <v>1427</v>
      </c>
      <c r="B1375">
        <v>21</v>
      </c>
      <c r="C1375">
        <v>15.878</v>
      </c>
      <c r="D1375" s="3">
        <v>15.88</v>
      </c>
      <c r="E1375" t="s">
        <v>1208</v>
      </c>
      <c r="F1375">
        <v>7618913</v>
      </c>
      <c r="G1375" s="1">
        <v>4.7800000000000002E-2</v>
      </c>
      <c r="H1375" s="1">
        <v>1.487E-2</v>
      </c>
    </row>
    <row r="1376" spans="1:8" x14ac:dyDescent="0.25">
      <c r="A1376" t="s">
        <v>1427</v>
      </c>
      <c r="B1376">
        <v>22</v>
      </c>
      <c r="C1376">
        <v>16.667000000000002</v>
      </c>
      <c r="D1376" s="3">
        <v>16.670000000000002</v>
      </c>
      <c r="E1376" t="s">
        <v>1209</v>
      </c>
      <c r="F1376">
        <v>1598189</v>
      </c>
      <c r="G1376" s="1">
        <v>0.01</v>
      </c>
      <c r="H1376" s="1">
        <v>3.1199999999999999E-3</v>
      </c>
    </row>
    <row r="1377" spans="1:8" x14ac:dyDescent="0.25">
      <c r="A1377" t="s">
        <v>1427</v>
      </c>
      <c r="B1377">
        <v>23</v>
      </c>
      <c r="C1377">
        <v>17.033999999999999</v>
      </c>
      <c r="D1377" s="3">
        <v>17.03</v>
      </c>
      <c r="E1377" t="s">
        <v>1210</v>
      </c>
      <c r="F1377">
        <v>59211121</v>
      </c>
      <c r="G1377" s="1">
        <v>0.3715</v>
      </c>
      <c r="H1377" s="1">
        <v>0.11554</v>
      </c>
    </row>
    <row r="1378" spans="1:8" x14ac:dyDescent="0.25">
      <c r="A1378" t="s">
        <v>1427</v>
      </c>
      <c r="B1378">
        <v>24</v>
      </c>
      <c r="C1378">
        <v>17.469000000000001</v>
      </c>
      <c r="D1378" s="3">
        <v>17.47</v>
      </c>
      <c r="E1378" t="s">
        <v>1211</v>
      </c>
      <c r="F1378">
        <v>6209355</v>
      </c>
      <c r="G1378" s="1">
        <v>3.9E-2</v>
      </c>
      <c r="H1378" s="1">
        <v>1.2120000000000001E-2</v>
      </c>
    </row>
    <row r="1379" spans="1:8" x14ac:dyDescent="0.25">
      <c r="A1379" t="s">
        <v>1427</v>
      </c>
      <c r="B1379">
        <v>25</v>
      </c>
      <c r="C1379">
        <v>17.692</v>
      </c>
      <c r="D1379" s="3">
        <v>17.690000000000001</v>
      </c>
      <c r="E1379" t="s">
        <v>1212</v>
      </c>
      <c r="F1379">
        <v>1168043</v>
      </c>
      <c r="G1379" s="1">
        <v>7.3000000000000001E-3</v>
      </c>
      <c r="H1379" s="1">
        <v>2.2799999999999999E-3</v>
      </c>
    </row>
    <row r="1380" spans="1:8" x14ac:dyDescent="0.25">
      <c r="A1380" t="s">
        <v>1427</v>
      </c>
      <c r="B1380">
        <v>26</v>
      </c>
      <c r="C1380">
        <v>17.803999999999998</v>
      </c>
      <c r="D1380" s="3">
        <v>17.8</v>
      </c>
      <c r="E1380" t="s">
        <v>1213</v>
      </c>
      <c r="F1380">
        <v>1556499</v>
      </c>
      <c r="G1380" s="1">
        <v>9.7999999999999997E-3</v>
      </c>
      <c r="H1380" s="1">
        <v>3.0400000000000002E-3</v>
      </c>
    </row>
    <row r="1381" spans="1:8" x14ac:dyDescent="0.25">
      <c r="A1381" t="s">
        <v>1427</v>
      </c>
      <c r="B1381">
        <v>27</v>
      </c>
      <c r="C1381">
        <v>18.056999999999999</v>
      </c>
      <c r="D1381" s="3">
        <v>18.059999999999999</v>
      </c>
      <c r="E1381" t="s">
        <v>1214</v>
      </c>
      <c r="F1381">
        <v>1672632</v>
      </c>
      <c r="G1381" s="1">
        <v>1.0500000000000001E-2</v>
      </c>
      <c r="H1381" s="1">
        <v>3.2599999999999999E-3</v>
      </c>
    </row>
    <row r="1382" spans="1:8" x14ac:dyDescent="0.25">
      <c r="A1382" t="s">
        <v>1427</v>
      </c>
      <c r="B1382">
        <v>28</v>
      </c>
      <c r="C1382">
        <v>18.305</v>
      </c>
      <c r="D1382" s="3">
        <v>18.309999999999999</v>
      </c>
      <c r="E1382" t="s">
        <v>1215</v>
      </c>
      <c r="F1382">
        <v>1168881</v>
      </c>
      <c r="G1382" s="1">
        <v>7.3000000000000001E-3</v>
      </c>
      <c r="H1382" s="1">
        <v>2.2799999999999999E-3</v>
      </c>
    </row>
    <row r="1383" spans="1:8" x14ac:dyDescent="0.25">
      <c r="A1383" t="s">
        <v>1427</v>
      </c>
      <c r="B1383">
        <v>29</v>
      </c>
      <c r="C1383">
        <v>18.727</v>
      </c>
      <c r="D1383" s="3">
        <v>18.73</v>
      </c>
      <c r="E1383" t="s">
        <v>1216</v>
      </c>
      <c r="F1383">
        <v>1414088</v>
      </c>
      <c r="G1383" s="1">
        <v>8.8999999999999999E-3</v>
      </c>
      <c r="H1383" s="1">
        <v>2.7599999999999999E-3</v>
      </c>
    </row>
    <row r="1384" spans="1:8" x14ac:dyDescent="0.25">
      <c r="A1384" t="s">
        <v>1427</v>
      </c>
      <c r="B1384">
        <v>30</v>
      </c>
      <c r="C1384">
        <v>18.844000000000001</v>
      </c>
      <c r="D1384" s="3">
        <v>18.84</v>
      </c>
      <c r="E1384" t="s">
        <v>1217</v>
      </c>
      <c r="F1384">
        <v>5061221</v>
      </c>
      <c r="G1384" s="1">
        <v>3.1800000000000002E-2</v>
      </c>
      <c r="H1384" s="1">
        <v>9.8799999999999999E-3</v>
      </c>
    </row>
    <row r="1385" spans="1:8" x14ac:dyDescent="0.25">
      <c r="A1385" t="s">
        <v>1427</v>
      </c>
      <c r="B1385">
        <v>31</v>
      </c>
      <c r="C1385">
        <v>20.231999999999999</v>
      </c>
      <c r="D1385" s="3">
        <v>20.23</v>
      </c>
      <c r="E1385" t="s">
        <v>1218</v>
      </c>
      <c r="F1385">
        <v>1575122</v>
      </c>
      <c r="G1385" s="1">
        <v>9.9000000000000008E-3</v>
      </c>
      <c r="H1385" s="1">
        <v>3.0699999999999998E-3</v>
      </c>
    </row>
    <row r="1386" spans="1:8" x14ac:dyDescent="0.25">
      <c r="A1386" t="s">
        <v>1427</v>
      </c>
      <c r="B1386">
        <v>32</v>
      </c>
      <c r="C1386">
        <v>20.966999999999999</v>
      </c>
      <c r="D1386" s="3">
        <v>20.97</v>
      </c>
      <c r="E1386" t="s">
        <v>1219</v>
      </c>
      <c r="F1386">
        <v>1014549</v>
      </c>
      <c r="G1386" s="1">
        <v>6.4000000000000003E-3</v>
      </c>
      <c r="H1386" s="1">
        <v>1.98E-3</v>
      </c>
    </row>
    <row r="1387" spans="1:8" x14ac:dyDescent="0.25">
      <c r="A1387" t="s">
        <v>1427</v>
      </c>
      <c r="B1387">
        <v>33</v>
      </c>
      <c r="C1387">
        <v>21.4</v>
      </c>
      <c r="D1387" s="3">
        <v>21.4</v>
      </c>
      <c r="E1387" t="s">
        <v>1220</v>
      </c>
      <c r="F1387">
        <v>1205698</v>
      </c>
      <c r="G1387" s="1">
        <v>7.6E-3</v>
      </c>
      <c r="H1387" s="1">
        <v>2.3500000000000001E-3</v>
      </c>
    </row>
    <row r="1388" spans="1:8" x14ac:dyDescent="0.25">
      <c r="A1388" t="s">
        <v>1427</v>
      </c>
      <c r="B1388">
        <v>34</v>
      </c>
      <c r="C1388">
        <v>23.477</v>
      </c>
      <c r="D1388" s="3">
        <v>23.48</v>
      </c>
      <c r="E1388" t="s">
        <v>1221</v>
      </c>
      <c r="F1388">
        <v>1675276</v>
      </c>
      <c r="G1388" s="1">
        <v>1.0500000000000001E-2</v>
      </c>
      <c r="H1388" s="1">
        <v>3.2699999999999999E-3</v>
      </c>
    </row>
    <row r="1389" spans="1:8" x14ac:dyDescent="0.25">
      <c r="A1389" t="s">
        <v>1427</v>
      </c>
      <c r="B1389">
        <v>35</v>
      </c>
      <c r="C1389">
        <v>23.919</v>
      </c>
      <c r="D1389" s="3">
        <v>23.92</v>
      </c>
      <c r="E1389" t="s">
        <v>1222</v>
      </c>
      <c r="F1389">
        <v>1027966</v>
      </c>
      <c r="G1389" s="1">
        <v>6.4999999999999997E-3</v>
      </c>
      <c r="H1389" s="1">
        <v>2.0100000000000001E-3</v>
      </c>
    </row>
    <row r="1390" spans="1:8" x14ac:dyDescent="0.25">
      <c r="A1390" t="s">
        <v>1427</v>
      </c>
      <c r="B1390">
        <v>36</v>
      </c>
      <c r="C1390">
        <v>28.481999999999999</v>
      </c>
      <c r="D1390" s="3">
        <v>28.48</v>
      </c>
      <c r="E1390">
        <v>1508633</v>
      </c>
      <c r="F1390">
        <v>26092883</v>
      </c>
      <c r="G1390" s="1">
        <v>0.16370000000000001</v>
      </c>
      <c r="H1390" s="1">
        <v>5.092E-2</v>
      </c>
    </row>
    <row r="1391" spans="1:8" x14ac:dyDescent="0.25">
      <c r="A1391" t="s">
        <v>1427</v>
      </c>
      <c r="B1391">
        <v>37</v>
      </c>
      <c r="C1391">
        <v>28.731999999999999</v>
      </c>
      <c r="D1391" s="3">
        <v>28.73</v>
      </c>
      <c r="E1391" t="s">
        <v>1223</v>
      </c>
      <c r="F1391">
        <v>4521320</v>
      </c>
      <c r="G1391" s="1">
        <v>2.8400000000000002E-2</v>
      </c>
      <c r="H1391" s="1">
        <v>8.8199999999999997E-3</v>
      </c>
    </row>
    <row r="1392" spans="1:8" x14ac:dyDescent="0.25">
      <c r="A1392" t="s">
        <v>1427</v>
      </c>
      <c r="B1392">
        <v>38</v>
      </c>
      <c r="C1392">
        <v>28.891999999999999</v>
      </c>
      <c r="D1392" s="3">
        <v>28.89</v>
      </c>
      <c r="E1392">
        <v>598854</v>
      </c>
      <c r="F1392">
        <v>8085976</v>
      </c>
      <c r="G1392" s="1">
        <v>5.0700000000000002E-2</v>
      </c>
      <c r="H1392" s="1">
        <v>1.5779999999999999E-2</v>
      </c>
    </row>
    <row r="1393" spans="1:8" x14ac:dyDescent="0.25">
      <c r="A1393" t="s">
        <v>1427</v>
      </c>
      <c r="B1393">
        <v>39</v>
      </c>
      <c r="C1393">
        <v>29.047999999999998</v>
      </c>
      <c r="D1393" s="3">
        <v>29.05</v>
      </c>
      <c r="E1393">
        <v>6119423</v>
      </c>
      <c r="F1393">
        <v>70343032</v>
      </c>
      <c r="G1393" s="1">
        <v>0.44140000000000001</v>
      </c>
      <c r="H1393" s="1">
        <v>0.13727</v>
      </c>
    </row>
    <row r="1394" spans="1:8" x14ac:dyDescent="0.25">
      <c r="A1394" t="s">
        <v>1427</v>
      </c>
      <c r="B1394">
        <v>40</v>
      </c>
      <c r="C1394">
        <v>29.158000000000001</v>
      </c>
      <c r="D1394" s="3">
        <v>29.16</v>
      </c>
      <c r="E1394" t="s">
        <v>1224</v>
      </c>
      <c r="F1394">
        <v>1111509</v>
      </c>
      <c r="G1394" s="1">
        <v>7.0000000000000001E-3</v>
      </c>
      <c r="H1394" s="1">
        <v>2.1700000000000001E-3</v>
      </c>
    </row>
    <row r="1395" spans="1:8" x14ac:dyDescent="0.25">
      <c r="A1395" t="s">
        <v>1427</v>
      </c>
      <c r="B1395">
        <v>41</v>
      </c>
      <c r="C1395">
        <v>29.231999999999999</v>
      </c>
      <c r="D1395" s="3">
        <v>29.23</v>
      </c>
      <c r="E1395" t="s">
        <v>1225</v>
      </c>
      <c r="F1395">
        <v>2140688</v>
      </c>
      <c r="G1395" s="1">
        <v>1.34E-2</v>
      </c>
      <c r="H1395" s="1">
        <v>4.1799999999999997E-3</v>
      </c>
    </row>
    <row r="1396" spans="1:8" x14ac:dyDescent="0.25">
      <c r="A1396" t="s">
        <v>1427</v>
      </c>
      <c r="B1396">
        <v>42</v>
      </c>
      <c r="C1396">
        <v>29.741</v>
      </c>
      <c r="D1396" s="3">
        <v>29.74</v>
      </c>
      <c r="E1396">
        <v>348198</v>
      </c>
      <c r="F1396">
        <v>4241327</v>
      </c>
      <c r="G1396" s="1">
        <v>2.6599999999999999E-2</v>
      </c>
      <c r="H1396" s="1">
        <v>8.2799999999999992E-3</v>
      </c>
    </row>
    <row r="1397" spans="1:8" x14ac:dyDescent="0.25">
      <c r="A1397" t="s">
        <v>1427</v>
      </c>
      <c r="B1397">
        <v>43</v>
      </c>
      <c r="C1397">
        <v>29.826000000000001</v>
      </c>
      <c r="D1397" s="3">
        <v>29.83</v>
      </c>
      <c r="E1397" t="s">
        <v>1226</v>
      </c>
      <c r="F1397">
        <v>3773402</v>
      </c>
      <c r="G1397" s="1">
        <v>2.3699999999999999E-2</v>
      </c>
      <c r="H1397" s="1">
        <v>7.3600000000000002E-3</v>
      </c>
    </row>
    <row r="1398" spans="1:8" x14ac:dyDescent="0.25">
      <c r="A1398" t="s">
        <v>1427</v>
      </c>
      <c r="B1398">
        <v>44</v>
      </c>
      <c r="C1398">
        <v>29.881</v>
      </c>
      <c r="D1398" s="3">
        <v>29.88</v>
      </c>
      <c r="E1398" t="s">
        <v>1227</v>
      </c>
      <c r="F1398">
        <v>3271138</v>
      </c>
      <c r="G1398" s="1">
        <v>2.0500000000000001E-2</v>
      </c>
      <c r="H1398" s="1">
        <v>6.3800000000000003E-3</v>
      </c>
    </row>
    <row r="1399" spans="1:8" x14ac:dyDescent="0.25">
      <c r="A1399" t="s">
        <v>1427</v>
      </c>
      <c r="B1399">
        <v>45</v>
      </c>
      <c r="C1399">
        <v>30.463999999999999</v>
      </c>
      <c r="D1399" s="3">
        <v>30.46</v>
      </c>
      <c r="E1399" t="s">
        <v>1228</v>
      </c>
      <c r="F1399">
        <v>1629725</v>
      </c>
      <c r="G1399" s="1">
        <v>1.0200000000000001E-2</v>
      </c>
      <c r="H1399" s="1">
        <v>3.1800000000000001E-3</v>
      </c>
    </row>
    <row r="1400" spans="1:8" x14ac:dyDescent="0.25">
      <c r="A1400" t="s">
        <v>1427</v>
      </c>
      <c r="B1400">
        <v>46</v>
      </c>
      <c r="C1400">
        <v>30.812999999999999</v>
      </c>
      <c r="D1400" s="3">
        <v>30.81</v>
      </c>
      <c r="E1400" t="s">
        <v>1229</v>
      </c>
      <c r="F1400">
        <v>1209217</v>
      </c>
      <c r="G1400" s="1">
        <v>7.6E-3</v>
      </c>
      <c r="H1400" s="1">
        <v>2.3600000000000001E-3</v>
      </c>
    </row>
    <row r="1401" spans="1:8" x14ac:dyDescent="0.25">
      <c r="A1401" t="s">
        <v>1427</v>
      </c>
      <c r="B1401">
        <v>47</v>
      </c>
      <c r="C1401">
        <v>30.962</v>
      </c>
      <c r="D1401" s="3">
        <v>30.96</v>
      </c>
      <c r="E1401" t="s">
        <v>1230</v>
      </c>
      <c r="F1401">
        <v>1917217</v>
      </c>
      <c r="G1401" s="1">
        <v>1.2E-2</v>
      </c>
      <c r="H1401" s="1">
        <v>3.7399999999999998E-3</v>
      </c>
    </row>
    <row r="1402" spans="1:8" x14ac:dyDescent="0.25">
      <c r="A1402" t="s">
        <v>1427</v>
      </c>
      <c r="B1402">
        <v>48</v>
      </c>
      <c r="C1402">
        <v>31.006</v>
      </c>
      <c r="D1402" s="3">
        <v>31.01</v>
      </c>
      <c r="E1402" t="s">
        <v>1231</v>
      </c>
      <c r="F1402">
        <v>1087999</v>
      </c>
      <c r="G1402" s="1">
        <v>6.7999999999999996E-3</v>
      </c>
      <c r="H1402" s="1">
        <v>2.1199999999999999E-3</v>
      </c>
    </row>
    <row r="1403" spans="1:8" x14ac:dyDescent="0.25">
      <c r="A1403" t="s">
        <v>1427</v>
      </c>
      <c r="B1403">
        <v>49</v>
      </c>
      <c r="C1403">
        <v>31.27</v>
      </c>
      <c r="D1403" s="3">
        <v>31.27</v>
      </c>
      <c r="E1403" t="s">
        <v>1232</v>
      </c>
      <c r="F1403">
        <v>9054503</v>
      </c>
      <c r="G1403" s="1">
        <v>5.6800000000000003E-2</v>
      </c>
      <c r="H1403" s="1">
        <v>1.7670000000000002E-2</v>
      </c>
    </row>
    <row r="1404" spans="1:8" x14ac:dyDescent="0.25">
      <c r="A1404" t="s">
        <v>1427</v>
      </c>
      <c r="B1404">
        <v>50</v>
      </c>
      <c r="C1404">
        <v>31.370999999999999</v>
      </c>
      <c r="D1404" s="3">
        <v>31.37</v>
      </c>
      <c r="E1404" t="s">
        <v>1233</v>
      </c>
      <c r="F1404">
        <v>4487881</v>
      </c>
      <c r="G1404" s="1">
        <v>2.8199999999999999E-2</v>
      </c>
      <c r="H1404" s="1">
        <v>8.7600000000000004E-3</v>
      </c>
    </row>
    <row r="1405" spans="1:8" x14ac:dyDescent="0.25">
      <c r="A1405" t="s">
        <v>1427</v>
      </c>
      <c r="B1405">
        <v>51</v>
      </c>
      <c r="C1405">
        <v>31.728999999999999</v>
      </c>
      <c r="D1405" s="3">
        <v>31.73</v>
      </c>
      <c r="E1405" t="s">
        <v>1234</v>
      </c>
      <c r="F1405">
        <v>1188884</v>
      </c>
      <c r="G1405" s="1">
        <v>7.4999999999999997E-3</v>
      </c>
      <c r="H1405" s="1">
        <v>2.32E-3</v>
      </c>
    </row>
    <row r="1406" spans="1:8" x14ac:dyDescent="0.25">
      <c r="A1406" t="s">
        <v>1427</v>
      </c>
      <c r="B1406">
        <v>52</v>
      </c>
      <c r="C1406">
        <v>31.774999999999999</v>
      </c>
      <c r="D1406" s="3">
        <v>31.78</v>
      </c>
      <c r="E1406" t="s">
        <v>1235</v>
      </c>
      <c r="F1406">
        <v>1602938</v>
      </c>
      <c r="G1406" s="1">
        <v>1.01E-2</v>
      </c>
      <c r="H1406" s="1">
        <v>3.13E-3</v>
      </c>
    </row>
    <row r="1407" spans="1:8" x14ac:dyDescent="0.25">
      <c r="A1407" t="s">
        <v>1427</v>
      </c>
      <c r="B1407">
        <v>53</v>
      </c>
      <c r="C1407">
        <v>31.808</v>
      </c>
      <c r="D1407" s="3">
        <v>31.81</v>
      </c>
      <c r="E1407" t="s">
        <v>1236</v>
      </c>
      <c r="F1407">
        <v>2146314</v>
      </c>
      <c r="G1407" s="1">
        <v>1.35E-2</v>
      </c>
      <c r="H1407" s="1">
        <v>4.1900000000000001E-3</v>
      </c>
    </row>
    <row r="1408" spans="1:8" x14ac:dyDescent="0.25">
      <c r="A1408" t="s">
        <v>1427</v>
      </c>
      <c r="B1408">
        <v>54</v>
      </c>
      <c r="C1408">
        <v>31.986000000000001</v>
      </c>
      <c r="D1408" s="3">
        <v>31.99</v>
      </c>
      <c r="E1408">
        <v>11557154</v>
      </c>
      <c r="F1408">
        <v>159363527</v>
      </c>
      <c r="G1408" s="1">
        <v>1</v>
      </c>
      <c r="H1408" s="1">
        <v>0.31097999999999998</v>
      </c>
    </row>
    <row r="1409" spans="1:8" x14ac:dyDescent="0.25">
      <c r="A1409" t="s">
        <v>1427</v>
      </c>
      <c r="B1409">
        <v>55</v>
      </c>
      <c r="C1409">
        <v>32.244999999999997</v>
      </c>
      <c r="D1409" s="3">
        <v>32.25</v>
      </c>
      <c r="E1409">
        <v>134940</v>
      </c>
      <c r="F1409">
        <v>6578848</v>
      </c>
      <c r="G1409" s="1">
        <v>4.1300000000000003E-2</v>
      </c>
      <c r="H1409" s="1">
        <v>1.2840000000000001E-2</v>
      </c>
    </row>
    <row r="1410" spans="1:8" x14ac:dyDescent="0.25">
      <c r="A1410" t="s">
        <v>1427</v>
      </c>
      <c r="B1410">
        <v>56</v>
      </c>
      <c r="C1410">
        <v>32.351999999999997</v>
      </c>
      <c r="D1410" s="3">
        <v>32.35</v>
      </c>
      <c r="E1410">
        <v>36128</v>
      </c>
      <c r="F1410">
        <v>1379881</v>
      </c>
      <c r="G1410" s="1">
        <v>8.6999999999999994E-3</v>
      </c>
      <c r="H1410" s="1">
        <v>2.6900000000000001E-3</v>
      </c>
    </row>
    <row r="1411" spans="1:8" x14ac:dyDescent="0.25">
      <c r="A1411" t="s">
        <v>1427</v>
      </c>
      <c r="B1411">
        <v>57</v>
      </c>
      <c r="C1411">
        <v>32.603000000000002</v>
      </c>
      <c r="D1411" s="3">
        <v>32.6</v>
      </c>
      <c r="E1411">
        <v>42752</v>
      </c>
      <c r="F1411">
        <v>1166279</v>
      </c>
      <c r="G1411" s="1">
        <v>7.3000000000000001E-3</v>
      </c>
      <c r="H1411" s="1">
        <v>2.2799999999999999E-3</v>
      </c>
    </row>
    <row r="1412" spans="1:8" x14ac:dyDescent="0.25">
      <c r="A1412" t="s">
        <v>1427</v>
      </c>
      <c r="B1412">
        <v>58</v>
      </c>
      <c r="C1412">
        <v>32.729999999999997</v>
      </c>
      <c r="D1412" s="3">
        <v>32.729999999999997</v>
      </c>
      <c r="E1412" t="s">
        <v>1237</v>
      </c>
      <c r="F1412">
        <v>2642152</v>
      </c>
      <c r="G1412" s="1">
        <v>1.66E-2</v>
      </c>
      <c r="H1412" s="1">
        <v>5.1599999999999997E-3</v>
      </c>
    </row>
    <row r="1413" spans="1:8" x14ac:dyDescent="0.25">
      <c r="A1413" t="s">
        <v>1427</v>
      </c>
      <c r="B1413">
        <v>59</v>
      </c>
      <c r="C1413">
        <v>32.83</v>
      </c>
      <c r="D1413" s="3">
        <v>32.83</v>
      </c>
      <c r="E1413" t="s">
        <v>1238</v>
      </c>
      <c r="F1413">
        <v>1046837</v>
      </c>
      <c r="G1413" s="1">
        <v>6.6E-3</v>
      </c>
      <c r="H1413" s="1">
        <v>2.0400000000000001E-3</v>
      </c>
    </row>
    <row r="1414" spans="1:8" x14ac:dyDescent="0.25">
      <c r="A1414" t="s">
        <v>1427</v>
      </c>
      <c r="B1414">
        <v>60</v>
      </c>
      <c r="C1414">
        <v>33.095999999999997</v>
      </c>
      <c r="D1414" s="3">
        <v>33.1</v>
      </c>
      <c r="E1414">
        <v>1146256</v>
      </c>
      <c r="F1414">
        <v>29811597</v>
      </c>
      <c r="G1414" s="1">
        <v>0.18709999999999999</v>
      </c>
      <c r="H1414" s="1">
        <v>5.8169999999999999E-2</v>
      </c>
    </row>
    <row r="1415" spans="1:8" x14ac:dyDescent="0.25">
      <c r="A1415" t="s">
        <v>1427</v>
      </c>
      <c r="B1415">
        <v>61</v>
      </c>
      <c r="C1415">
        <v>33.229999999999997</v>
      </c>
      <c r="D1415" s="3">
        <v>33.229999999999997</v>
      </c>
      <c r="E1415">
        <v>41102</v>
      </c>
      <c r="F1415">
        <v>1193066</v>
      </c>
      <c r="G1415" s="1">
        <v>7.4999999999999997E-3</v>
      </c>
      <c r="H1415" s="1">
        <v>2.33E-3</v>
      </c>
    </row>
    <row r="1416" spans="1:8" x14ac:dyDescent="0.25">
      <c r="A1416" t="s">
        <v>1427</v>
      </c>
      <c r="B1416">
        <v>62</v>
      </c>
      <c r="C1416">
        <v>33.323999999999998</v>
      </c>
      <c r="D1416" s="3">
        <v>33.32</v>
      </c>
      <c r="E1416">
        <v>27950</v>
      </c>
      <c r="F1416">
        <v>1250586</v>
      </c>
      <c r="G1416" s="1">
        <v>7.7999999999999996E-3</v>
      </c>
      <c r="H1416" s="1">
        <v>2.4399999999999999E-3</v>
      </c>
    </row>
    <row r="1417" spans="1:8" x14ac:dyDescent="0.25">
      <c r="A1417" t="s">
        <v>1428</v>
      </c>
      <c r="B1417">
        <v>1</v>
      </c>
      <c r="C1417">
        <v>4.8860000000000001</v>
      </c>
      <c r="D1417" s="3">
        <v>4.8899999999999997</v>
      </c>
      <c r="E1417" t="s">
        <v>1239</v>
      </c>
      <c r="F1417">
        <v>18392059</v>
      </c>
      <c r="G1417" s="1">
        <v>0.1152</v>
      </c>
      <c r="H1417" s="1">
        <v>2.4910000000000002E-2</v>
      </c>
    </row>
    <row r="1418" spans="1:8" x14ac:dyDescent="0.25">
      <c r="A1418" t="s">
        <v>1428</v>
      </c>
      <c r="B1418">
        <v>2</v>
      </c>
      <c r="C1418">
        <v>5.1079999999999997</v>
      </c>
      <c r="D1418" s="3">
        <v>5.1100000000000003</v>
      </c>
      <c r="E1418" t="s">
        <v>1240</v>
      </c>
      <c r="F1418">
        <v>1057492</v>
      </c>
      <c r="G1418" s="1">
        <v>6.6E-3</v>
      </c>
      <c r="H1418" s="1">
        <v>1.4300000000000001E-3</v>
      </c>
    </row>
    <row r="1419" spans="1:8" x14ac:dyDescent="0.25">
      <c r="A1419" t="s">
        <v>1428</v>
      </c>
      <c r="B1419">
        <v>3</v>
      </c>
      <c r="C1419">
        <v>5.194</v>
      </c>
      <c r="D1419" s="3">
        <v>5.19</v>
      </c>
      <c r="E1419" t="s">
        <v>1241</v>
      </c>
      <c r="F1419">
        <v>159720212</v>
      </c>
      <c r="G1419" s="1">
        <v>0</v>
      </c>
      <c r="H1419" s="1">
        <v>0.21632000000000001</v>
      </c>
    </row>
    <row r="1420" spans="1:8" x14ac:dyDescent="0.25">
      <c r="A1420" t="s">
        <v>1428</v>
      </c>
      <c r="B1420">
        <v>4</v>
      </c>
      <c r="C1420">
        <v>5.3959999999999999</v>
      </c>
      <c r="D1420" s="3">
        <v>5.4</v>
      </c>
      <c r="E1420" t="s">
        <v>1242</v>
      </c>
      <c r="F1420">
        <v>8178728</v>
      </c>
      <c r="G1420" s="1">
        <v>5.1200000000000002E-2</v>
      </c>
      <c r="H1420" s="1">
        <v>1.108E-2</v>
      </c>
    </row>
    <row r="1421" spans="1:8" x14ac:dyDescent="0.25">
      <c r="A1421" t="s">
        <v>1428</v>
      </c>
      <c r="B1421">
        <v>5</v>
      </c>
      <c r="C1421">
        <v>5.4809999999999999</v>
      </c>
      <c r="D1421" s="3">
        <v>5.48</v>
      </c>
      <c r="E1421" t="s">
        <v>1243</v>
      </c>
      <c r="F1421">
        <v>1701957</v>
      </c>
      <c r="G1421" s="1">
        <v>1.0699999999999999E-2</v>
      </c>
      <c r="H1421" s="1">
        <v>2.31E-3</v>
      </c>
    </row>
    <row r="1422" spans="1:8" x14ac:dyDescent="0.25">
      <c r="A1422" t="s">
        <v>1428</v>
      </c>
      <c r="B1422">
        <v>6</v>
      </c>
      <c r="C1422">
        <v>5.5049999999999999</v>
      </c>
      <c r="D1422" s="3">
        <v>5.51</v>
      </c>
      <c r="E1422" t="s">
        <v>1244</v>
      </c>
      <c r="F1422">
        <v>2090108</v>
      </c>
      <c r="G1422" s="1">
        <v>1.3100000000000001E-2</v>
      </c>
      <c r="H1422" s="1">
        <v>2.8300000000000001E-3</v>
      </c>
    </row>
    <row r="1423" spans="1:8" x14ac:dyDescent="0.25">
      <c r="A1423" t="s">
        <v>1428</v>
      </c>
      <c r="B1423">
        <v>7</v>
      </c>
      <c r="C1423">
        <v>5.54</v>
      </c>
      <c r="D1423" s="3">
        <v>5.54</v>
      </c>
      <c r="E1423" t="s">
        <v>1245</v>
      </c>
      <c r="F1423">
        <v>5067674</v>
      </c>
      <c r="G1423" s="1">
        <v>3.1699999999999999E-2</v>
      </c>
      <c r="H1423" s="1">
        <v>6.8599999999999998E-3</v>
      </c>
    </row>
    <row r="1424" spans="1:8" x14ac:dyDescent="0.25">
      <c r="A1424" t="s">
        <v>1428</v>
      </c>
      <c r="B1424">
        <v>8</v>
      </c>
      <c r="C1424">
        <v>5.6529999999999996</v>
      </c>
      <c r="D1424" s="3">
        <v>5.65</v>
      </c>
      <c r="E1424" t="s">
        <v>1246</v>
      </c>
      <c r="F1424">
        <v>3974896</v>
      </c>
      <c r="G1424" s="1">
        <v>2.4899999999999999E-2</v>
      </c>
      <c r="H1424" s="1">
        <v>5.3800000000000002E-3</v>
      </c>
    </row>
    <row r="1425" spans="1:8" x14ac:dyDescent="0.25">
      <c r="A1425" t="s">
        <v>1428</v>
      </c>
      <c r="B1425">
        <v>9</v>
      </c>
      <c r="C1425">
        <v>6.1050000000000004</v>
      </c>
      <c r="D1425" s="3">
        <v>6.11</v>
      </c>
      <c r="E1425" t="s">
        <v>1247</v>
      </c>
      <c r="F1425">
        <v>1473139</v>
      </c>
      <c r="G1425" s="1">
        <v>9.1999999999999998E-3</v>
      </c>
      <c r="H1425" s="1">
        <v>2E-3</v>
      </c>
    </row>
    <row r="1426" spans="1:8" x14ac:dyDescent="0.25">
      <c r="A1426" t="s">
        <v>1428</v>
      </c>
      <c r="B1426">
        <v>10</v>
      </c>
      <c r="C1426">
        <v>6.49</v>
      </c>
      <c r="D1426" s="3">
        <v>6.49</v>
      </c>
      <c r="E1426" t="s">
        <v>1248</v>
      </c>
      <c r="F1426">
        <v>6016420</v>
      </c>
      <c r="G1426" s="1">
        <v>3.7699999999999997E-2</v>
      </c>
      <c r="H1426" s="1">
        <v>8.1499999999999993E-3</v>
      </c>
    </row>
    <row r="1427" spans="1:8" x14ac:dyDescent="0.25">
      <c r="A1427" t="s">
        <v>1428</v>
      </c>
      <c r="B1427">
        <v>11</v>
      </c>
      <c r="C1427">
        <v>8.2089999999999996</v>
      </c>
      <c r="D1427" s="3">
        <v>8.2100000000000009</v>
      </c>
      <c r="E1427" t="s">
        <v>1249</v>
      </c>
      <c r="F1427">
        <v>1083078</v>
      </c>
      <c r="G1427" s="1">
        <v>6.7999999999999996E-3</v>
      </c>
      <c r="H1427" s="1">
        <v>1.47E-3</v>
      </c>
    </row>
    <row r="1428" spans="1:8" x14ac:dyDescent="0.25">
      <c r="A1428" t="s">
        <v>1428</v>
      </c>
      <c r="B1428">
        <v>12</v>
      </c>
      <c r="C1428">
        <v>8.2579999999999991</v>
      </c>
      <c r="D1428" s="3">
        <v>8.26</v>
      </c>
      <c r="E1428" t="s">
        <v>1250</v>
      </c>
      <c r="F1428">
        <v>4773722</v>
      </c>
      <c r="G1428" s="1">
        <v>2.9899999999999999E-2</v>
      </c>
      <c r="H1428" s="1">
        <v>6.4700000000000001E-3</v>
      </c>
    </row>
    <row r="1429" spans="1:8" x14ac:dyDescent="0.25">
      <c r="A1429" t="s">
        <v>1428</v>
      </c>
      <c r="B1429">
        <v>13</v>
      </c>
      <c r="C1429">
        <v>8.3520000000000003</v>
      </c>
      <c r="D1429" s="3">
        <v>8.35</v>
      </c>
      <c r="E1429" t="s">
        <v>1251</v>
      </c>
      <c r="F1429">
        <v>3263083</v>
      </c>
      <c r="G1429" s="1">
        <v>2.0400000000000001E-2</v>
      </c>
      <c r="H1429" s="1">
        <v>4.4200000000000003E-3</v>
      </c>
    </row>
    <row r="1430" spans="1:8" x14ac:dyDescent="0.25">
      <c r="A1430" t="s">
        <v>1428</v>
      </c>
      <c r="B1430">
        <v>14</v>
      </c>
      <c r="C1430">
        <v>8.6440000000000001</v>
      </c>
      <c r="D1430" s="3">
        <v>8.64</v>
      </c>
      <c r="E1430" t="s">
        <v>1252</v>
      </c>
      <c r="F1430">
        <v>3115905</v>
      </c>
      <c r="G1430" s="1">
        <v>1.95E-2</v>
      </c>
      <c r="H1430" s="1">
        <v>4.2199999999999998E-3</v>
      </c>
    </row>
    <row r="1431" spans="1:8" x14ac:dyDescent="0.25">
      <c r="A1431" t="s">
        <v>1428</v>
      </c>
      <c r="B1431">
        <v>15</v>
      </c>
      <c r="C1431">
        <v>8.9320000000000004</v>
      </c>
      <c r="D1431" s="3">
        <v>8.93</v>
      </c>
      <c r="E1431" t="s">
        <v>1253</v>
      </c>
      <c r="F1431">
        <v>2097453</v>
      </c>
      <c r="G1431" s="1">
        <v>1.3100000000000001E-2</v>
      </c>
      <c r="H1431" s="1">
        <v>2.8400000000000001E-3</v>
      </c>
    </row>
    <row r="1432" spans="1:8" x14ac:dyDescent="0.25">
      <c r="A1432" t="s">
        <v>1428</v>
      </c>
      <c r="B1432">
        <v>16</v>
      </c>
      <c r="C1432">
        <v>9.1069999999999993</v>
      </c>
      <c r="D1432" s="3">
        <v>9.11</v>
      </c>
      <c r="E1432" t="s">
        <v>1254</v>
      </c>
      <c r="F1432">
        <v>1005631</v>
      </c>
      <c r="G1432" s="1">
        <v>6.3E-3</v>
      </c>
      <c r="H1432" s="1">
        <v>1.3600000000000001E-3</v>
      </c>
    </row>
    <row r="1433" spans="1:8" x14ac:dyDescent="0.25">
      <c r="A1433" t="s">
        <v>1428</v>
      </c>
      <c r="B1433">
        <v>17</v>
      </c>
      <c r="C1433">
        <v>9.1790000000000003</v>
      </c>
      <c r="D1433" s="3">
        <v>9.18</v>
      </c>
      <c r="E1433" t="s">
        <v>1255</v>
      </c>
      <c r="F1433">
        <v>7394894</v>
      </c>
      <c r="G1433" s="1">
        <v>4.6300000000000001E-2</v>
      </c>
      <c r="H1433" s="1">
        <v>1.0019999999999999E-2</v>
      </c>
    </row>
    <row r="1434" spans="1:8" x14ac:dyDescent="0.25">
      <c r="A1434" t="s">
        <v>1428</v>
      </c>
      <c r="B1434">
        <v>18</v>
      </c>
      <c r="C1434">
        <v>9.2539999999999996</v>
      </c>
      <c r="D1434" s="3">
        <v>9.25</v>
      </c>
      <c r="E1434" t="s">
        <v>1256</v>
      </c>
      <c r="F1434">
        <v>8716039</v>
      </c>
      <c r="G1434" s="1">
        <v>5.4600000000000003E-2</v>
      </c>
      <c r="H1434" s="1">
        <v>1.18E-2</v>
      </c>
    </row>
    <row r="1435" spans="1:8" x14ac:dyDescent="0.25">
      <c r="A1435" t="s">
        <v>1428</v>
      </c>
      <c r="B1435">
        <v>19</v>
      </c>
      <c r="C1435">
        <v>9.3520000000000003</v>
      </c>
      <c r="D1435" s="3">
        <v>9.35</v>
      </c>
      <c r="E1435" t="s">
        <v>1257</v>
      </c>
      <c r="F1435">
        <v>2082081</v>
      </c>
      <c r="G1435" s="1">
        <v>1.2999999999999999E-2</v>
      </c>
      <c r="H1435" s="1">
        <v>2.82E-3</v>
      </c>
    </row>
    <row r="1436" spans="1:8" x14ac:dyDescent="0.25">
      <c r="A1436" t="s">
        <v>1428</v>
      </c>
      <c r="B1436">
        <v>20</v>
      </c>
      <c r="C1436">
        <v>9.5120000000000005</v>
      </c>
      <c r="D1436" s="3">
        <v>9.51</v>
      </c>
      <c r="E1436" t="s">
        <v>1258</v>
      </c>
      <c r="F1436">
        <v>1382813</v>
      </c>
      <c r="G1436" s="1">
        <v>8.6999999999999994E-3</v>
      </c>
      <c r="H1436" s="1">
        <v>1.8699999999999999E-3</v>
      </c>
    </row>
    <row r="1437" spans="1:8" x14ac:dyDescent="0.25">
      <c r="A1437" t="s">
        <v>1428</v>
      </c>
      <c r="B1437">
        <v>21</v>
      </c>
      <c r="C1437">
        <v>9.6539999999999999</v>
      </c>
      <c r="D1437" s="3">
        <v>9.65</v>
      </c>
      <c r="E1437" t="s">
        <v>1259</v>
      </c>
      <c r="F1437">
        <v>22482736</v>
      </c>
      <c r="G1437" s="1">
        <v>0.14080000000000001</v>
      </c>
      <c r="H1437" s="1">
        <v>3.0450000000000001E-2</v>
      </c>
    </row>
    <row r="1438" spans="1:8" x14ac:dyDescent="0.25">
      <c r="A1438" t="s">
        <v>1428</v>
      </c>
      <c r="B1438">
        <v>22</v>
      </c>
      <c r="C1438">
        <v>9.82</v>
      </c>
      <c r="D1438" s="3">
        <v>9.82</v>
      </c>
      <c r="E1438">
        <v>3120335</v>
      </c>
      <c r="F1438">
        <v>95073719</v>
      </c>
      <c r="G1438" s="1">
        <v>0.59530000000000005</v>
      </c>
      <c r="H1438" s="1">
        <v>0.12877</v>
      </c>
    </row>
    <row r="1439" spans="1:8" x14ac:dyDescent="0.25">
      <c r="A1439" t="s">
        <v>1428</v>
      </c>
      <c r="B1439">
        <v>23</v>
      </c>
      <c r="C1439">
        <v>10.288</v>
      </c>
      <c r="D1439" s="3">
        <v>10.29</v>
      </c>
      <c r="E1439" t="s">
        <v>1260</v>
      </c>
      <c r="F1439">
        <v>1980316</v>
      </c>
      <c r="G1439" s="1">
        <v>1.24E-2</v>
      </c>
      <c r="H1439" s="1">
        <v>2.6800000000000001E-3</v>
      </c>
    </row>
    <row r="1440" spans="1:8" x14ac:dyDescent="0.25">
      <c r="A1440" t="s">
        <v>1428</v>
      </c>
      <c r="B1440">
        <v>24</v>
      </c>
      <c r="C1440">
        <v>10.406000000000001</v>
      </c>
      <c r="D1440" s="3">
        <v>10.41</v>
      </c>
      <c r="E1440" t="s">
        <v>1261</v>
      </c>
      <c r="F1440">
        <v>2721294</v>
      </c>
      <c r="G1440" s="1">
        <v>1.7000000000000001E-2</v>
      </c>
      <c r="H1440" s="1">
        <v>3.6900000000000001E-3</v>
      </c>
    </row>
    <row r="1441" spans="1:8" x14ac:dyDescent="0.25">
      <c r="A1441" t="s">
        <v>1428</v>
      </c>
      <c r="B1441">
        <v>25</v>
      </c>
      <c r="C1441">
        <v>10.587</v>
      </c>
      <c r="D1441" s="3">
        <v>10.59</v>
      </c>
      <c r="E1441" t="s">
        <v>1262</v>
      </c>
      <c r="F1441">
        <v>1991535</v>
      </c>
      <c r="G1441" s="1">
        <v>1.2500000000000001E-2</v>
      </c>
      <c r="H1441" s="1">
        <v>2.7000000000000001E-3</v>
      </c>
    </row>
    <row r="1442" spans="1:8" x14ac:dyDescent="0.25">
      <c r="A1442" t="s">
        <v>1428</v>
      </c>
      <c r="B1442">
        <v>26</v>
      </c>
      <c r="C1442">
        <v>10.763</v>
      </c>
      <c r="D1442" s="3">
        <v>10.76</v>
      </c>
      <c r="E1442" t="s">
        <v>1263</v>
      </c>
      <c r="F1442">
        <v>1419428</v>
      </c>
      <c r="G1442" s="1">
        <v>8.8999999999999999E-3</v>
      </c>
      <c r="H1442" s="1">
        <v>1.92E-3</v>
      </c>
    </row>
    <row r="1443" spans="1:8" x14ac:dyDescent="0.25">
      <c r="A1443" t="s">
        <v>1428</v>
      </c>
      <c r="B1443">
        <v>27</v>
      </c>
      <c r="C1443">
        <v>11.092000000000001</v>
      </c>
      <c r="D1443" s="3">
        <v>11.09</v>
      </c>
      <c r="E1443" t="s">
        <v>1264</v>
      </c>
      <c r="F1443">
        <v>3218886</v>
      </c>
      <c r="G1443" s="1">
        <v>2.0199999999999999E-2</v>
      </c>
      <c r="H1443" s="1">
        <v>4.3600000000000002E-3</v>
      </c>
    </row>
    <row r="1444" spans="1:8" x14ac:dyDescent="0.25">
      <c r="A1444" t="s">
        <v>1428</v>
      </c>
      <c r="B1444">
        <v>28</v>
      </c>
      <c r="C1444">
        <v>11.265000000000001</v>
      </c>
      <c r="D1444" s="3">
        <v>11.27</v>
      </c>
      <c r="E1444" t="s">
        <v>1265</v>
      </c>
      <c r="F1444">
        <v>4328192</v>
      </c>
      <c r="G1444" s="1">
        <v>2.7099999999999999E-2</v>
      </c>
      <c r="H1444" s="1">
        <v>5.8599999999999998E-3</v>
      </c>
    </row>
    <row r="1445" spans="1:8" x14ac:dyDescent="0.25">
      <c r="A1445" t="s">
        <v>1428</v>
      </c>
      <c r="B1445">
        <v>29</v>
      </c>
      <c r="C1445">
        <v>11.409000000000001</v>
      </c>
      <c r="D1445" s="3">
        <v>11.41</v>
      </c>
      <c r="E1445" t="s">
        <v>1266</v>
      </c>
      <c r="F1445">
        <v>2060918</v>
      </c>
      <c r="G1445" s="1">
        <v>1.29E-2</v>
      </c>
      <c r="H1445" s="1">
        <v>2.7899999999999999E-3</v>
      </c>
    </row>
    <row r="1446" spans="1:8" x14ac:dyDescent="0.25">
      <c r="A1446" t="s">
        <v>1428</v>
      </c>
      <c r="B1446">
        <v>30</v>
      </c>
      <c r="C1446">
        <v>11.544</v>
      </c>
      <c r="D1446" s="3">
        <v>11.54</v>
      </c>
      <c r="E1446" t="s">
        <v>1267</v>
      </c>
      <c r="F1446">
        <v>1239558</v>
      </c>
      <c r="G1446" s="1">
        <v>7.7999999999999996E-3</v>
      </c>
      <c r="H1446" s="1">
        <v>1.6800000000000001E-3</v>
      </c>
    </row>
    <row r="1447" spans="1:8" x14ac:dyDescent="0.25">
      <c r="A1447" t="s">
        <v>1428</v>
      </c>
      <c r="B1447">
        <v>31</v>
      </c>
      <c r="C1447">
        <v>11.632</v>
      </c>
      <c r="D1447" s="3">
        <v>11.63</v>
      </c>
      <c r="E1447" t="s">
        <v>1268</v>
      </c>
      <c r="F1447">
        <v>1127030</v>
      </c>
      <c r="G1447" s="1">
        <v>7.1000000000000004E-3</v>
      </c>
      <c r="H1447" s="1">
        <v>1.5299999999999999E-3</v>
      </c>
    </row>
    <row r="1448" spans="1:8" x14ac:dyDescent="0.25">
      <c r="A1448" t="s">
        <v>1428</v>
      </c>
      <c r="B1448">
        <v>32</v>
      </c>
      <c r="C1448">
        <v>11.906000000000001</v>
      </c>
      <c r="D1448" s="3">
        <v>11.91</v>
      </c>
      <c r="E1448" t="s">
        <v>1269</v>
      </c>
      <c r="F1448">
        <v>1537733</v>
      </c>
      <c r="G1448" s="1">
        <v>9.5999999999999992E-3</v>
      </c>
      <c r="H1448" s="1">
        <v>2.0799999999999998E-3</v>
      </c>
    </row>
    <row r="1449" spans="1:8" x14ac:dyDescent="0.25">
      <c r="A1449" t="s">
        <v>1428</v>
      </c>
      <c r="B1449">
        <v>33</v>
      </c>
      <c r="C1449">
        <v>12.352</v>
      </c>
      <c r="D1449" s="3">
        <v>12.35</v>
      </c>
      <c r="E1449" t="s">
        <v>1270</v>
      </c>
      <c r="F1449">
        <v>1013647</v>
      </c>
      <c r="G1449" s="1">
        <v>6.3E-3</v>
      </c>
      <c r="H1449" s="1">
        <v>1.3699999999999999E-3</v>
      </c>
    </row>
    <row r="1450" spans="1:8" x14ac:dyDescent="0.25">
      <c r="A1450" t="s">
        <v>1428</v>
      </c>
      <c r="B1450">
        <v>34</v>
      </c>
      <c r="C1450">
        <v>12.443</v>
      </c>
      <c r="D1450" s="3">
        <v>12.44</v>
      </c>
      <c r="E1450" t="s">
        <v>1271</v>
      </c>
      <c r="F1450">
        <v>1125769</v>
      </c>
      <c r="G1450" s="1">
        <v>7.0000000000000001E-3</v>
      </c>
      <c r="H1450" s="1">
        <v>1.5200000000000001E-3</v>
      </c>
    </row>
    <row r="1451" spans="1:8" x14ac:dyDescent="0.25">
      <c r="A1451" t="s">
        <v>1428</v>
      </c>
      <c r="B1451">
        <v>35</v>
      </c>
      <c r="C1451">
        <v>12.537000000000001</v>
      </c>
      <c r="D1451" s="3">
        <v>12.54</v>
      </c>
      <c r="E1451" t="s">
        <v>1272</v>
      </c>
      <c r="F1451">
        <v>1594660</v>
      </c>
      <c r="G1451" s="1">
        <v>0.01</v>
      </c>
      <c r="H1451" s="1">
        <v>2.16E-3</v>
      </c>
    </row>
    <row r="1452" spans="1:8" x14ac:dyDescent="0.25">
      <c r="A1452" t="s">
        <v>1428</v>
      </c>
      <c r="B1452">
        <v>36</v>
      </c>
      <c r="C1452">
        <v>12.702999999999999</v>
      </c>
      <c r="D1452" s="3">
        <v>12.7</v>
      </c>
      <c r="E1452" t="s">
        <v>1273</v>
      </c>
      <c r="F1452">
        <v>2223584</v>
      </c>
      <c r="G1452" s="1">
        <v>1.3899999999999999E-2</v>
      </c>
      <c r="H1452" s="1">
        <v>3.0100000000000001E-3</v>
      </c>
    </row>
    <row r="1453" spans="1:8" x14ac:dyDescent="0.25">
      <c r="A1453" t="s">
        <v>1428</v>
      </c>
      <c r="B1453">
        <v>37</v>
      </c>
      <c r="C1453">
        <v>12.842000000000001</v>
      </c>
      <c r="D1453" s="3">
        <v>12.84</v>
      </c>
      <c r="E1453" t="s">
        <v>1274</v>
      </c>
      <c r="F1453">
        <v>36807428</v>
      </c>
      <c r="G1453" s="1">
        <v>0.23039999999999999</v>
      </c>
      <c r="H1453" s="1">
        <v>4.9849999999999998E-2</v>
      </c>
    </row>
    <row r="1454" spans="1:8" x14ac:dyDescent="0.25">
      <c r="A1454" t="s">
        <v>1428</v>
      </c>
      <c r="B1454">
        <v>38</v>
      </c>
      <c r="C1454">
        <v>12.994</v>
      </c>
      <c r="D1454" s="3">
        <v>12.99</v>
      </c>
      <c r="E1454" t="s">
        <v>1275</v>
      </c>
      <c r="F1454">
        <v>1413044</v>
      </c>
      <c r="G1454" s="1">
        <v>8.8000000000000005E-3</v>
      </c>
      <c r="H1454" s="1">
        <v>1.91E-3</v>
      </c>
    </row>
    <row r="1455" spans="1:8" x14ac:dyDescent="0.25">
      <c r="A1455" t="s">
        <v>1428</v>
      </c>
      <c r="B1455">
        <v>39</v>
      </c>
      <c r="C1455">
        <v>13.228</v>
      </c>
      <c r="D1455" s="3">
        <v>13.23</v>
      </c>
      <c r="E1455" t="s">
        <v>1276</v>
      </c>
      <c r="F1455">
        <v>3792005</v>
      </c>
      <c r="G1455" s="1">
        <v>2.3699999999999999E-2</v>
      </c>
      <c r="H1455" s="1">
        <v>5.1399999999999996E-3</v>
      </c>
    </row>
    <row r="1456" spans="1:8" x14ac:dyDescent="0.25">
      <c r="A1456" t="s">
        <v>1428</v>
      </c>
      <c r="B1456">
        <v>40</v>
      </c>
      <c r="C1456">
        <v>13.568</v>
      </c>
      <c r="D1456" s="3">
        <v>13.57</v>
      </c>
      <c r="E1456" t="s">
        <v>1277</v>
      </c>
      <c r="F1456">
        <v>2870608</v>
      </c>
      <c r="G1456" s="1">
        <v>1.7999999999999999E-2</v>
      </c>
      <c r="H1456" s="1">
        <v>3.8899999999999998E-3</v>
      </c>
    </row>
    <row r="1457" spans="1:8" x14ac:dyDescent="0.25">
      <c r="A1457" t="s">
        <v>1428</v>
      </c>
      <c r="B1457">
        <v>41</v>
      </c>
      <c r="C1457">
        <v>14.425000000000001</v>
      </c>
      <c r="D1457" s="3">
        <v>14.43</v>
      </c>
      <c r="E1457" t="s">
        <v>1278</v>
      </c>
      <c r="F1457">
        <v>1434097</v>
      </c>
      <c r="G1457" s="1">
        <v>8.9999999999999993E-3</v>
      </c>
      <c r="H1457" s="1">
        <v>1.9400000000000001E-3</v>
      </c>
    </row>
    <row r="1458" spans="1:8" x14ac:dyDescent="0.25">
      <c r="A1458" t="s">
        <v>1428</v>
      </c>
      <c r="B1458">
        <v>42</v>
      </c>
      <c r="C1458">
        <v>14.531000000000001</v>
      </c>
      <c r="D1458" s="3">
        <v>14.53</v>
      </c>
      <c r="E1458" t="s">
        <v>1279</v>
      </c>
      <c r="F1458">
        <v>6137347</v>
      </c>
      <c r="G1458" s="1">
        <v>3.8399999999999997E-2</v>
      </c>
      <c r="H1458" s="1">
        <v>8.3099999999999997E-3</v>
      </c>
    </row>
    <row r="1459" spans="1:8" x14ac:dyDescent="0.25">
      <c r="A1459" t="s">
        <v>1428</v>
      </c>
      <c r="B1459">
        <v>43</v>
      </c>
      <c r="C1459">
        <v>14.717000000000001</v>
      </c>
      <c r="D1459" s="3">
        <v>14.72</v>
      </c>
      <c r="E1459" t="s">
        <v>1280</v>
      </c>
      <c r="F1459">
        <v>1038297</v>
      </c>
      <c r="G1459" s="1">
        <v>6.4999999999999997E-3</v>
      </c>
      <c r="H1459" s="1">
        <v>1.41E-3</v>
      </c>
    </row>
    <row r="1460" spans="1:8" x14ac:dyDescent="0.25">
      <c r="A1460" t="s">
        <v>1428</v>
      </c>
      <c r="B1460">
        <v>44</v>
      </c>
      <c r="C1460">
        <v>14.827999999999999</v>
      </c>
      <c r="D1460" s="3">
        <v>14.83</v>
      </c>
      <c r="E1460" t="s">
        <v>1281</v>
      </c>
      <c r="F1460">
        <v>1183184</v>
      </c>
      <c r="G1460" s="1">
        <v>7.4000000000000003E-3</v>
      </c>
      <c r="H1460" s="1">
        <v>1.6000000000000001E-3</v>
      </c>
    </row>
    <row r="1461" spans="1:8" x14ac:dyDescent="0.25">
      <c r="A1461" t="s">
        <v>1428</v>
      </c>
      <c r="B1461">
        <v>45</v>
      </c>
      <c r="C1461">
        <v>15.273999999999999</v>
      </c>
      <c r="D1461" s="3">
        <v>15.27</v>
      </c>
      <c r="E1461" t="s">
        <v>1282</v>
      </c>
      <c r="F1461">
        <v>1010104</v>
      </c>
      <c r="G1461" s="1">
        <v>6.3E-3</v>
      </c>
      <c r="H1461" s="1">
        <v>1.3699999999999999E-3</v>
      </c>
    </row>
    <row r="1462" spans="1:8" x14ac:dyDescent="0.25">
      <c r="A1462" t="s">
        <v>1428</v>
      </c>
      <c r="B1462">
        <v>46</v>
      </c>
      <c r="C1462">
        <v>15.336</v>
      </c>
      <c r="D1462" s="3">
        <v>15.34</v>
      </c>
      <c r="E1462" t="s">
        <v>1283</v>
      </c>
      <c r="F1462">
        <v>28038219</v>
      </c>
      <c r="G1462" s="1">
        <v>0.17549999999999999</v>
      </c>
      <c r="H1462" s="1">
        <v>3.7969999999999997E-2</v>
      </c>
    </row>
    <row r="1463" spans="1:8" x14ac:dyDescent="0.25">
      <c r="A1463" t="s">
        <v>1428</v>
      </c>
      <c r="B1463">
        <v>47</v>
      </c>
      <c r="C1463">
        <v>15.468</v>
      </c>
      <c r="D1463" s="3">
        <v>15.47</v>
      </c>
      <c r="E1463" t="s">
        <v>1284</v>
      </c>
      <c r="F1463">
        <v>1739694</v>
      </c>
      <c r="G1463" s="1">
        <v>1.09E-2</v>
      </c>
      <c r="H1463" s="1">
        <v>2.3600000000000001E-3</v>
      </c>
    </row>
    <row r="1464" spans="1:8" x14ac:dyDescent="0.25">
      <c r="A1464" t="s">
        <v>1428</v>
      </c>
      <c r="B1464">
        <v>48</v>
      </c>
      <c r="C1464">
        <v>15.551</v>
      </c>
      <c r="D1464" s="3">
        <v>15.55</v>
      </c>
      <c r="E1464" t="s">
        <v>1285</v>
      </c>
      <c r="F1464">
        <v>1391842</v>
      </c>
      <c r="G1464" s="1">
        <v>8.6999999999999994E-3</v>
      </c>
      <c r="H1464" s="1">
        <v>1.89E-3</v>
      </c>
    </row>
    <row r="1465" spans="1:8" x14ac:dyDescent="0.25">
      <c r="A1465" t="s">
        <v>1428</v>
      </c>
      <c r="B1465">
        <v>49</v>
      </c>
      <c r="C1465">
        <v>15.71</v>
      </c>
      <c r="D1465" s="3">
        <v>15.71</v>
      </c>
      <c r="E1465" t="s">
        <v>1286</v>
      </c>
      <c r="F1465">
        <v>1569223</v>
      </c>
      <c r="G1465" s="1">
        <v>9.7999999999999997E-3</v>
      </c>
      <c r="H1465" s="1">
        <v>2.1299999999999999E-3</v>
      </c>
    </row>
    <row r="1466" spans="1:8" x14ac:dyDescent="0.25">
      <c r="A1466" t="s">
        <v>1428</v>
      </c>
      <c r="B1466">
        <v>50</v>
      </c>
      <c r="C1466">
        <v>15.875</v>
      </c>
      <c r="D1466" s="3">
        <v>15.88</v>
      </c>
      <c r="E1466" t="s">
        <v>1287</v>
      </c>
      <c r="F1466">
        <v>12422228</v>
      </c>
      <c r="G1466" s="1">
        <v>7.7799999999999994E-2</v>
      </c>
      <c r="H1466" s="1">
        <v>1.6820000000000002E-2</v>
      </c>
    </row>
    <row r="1467" spans="1:8" x14ac:dyDescent="0.25">
      <c r="A1467" t="s">
        <v>1428</v>
      </c>
      <c r="B1467">
        <v>51</v>
      </c>
      <c r="C1467">
        <v>16.661999999999999</v>
      </c>
      <c r="D1467" s="3">
        <v>16.66</v>
      </c>
      <c r="E1467" t="s">
        <v>1288</v>
      </c>
      <c r="F1467">
        <v>5014502</v>
      </c>
      <c r="G1467" s="1">
        <v>3.1399999999999997E-2</v>
      </c>
      <c r="H1467" s="1">
        <v>6.79E-3</v>
      </c>
    </row>
    <row r="1468" spans="1:8" x14ac:dyDescent="0.25">
      <c r="A1468" t="s">
        <v>1428</v>
      </c>
      <c r="B1468">
        <v>52</v>
      </c>
      <c r="C1468">
        <v>16.763000000000002</v>
      </c>
      <c r="D1468" s="3">
        <v>16.760000000000002</v>
      </c>
      <c r="E1468" t="s">
        <v>1289</v>
      </c>
      <c r="F1468">
        <v>22984957</v>
      </c>
      <c r="G1468" s="1">
        <v>0.1439</v>
      </c>
      <c r="H1468" s="1">
        <v>3.1130000000000001E-2</v>
      </c>
    </row>
    <row r="1469" spans="1:8" x14ac:dyDescent="0.25">
      <c r="A1469" t="s">
        <v>1428</v>
      </c>
      <c r="B1469">
        <v>53</v>
      </c>
      <c r="C1469">
        <v>16.989999999999998</v>
      </c>
      <c r="D1469" s="3">
        <v>16.989999999999998</v>
      </c>
      <c r="E1469" t="s">
        <v>1290</v>
      </c>
      <c r="F1469">
        <v>31137782</v>
      </c>
      <c r="G1469" s="1">
        <v>0.19500000000000001</v>
      </c>
      <c r="H1469" s="1">
        <v>4.2169999999999999E-2</v>
      </c>
    </row>
    <row r="1470" spans="1:8" x14ac:dyDescent="0.25">
      <c r="A1470" t="s">
        <v>1428</v>
      </c>
      <c r="B1470">
        <v>54</v>
      </c>
      <c r="C1470">
        <v>17.079999999999998</v>
      </c>
      <c r="D1470" s="3">
        <v>17.079999999999998</v>
      </c>
      <c r="E1470" t="s">
        <v>1291</v>
      </c>
      <c r="F1470">
        <v>2429819</v>
      </c>
      <c r="G1470" s="1">
        <v>1.52E-2</v>
      </c>
      <c r="H1470" s="1">
        <v>3.29E-3</v>
      </c>
    </row>
    <row r="1471" spans="1:8" x14ac:dyDescent="0.25">
      <c r="A1471" t="s">
        <v>1428</v>
      </c>
      <c r="B1471">
        <v>55</v>
      </c>
      <c r="C1471">
        <v>17.454000000000001</v>
      </c>
      <c r="D1471" s="3">
        <v>17.45</v>
      </c>
      <c r="E1471" t="s">
        <v>1292</v>
      </c>
      <c r="F1471">
        <v>14393075</v>
      </c>
      <c r="G1471" s="1">
        <v>9.01E-2</v>
      </c>
      <c r="H1471" s="1">
        <v>1.949E-2</v>
      </c>
    </row>
    <row r="1472" spans="1:8" x14ac:dyDescent="0.25">
      <c r="A1472" t="s">
        <v>1428</v>
      </c>
      <c r="B1472">
        <v>56</v>
      </c>
      <c r="C1472">
        <v>17.687000000000001</v>
      </c>
      <c r="D1472" s="3">
        <v>17.690000000000001</v>
      </c>
      <c r="E1472" t="s">
        <v>1293</v>
      </c>
      <c r="F1472">
        <v>1021480</v>
      </c>
      <c r="G1472" s="1">
        <v>6.4000000000000003E-3</v>
      </c>
      <c r="H1472" s="1">
        <v>1.3799999999999999E-3</v>
      </c>
    </row>
    <row r="1473" spans="1:8" x14ac:dyDescent="0.25">
      <c r="A1473" t="s">
        <v>1428</v>
      </c>
      <c r="B1473">
        <v>57</v>
      </c>
      <c r="C1473">
        <v>17.803999999999998</v>
      </c>
      <c r="D1473" s="3">
        <v>17.8</v>
      </c>
      <c r="E1473" t="s">
        <v>1294</v>
      </c>
      <c r="F1473">
        <v>3530979</v>
      </c>
      <c r="G1473" s="1">
        <v>2.2100000000000002E-2</v>
      </c>
      <c r="H1473" s="1">
        <v>4.7800000000000004E-3</v>
      </c>
    </row>
    <row r="1474" spans="1:8" x14ac:dyDescent="0.25">
      <c r="A1474" t="s">
        <v>1428</v>
      </c>
      <c r="B1474">
        <v>58</v>
      </c>
      <c r="C1474">
        <v>17.920999999999999</v>
      </c>
      <c r="D1474" s="3">
        <v>17.920000000000002</v>
      </c>
      <c r="E1474" t="s">
        <v>1295</v>
      </c>
      <c r="F1474">
        <v>1485997</v>
      </c>
      <c r="G1474" s="1">
        <v>9.2999999999999992E-3</v>
      </c>
      <c r="H1474" s="1">
        <v>2.0100000000000001E-3</v>
      </c>
    </row>
    <row r="1475" spans="1:8" x14ac:dyDescent="0.25">
      <c r="A1475" t="s">
        <v>1428</v>
      </c>
      <c r="B1475">
        <v>59</v>
      </c>
      <c r="C1475">
        <v>18.059000000000001</v>
      </c>
      <c r="D1475" s="3">
        <v>18.059999999999999</v>
      </c>
      <c r="E1475" t="s">
        <v>1296</v>
      </c>
      <c r="F1475">
        <v>1900767</v>
      </c>
      <c r="G1475" s="1">
        <v>1.1900000000000001E-2</v>
      </c>
      <c r="H1475" s="1">
        <v>2.5699999999999998E-3</v>
      </c>
    </row>
    <row r="1476" spans="1:8" x14ac:dyDescent="0.25">
      <c r="A1476" t="s">
        <v>1428</v>
      </c>
      <c r="B1476">
        <v>60</v>
      </c>
      <c r="C1476">
        <v>18.303999999999998</v>
      </c>
      <c r="D1476" s="3">
        <v>18.3</v>
      </c>
      <c r="E1476" t="s">
        <v>1297</v>
      </c>
      <c r="F1476">
        <v>3244503</v>
      </c>
      <c r="G1476" s="1">
        <v>2.0299999999999999E-2</v>
      </c>
      <c r="H1476" s="1">
        <v>4.3899999999999998E-3</v>
      </c>
    </row>
    <row r="1477" spans="1:8" x14ac:dyDescent="0.25">
      <c r="A1477" t="s">
        <v>1428</v>
      </c>
      <c r="B1477">
        <v>61</v>
      </c>
      <c r="C1477">
        <v>18.382999999999999</v>
      </c>
      <c r="D1477" s="3">
        <v>18.38</v>
      </c>
      <c r="E1477" t="s">
        <v>1298</v>
      </c>
      <c r="F1477">
        <v>1317007</v>
      </c>
      <c r="G1477" s="1">
        <v>8.2000000000000007E-3</v>
      </c>
      <c r="H1477" s="1">
        <v>1.7799999999999999E-3</v>
      </c>
    </row>
    <row r="1478" spans="1:8" x14ac:dyDescent="0.25">
      <c r="A1478" t="s">
        <v>1428</v>
      </c>
      <c r="B1478">
        <v>62</v>
      </c>
      <c r="C1478">
        <v>18.533000000000001</v>
      </c>
      <c r="D1478" s="3">
        <v>18.53</v>
      </c>
      <c r="E1478" t="s">
        <v>1299</v>
      </c>
      <c r="F1478">
        <v>1234052</v>
      </c>
      <c r="G1478" s="1">
        <v>7.7000000000000002E-3</v>
      </c>
      <c r="H1478" s="1">
        <v>1.67E-3</v>
      </c>
    </row>
    <row r="1479" spans="1:8" x14ac:dyDescent="0.25">
      <c r="A1479" t="s">
        <v>1428</v>
      </c>
      <c r="B1479">
        <v>63</v>
      </c>
      <c r="C1479">
        <v>18.725000000000001</v>
      </c>
      <c r="D1479" s="3">
        <v>18.73</v>
      </c>
      <c r="E1479" t="s">
        <v>1300</v>
      </c>
      <c r="F1479">
        <v>2412059</v>
      </c>
      <c r="G1479" s="1">
        <v>1.5100000000000001E-2</v>
      </c>
      <c r="H1479" s="1">
        <v>3.2699999999999999E-3</v>
      </c>
    </row>
    <row r="1480" spans="1:8" x14ac:dyDescent="0.25">
      <c r="A1480" t="s">
        <v>1428</v>
      </c>
      <c r="B1480">
        <v>64</v>
      </c>
      <c r="C1480">
        <v>18.84</v>
      </c>
      <c r="D1480" s="3">
        <v>18.84</v>
      </c>
      <c r="E1480" t="s">
        <v>1301</v>
      </c>
      <c r="F1480">
        <v>4590419</v>
      </c>
      <c r="G1480" s="1">
        <v>2.87E-2</v>
      </c>
      <c r="H1480" s="1">
        <v>6.2199999999999998E-3</v>
      </c>
    </row>
    <row r="1481" spans="1:8" x14ac:dyDescent="0.25">
      <c r="A1481" t="s">
        <v>1428</v>
      </c>
      <c r="B1481">
        <v>65</v>
      </c>
      <c r="C1481">
        <v>18.905999999999999</v>
      </c>
      <c r="D1481" s="3">
        <v>18.91</v>
      </c>
      <c r="E1481" t="s">
        <v>1302</v>
      </c>
      <c r="F1481">
        <v>1124172</v>
      </c>
      <c r="G1481" s="1">
        <v>7.0000000000000001E-3</v>
      </c>
      <c r="H1481" s="1">
        <v>1.5200000000000001E-3</v>
      </c>
    </row>
    <row r="1482" spans="1:8" x14ac:dyDescent="0.25">
      <c r="A1482" t="s">
        <v>1428</v>
      </c>
      <c r="B1482">
        <v>66</v>
      </c>
      <c r="C1482">
        <v>19.207000000000001</v>
      </c>
      <c r="D1482" s="3">
        <v>19.21</v>
      </c>
      <c r="E1482" t="s">
        <v>1303</v>
      </c>
      <c r="F1482">
        <v>1480267</v>
      </c>
      <c r="G1482" s="1">
        <v>9.2999999999999992E-3</v>
      </c>
      <c r="H1482" s="1">
        <v>2E-3</v>
      </c>
    </row>
    <row r="1483" spans="1:8" x14ac:dyDescent="0.25">
      <c r="A1483" t="s">
        <v>1428</v>
      </c>
      <c r="B1483">
        <v>67</v>
      </c>
      <c r="C1483">
        <v>20.222000000000001</v>
      </c>
      <c r="D1483" s="3">
        <v>20.22</v>
      </c>
      <c r="E1483" t="s">
        <v>1304</v>
      </c>
      <c r="F1483">
        <v>3246381</v>
      </c>
      <c r="G1483" s="1">
        <v>2.0299999999999999E-2</v>
      </c>
      <c r="H1483" s="1">
        <v>4.4000000000000003E-3</v>
      </c>
    </row>
    <row r="1484" spans="1:8" x14ac:dyDescent="0.25">
      <c r="A1484" t="s">
        <v>1428</v>
      </c>
      <c r="B1484">
        <v>68</v>
      </c>
      <c r="C1484">
        <v>20.968</v>
      </c>
      <c r="D1484" s="3">
        <v>20.97</v>
      </c>
      <c r="E1484" t="s">
        <v>1305</v>
      </c>
      <c r="F1484">
        <v>2927187</v>
      </c>
      <c r="G1484" s="1">
        <v>1.83E-2</v>
      </c>
      <c r="H1484" s="1">
        <v>3.96E-3</v>
      </c>
    </row>
    <row r="1485" spans="1:8" x14ac:dyDescent="0.25">
      <c r="A1485" t="s">
        <v>1428</v>
      </c>
      <c r="B1485">
        <v>69</v>
      </c>
      <c r="C1485">
        <v>21.177</v>
      </c>
      <c r="D1485" s="3">
        <v>21.18</v>
      </c>
      <c r="E1485" t="s">
        <v>1306</v>
      </c>
      <c r="F1485">
        <v>2065076</v>
      </c>
      <c r="G1485" s="1">
        <v>1.29E-2</v>
      </c>
      <c r="H1485" s="1">
        <v>2.8E-3</v>
      </c>
    </row>
    <row r="1486" spans="1:8" x14ac:dyDescent="0.25">
      <c r="A1486" t="s">
        <v>1428</v>
      </c>
      <c r="B1486">
        <v>70</v>
      </c>
      <c r="C1486">
        <v>21.402000000000001</v>
      </c>
      <c r="D1486" s="3">
        <v>21.4</v>
      </c>
      <c r="E1486" t="s">
        <v>1307</v>
      </c>
      <c r="F1486">
        <v>1918223</v>
      </c>
      <c r="G1486" s="1">
        <v>1.2E-2</v>
      </c>
      <c r="H1486" s="1">
        <v>2.5999999999999999E-3</v>
      </c>
    </row>
    <row r="1487" spans="1:8" x14ac:dyDescent="0.25">
      <c r="A1487" t="s">
        <v>1428</v>
      </c>
      <c r="B1487">
        <v>71</v>
      </c>
      <c r="C1487">
        <v>21.69</v>
      </c>
      <c r="D1487" s="3">
        <v>21.69</v>
      </c>
      <c r="E1487" t="s">
        <v>1308</v>
      </c>
      <c r="F1487">
        <v>10306980</v>
      </c>
      <c r="G1487" s="1">
        <v>6.4500000000000002E-2</v>
      </c>
      <c r="H1487" s="1">
        <v>1.396E-2</v>
      </c>
    </row>
    <row r="1488" spans="1:8" x14ac:dyDescent="0.25">
      <c r="A1488" t="s">
        <v>1428</v>
      </c>
      <c r="B1488">
        <v>72</v>
      </c>
      <c r="C1488">
        <v>22.509</v>
      </c>
      <c r="D1488" s="3">
        <v>22.51</v>
      </c>
      <c r="E1488" t="s">
        <v>1309</v>
      </c>
      <c r="F1488">
        <v>3892529</v>
      </c>
      <c r="G1488" s="1">
        <v>2.4400000000000002E-2</v>
      </c>
      <c r="H1488" s="1">
        <v>5.2700000000000004E-3</v>
      </c>
    </row>
    <row r="1489" spans="1:8" x14ac:dyDescent="0.25">
      <c r="A1489" t="s">
        <v>1428</v>
      </c>
      <c r="B1489">
        <v>73</v>
      </c>
      <c r="C1489">
        <v>23.474</v>
      </c>
      <c r="D1489" s="3">
        <v>23.47</v>
      </c>
      <c r="E1489" t="s">
        <v>1310</v>
      </c>
      <c r="F1489">
        <v>4742178</v>
      </c>
      <c r="G1489" s="1">
        <v>2.9700000000000001E-2</v>
      </c>
      <c r="H1489" s="1">
        <v>6.4200000000000004E-3</v>
      </c>
    </row>
    <row r="1490" spans="1:8" x14ac:dyDescent="0.25">
      <c r="A1490" t="s">
        <v>1428</v>
      </c>
      <c r="B1490">
        <v>74</v>
      </c>
      <c r="C1490">
        <v>23.664000000000001</v>
      </c>
      <c r="D1490" s="3">
        <v>23.66</v>
      </c>
      <c r="E1490" t="s">
        <v>1311</v>
      </c>
      <c r="F1490">
        <v>2793638</v>
      </c>
      <c r="G1490" s="1">
        <v>1.7500000000000002E-2</v>
      </c>
      <c r="H1490" s="1">
        <v>3.7799999999999999E-3</v>
      </c>
    </row>
    <row r="1491" spans="1:8" x14ac:dyDescent="0.25">
      <c r="A1491" t="s">
        <v>1428</v>
      </c>
      <c r="B1491">
        <v>75</v>
      </c>
      <c r="C1491">
        <v>23.922000000000001</v>
      </c>
      <c r="D1491" s="3">
        <v>23.92</v>
      </c>
      <c r="E1491" t="s">
        <v>1312</v>
      </c>
      <c r="F1491">
        <v>1953113</v>
      </c>
      <c r="G1491" s="1">
        <v>1.2200000000000001E-2</v>
      </c>
      <c r="H1491" s="1">
        <v>2.65E-3</v>
      </c>
    </row>
    <row r="1492" spans="1:8" x14ac:dyDescent="0.25">
      <c r="A1492" t="s">
        <v>1428</v>
      </c>
      <c r="B1492">
        <v>76</v>
      </c>
      <c r="C1492">
        <v>25.367999999999999</v>
      </c>
      <c r="D1492" s="3">
        <v>25.37</v>
      </c>
      <c r="E1492" t="s">
        <v>1313</v>
      </c>
      <c r="F1492">
        <v>1132872</v>
      </c>
      <c r="G1492" s="1">
        <v>7.1000000000000004E-3</v>
      </c>
      <c r="H1492" s="1">
        <v>1.5299999999999999E-3</v>
      </c>
    </row>
    <row r="1493" spans="1:8" x14ac:dyDescent="0.25">
      <c r="A1493" t="s">
        <v>1428</v>
      </c>
      <c r="B1493">
        <v>77</v>
      </c>
      <c r="C1493">
        <v>25.666</v>
      </c>
      <c r="D1493" s="3">
        <v>25.67</v>
      </c>
      <c r="E1493" t="s">
        <v>1314</v>
      </c>
      <c r="F1493">
        <v>2249901</v>
      </c>
      <c r="G1493" s="1">
        <v>1.41E-2</v>
      </c>
      <c r="H1493" s="1">
        <v>3.0500000000000002E-3</v>
      </c>
    </row>
    <row r="1494" spans="1:8" x14ac:dyDescent="0.25">
      <c r="A1494" t="s">
        <v>1428</v>
      </c>
      <c r="B1494">
        <v>78</v>
      </c>
      <c r="C1494">
        <v>25.849</v>
      </c>
      <c r="D1494" s="3">
        <v>25.85</v>
      </c>
      <c r="E1494" t="s">
        <v>1315</v>
      </c>
      <c r="F1494">
        <v>1717951</v>
      </c>
      <c r="G1494" s="1">
        <v>1.0800000000000001E-2</v>
      </c>
      <c r="H1494" s="1">
        <v>2.33E-3</v>
      </c>
    </row>
    <row r="1495" spans="1:8" x14ac:dyDescent="0.25">
      <c r="A1495" t="s">
        <v>1428</v>
      </c>
      <c r="B1495">
        <v>79</v>
      </c>
      <c r="C1495">
        <v>26.013999999999999</v>
      </c>
      <c r="D1495" s="3">
        <v>26.01</v>
      </c>
      <c r="E1495" t="s">
        <v>1316</v>
      </c>
      <c r="F1495">
        <v>1780049</v>
      </c>
      <c r="G1495" s="1">
        <v>1.11E-2</v>
      </c>
      <c r="H1495" s="1">
        <v>2.4099999999999998E-3</v>
      </c>
    </row>
    <row r="1496" spans="1:8" x14ac:dyDescent="0.25">
      <c r="A1496" t="s">
        <v>1428</v>
      </c>
      <c r="B1496">
        <v>80</v>
      </c>
      <c r="C1496">
        <v>26.285</v>
      </c>
      <c r="D1496" s="3">
        <v>26.29</v>
      </c>
      <c r="E1496" t="s">
        <v>1317</v>
      </c>
      <c r="F1496">
        <v>1021621</v>
      </c>
      <c r="G1496" s="1">
        <v>6.4000000000000003E-3</v>
      </c>
      <c r="H1496" s="1">
        <v>1.3799999999999999E-3</v>
      </c>
    </row>
    <row r="1497" spans="1:8" x14ac:dyDescent="0.25">
      <c r="A1497" t="s">
        <v>1428</v>
      </c>
      <c r="B1497">
        <v>81</v>
      </c>
      <c r="C1497">
        <v>26.523</v>
      </c>
      <c r="D1497" s="3">
        <v>26.52</v>
      </c>
      <c r="E1497" t="s">
        <v>1318</v>
      </c>
      <c r="F1497">
        <v>1251975</v>
      </c>
      <c r="G1497" s="1">
        <v>7.7999999999999996E-3</v>
      </c>
      <c r="H1497" s="1">
        <v>1.6999999999999999E-3</v>
      </c>
    </row>
    <row r="1498" spans="1:8" x14ac:dyDescent="0.25">
      <c r="A1498" t="s">
        <v>1428</v>
      </c>
      <c r="B1498">
        <v>82</v>
      </c>
      <c r="C1498">
        <v>27.428999999999998</v>
      </c>
      <c r="D1498" s="3">
        <v>27.43</v>
      </c>
      <c r="E1498" t="s">
        <v>1319</v>
      </c>
      <c r="F1498">
        <v>1230931</v>
      </c>
      <c r="G1498" s="1">
        <v>7.7000000000000002E-3</v>
      </c>
      <c r="H1498" s="1">
        <v>1.67E-3</v>
      </c>
    </row>
    <row r="1499" spans="1:8" x14ac:dyDescent="0.25">
      <c r="A1499" t="s">
        <v>1428</v>
      </c>
      <c r="B1499">
        <v>83</v>
      </c>
      <c r="C1499">
        <v>27.506</v>
      </c>
      <c r="D1499" s="3">
        <v>27.51</v>
      </c>
      <c r="E1499" t="s">
        <v>1320</v>
      </c>
      <c r="F1499">
        <v>3466255</v>
      </c>
      <c r="G1499" s="1">
        <v>2.1700000000000001E-2</v>
      </c>
      <c r="H1499" s="1">
        <v>4.6899999999999997E-3</v>
      </c>
    </row>
    <row r="1500" spans="1:8" x14ac:dyDescent="0.25">
      <c r="A1500" t="s">
        <v>1428</v>
      </c>
      <c r="B1500">
        <v>84</v>
      </c>
      <c r="C1500">
        <v>27.664999999999999</v>
      </c>
      <c r="D1500" s="3">
        <v>27.67</v>
      </c>
      <c r="E1500" t="s">
        <v>1321</v>
      </c>
      <c r="F1500">
        <v>1343593</v>
      </c>
      <c r="G1500" s="1">
        <v>8.3999999999999995E-3</v>
      </c>
      <c r="H1500" s="1">
        <v>1.82E-3</v>
      </c>
    </row>
    <row r="1501" spans="1:8" x14ac:dyDescent="0.25">
      <c r="A1501" t="s">
        <v>1428</v>
      </c>
      <c r="B1501">
        <v>85</v>
      </c>
      <c r="C1501">
        <v>28.483000000000001</v>
      </c>
      <c r="D1501" s="3">
        <v>28.48</v>
      </c>
      <c r="E1501">
        <v>478515</v>
      </c>
      <c r="F1501">
        <v>8696432</v>
      </c>
      <c r="G1501" s="1">
        <v>5.4399999999999997E-2</v>
      </c>
      <c r="H1501" s="1">
        <v>1.1780000000000001E-2</v>
      </c>
    </row>
    <row r="1502" spans="1:8" x14ac:dyDescent="0.25">
      <c r="A1502" t="s">
        <v>1428</v>
      </c>
      <c r="B1502">
        <v>86</v>
      </c>
      <c r="C1502">
        <v>28.591999999999999</v>
      </c>
      <c r="D1502" s="3">
        <v>28.59</v>
      </c>
      <c r="E1502" t="s">
        <v>1322</v>
      </c>
      <c r="F1502">
        <v>1054056</v>
      </c>
      <c r="G1502" s="1">
        <v>6.6E-3</v>
      </c>
      <c r="H1502" s="1">
        <v>1.4300000000000001E-3</v>
      </c>
    </row>
    <row r="1503" spans="1:8" x14ac:dyDescent="0.25">
      <c r="A1503" t="s">
        <v>1428</v>
      </c>
      <c r="B1503">
        <v>87</v>
      </c>
      <c r="C1503">
        <v>28.731999999999999</v>
      </c>
      <c r="D1503" s="3">
        <v>28.73</v>
      </c>
      <c r="E1503" t="s">
        <v>1323</v>
      </c>
      <c r="F1503">
        <v>4608257</v>
      </c>
      <c r="G1503" s="1">
        <v>2.8899999999999999E-2</v>
      </c>
      <c r="H1503" s="1">
        <v>6.2399999999999999E-3</v>
      </c>
    </row>
    <row r="1504" spans="1:8" x14ac:dyDescent="0.25">
      <c r="A1504" t="s">
        <v>1428</v>
      </c>
      <c r="B1504">
        <v>88</v>
      </c>
      <c r="C1504">
        <v>28.891999999999999</v>
      </c>
      <c r="D1504" s="3">
        <v>28.89</v>
      </c>
      <c r="E1504">
        <v>270697</v>
      </c>
      <c r="F1504">
        <v>4051650</v>
      </c>
      <c r="G1504" s="1">
        <v>2.5399999999999999E-2</v>
      </c>
      <c r="H1504" s="1">
        <v>5.4900000000000001E-3</v>
      </c>
    </row>
    <row r="1505" spans="1:8" x14ac:dyDescent="0.25">
      <c r="A1505" t="s">
        <v>1428</v>
      </c>
      <c r="B1505">
        <v>89</v>
      </c>
      <c r="C1505">
        <v>29.047000000000001</v>
      </c>
      <c r="D1505" s="3">
        <v>29.05</v>
      </c>
      <c r="E1505">
        <v>2106021</v>
      </c>
      <c r="F1505">
        <v>25501966</v>
      </c>
      <c r="G1505" s="1">
        <v>0.15970000000000001</v>
      </c>
      <c r="H1505" s="1">
        <v>3.4540000000000001E-2</v>
      </c>
    </row>
    <row r="1506" spans="1:8" x14ac:dyDescent="0.25">
      <c r="A1506" t="s">
        <v>1428</v>
      </c>
      <c r="B1506">
        <v>90</v>
      </c>
      <c r="C1506">
        <v>29.231999999999999</v>
      </c>
      <c r="D1506" s="3">
        <v>29.23</v>
      </c>
      <c r="E1506" t="s">
        <v>1324</v>
      </c>
      <c r="F1506">
        <v>2542636</v>
      </c>
      <c r="G1506" s="1">
        <v>1.5900000000000001E-2</v>
      </c>
      <c r="H1506" s="1">
        <v>3.4399999999999999E-3</v>
      </c>
    </row>
    <row r="1507" spans="1:8" x14ac:dyDescent="0.25">
      <c r="A1507" t="s">
        <v>1428</v>
      </c>
      <c r="B1507">
        <v>91</v>
      </c>
      <c r="C1507">
        <v>29.431000000000001</v>
      </c>
      <c r="D1507" s="3">
        <v>29.43</v>
      </c>
      <c r="E1507" t="s">
        <v>1325</v>
      </c>
      <c r="F1507">
        <v>2174772</v>
      </c>
      <c r="G1507" s="1">
        <v>1.3599999999999999E-2</v>
      </c>
      <c r="H1507" s="1">
        <v>2.9499999999999999E-3</v>
      </c>
    </row>
    <row r="1508" spans="1:8" x14ac:dyDescent="0.25">
      <c r="A1508" t="s">
        <v>1428</v>
      </c>
      <c r="B1508">
        <v>92</v>
      </c>
      <c r="C1508">
        <v>29.465</v>
      </c>
      <c r="D1508" s="3">
        <v>29.47</v>
      </c>
      <c r="E1508" t="s">
        <v>1326</v>
      </c>
      <c r="F1508">
        <v>1634033</v>
      </c>
      <c r="G1508" s="1">
        <v>1.0200000000000001E-2</v>
      </c>
      <c r="H1508" s="1">
        <v>2.2100000000000002E-3</v>
      </c>
    </row>
    <row r="1509" spans="1:8" x14ac:dyDescent="0.25">
      <c r="A1509" t="s">
        <v>1428</v>
      </c>
      <c r="B1509">
        <v>93</v>
      </c>
      <c r="C1509">
        <v>29.532</v>
      </c>
      <c r="D1509" s="3">
        <v>29.53</v>
      </c>
      <c r="E1509" t="s">
        <v>1327</v>
      </c>
      <c r="F1509">
        <v>1615911</v>
      </c>
      <c r="G1509" s="1">
        <v>1.01E-2</v>
      </c>
      <c r="H1509" s="1">
        <v>2.1900000000000001E-3</v>
      </c>
    </row>
    <row r="1510" spans="1:8" x14ac:dyDescent="0.25">
      <c r="A1510" t="s">
        <v>1428</v>
      </c>
      <c r="B1510">
        <v>94</v>
      </c>
      <c r="C1510">
        <v>29.675000000000001</v>
      </c>
      <c r="D1510" s="3">
        <v>29.68</v>
      </c>
      <c r="E1510" t="s">
        <v>1328</v>
      </c>
      <c r="F1510">
        <v>1024825</v>
      </c>
      <c r="G1510" s="1">
        <v>6.4000000000000003E-3</v>
      </c>
      <c r="H1510" s="1">
        <v>1.39E-3</v>
      </c>
    </row>
    <row r="1511" spans="1:8" x14ac:dyDescent="0.25">
      <c r="A1511" t="s">
        <v>1428</v>
      </c>
      <c r="B1511">
        <v>95</v>
      </c>
      <c r="C1511">
        <v>29.742999999999999</v>
      </c>
      <c r="D1511" s="3">
        <v>29.74</v>
      </c>
      <c r="E1511">
        <v>122242</v>
      </c>
      <c r="F1511">
        <v>2179314</v>
      </c>
      <c r="G1511" s="1">
        <v>1.3599999999999999E-2</v>
      </c>
      <c r="H1511" s="1">
        <v>2.9499999999999999E-3</v>
      </c>
    </row>
    <row r="1512" spans="1:8" x14ac:dyDescent="0.25">
      <c r="A1512" t="s">
        <v>1428</v>
      </c>
      <c r="B1512">
        <v>96</v>
      </c>
      <c r="C1512">
        <v>29.82</v>
      </c>
      <c r="D1512" s="3">
        <v>29.82</v>
      </c>
      <c r="E1512" t="s">
        <v>1329</v>
      </c>
      <c r="F1512">
        <v>1359457</v>
      </c>
      <c r="G1512" s="1">
        <v>8.5000000000000006E-3</v>
      </c>
      <c r="H1512" s="1">
        <v>1.8400000000000001E-3</v>
      </c>
    </row>
    <row r="1513" spans="1:8" x14ac:dyDescent="0.25">
      <c r="A1513" t="s">
        <v>1428</v>
      </c>
      <c r="B1513">
        <v>97</v>
      </c>
      <c r="C1513">
        <v>29.898</v>
      </c>
      <c r="D1513" s="3">
        <v>29.9</v>
      </c>
      <c r="E1513" t="s">
        <v>1330</v>
      </c>
      <c r="F1513">
        <v>2132211</v>
      </c>
      <c r="G1513" s="1">
        <v>1.3299999999999999E-2</v>
      </c>
      <c r="H1513" s="1">
        <v>2.8900000000000002E-3</v>
      </c>
    </row>
    <row r="1514" spans="1:8" x14ac:dyDescent="0.25">
      <c r="A1514" t="s">
        <v>1428</v>
      </c>
      <c r="B1514">
        <v>98</v>
      </c>
      <c r="C1514">
        <v>29.934999999999999</v>
      </c>
      <c r="D1514" s="3">
        <v>29.94</v>
      </c>
      <c r="E1514" t="s">
        <v>1331</v>
      </c>
      <c r="F1514">
        <v>1411105</v>
      </c>
      <c r="G1514" s="1">
        <v>8.8000000000000005E-3</v>
      </c>
      <c r="H1514" s="1">
        <v>1.91E-3</v>
      </c>
    </row>
    <row r="1515" spans="1:8" x14ac:dyDescent="0.25">
      <c r="A1515" t="s">
        <v>1428</v>
      </c>
      <c r="B1515">
        <v>99</v>
      </c>
      <c r="C1515">
        <v>29.977</v>
      </c>
      <c r="D1515" s="3">
        <v>29.98</v>
      </c>
      <c r="E1515" t="s">
        <v>1332</v>
      </c>
      <c r="F1515">
        <v>2022507</v>
      </c>
      <c r="G1515" s="1">
        <v>1.2699999999999999E-2</v>
      </c>
      <c r="H1515" s="1">
        <v>2.7399999999999998E-3</v>
      </c>
    </row>
    <row r="1516" spans="1:8" x14ac:dyDescent="0.25">
      <c r="A1516" t="s">
        <v>1428</v>
      </c>
      <c r="B1516">
        <v>100</v>
      </c>
      <c r="C1516">
        <v>31.361999999999998</v>
      </c>
      <c r="D1516" s="3">
        <v>31.36</v>
      </c>
      <c r="E1516" t="s">
        <v>1333</v>
      </c>
      <c r="F1516">
        <v>1634204</v>
      </c>
      <c r="G1516" s="1">
        <v>1.0200000000000001E-2</v>
      </c>
      <c r="H1516" s="1">
        <v>2.2100000000000002E-3</v>
      </c>
    </row>
    <row r="1517" spans="1:8" x14ac:dyDescent="0.25">
      <c r="A1517" t="s">
        <v>1428</v>
      </c>
      <c r="B1517">
        <v>101</v>
      </c>
      <c r="C1517">
        <v>31.552</v>
      </c>
      <c r="D1517" s="3">
        <v>31.55</v>
      </c>
      <c r="E1517" t="s">
        <v>1334</v>
      </c>
      <c r="F1517">
        <v>1592399</v>
      </c>
      <c r="G1517" s="1">
        <v>0.01</v>
      </c>
      <c r="H1517" s="1">
        <v>2.16E-3</v>
      </c>
    </row>
    <row r="1518" spans="1:8" x14ac:dyDescent="0.25">
      <c r="A1518" t="s">
        <v>1428</v>
      </c>
      <c r="B1518">
        <v>102</v>
      </c>
      <c r="C1518">
        <v>31.7</v>
      </c>
      <c r="D1518" s="3">
        <v>31.7</v>
      </c>
      <c r="E1518" t="s">
        <v>1335</v>
      </c>
      <c r="F1518">
        <v>2358297</v>
      </c>
      <c r="G1518" s="1">
        <v>1.4800000000000001E-2</v>
      </c>
      <c r="H1518" s="1">
        <v>3.1900000000000001E-3</v>
      </c>
    </row>
    <row r="1519" spans="1:8" x14ac:dyDescent="0.25">
      <c r="A1519" t="s">
        <v>1428</v>
      </c>
      <c r="B1519">
        <v>103</v>
      </c>
      <c r="C1519">
        <v>31.988</v>
      </c>
      <c r="D1519" s="3">
        <v>31.99</v>
      </c>
      <c r="E1519">
        <v>323858</v>
      </c>
      <c r="F1519">
        <v>8414687</v>
      </c>
      <c r="G1519" s="1">
        <v>5.2699999999999997E-2</v>
      </c>
      <c r="H1519" s="1">
        <v>1.14E-2</v>
      </c>
    </row>
    <row r="1520" spans="1:8" x14ac:dyDescent="0.25">
      <c r="A1520" t="s">
        <v>1428</v>
      </c>
      <c r="B1520">
        <v>104</v>
      </c>
      <c r="C1520">
        <v>32.735999999999997</v>
      </c>
      <c r="D1520" s="3">
        <v>32.74</v>
      </c>
      <c r="E1520" t="s">
        <v>1336</v>
      </c>
      <c r="F1520">
        <v>3280567</v>
      </c>
      <c r="G1520" s="1">
        <v>2.0500000000000001E-2</v>
      </c>
      <c r="H1520" s="1">
        <v>4.4400000000000004E-3</v>
      </c>
    </row>
    <row r="1521" spans="1:8" x14ac:dyDescent="0.25">
      <c r="A1521" t="s">
        <v>1428</v>
      </c>
      <c r="B1521">
        <v>105</v>
      </c>
      <c r="C1521">
        <v>33.098999999999997</v>
      </c>
      <c r="D1521" s="3">
        <v>33.1</v>
      </c>
      <c r="E1521">
        <v>589386</v>
      </c>
      <c r="F1521">
        <v>18108481</v>
      </c>
      <c r="G1521" s="1">
        <v>0.1134</v>
      </c>
      <c r="H1521" s="1">
        <v>2.453E-2</v>
      </c>
    </row>
    <row r="1522" spans="1:8" x14ac:dyDescent="0.25">
      <c r="A1522" t="s">
        <v>1428</v>
      </c>
      <c r="B1522">
        <v>106</v>
      </c>
      <c r="C1522">
        <v>33.232999999999997</v>
      </c>
      <c r="D1522" s="3">
        <v>33.229999999999997</v>
      </c>
      <c r="E1522">
        <v>39276</v>
      </c>
      <c r="F1522">
        <v>1946807</v>
      </c>
      <c r="G1522" s="1">
        <v>1.2200000000000001E-2</v>
      </c>
      <c r="H1522" s="1">
        <v>2.64E-3</v>
      </c>
    </row>
    <row r="1523" spans="1:8" x14ac:dyDescent="0.25">
      <c r="A1523" t="s">
        <v>1428</v>
      </c>
      <c r="B1523">
        <v>107</v>
      </c>
      <c r="C1523">
        <v>33.363999999999997</v>
      </c>
      <c r="D1523" s="3">
        <v>33.36</v>
      </c>
      <c r="E1523">
        <v>29227</v>
      </c>
      <c r="F1523">
        <v>1026500</v>
      </c>
      <c r="G1523" s="1">
        <v>6.4000000000000003E-3</v>
      </c>
      <c r="H1523" s="1">
        <v>1.39E-3</v>
      </c>
    </row>
    <row r="1524" spans="1:8" x14ac:dyDescent="0.25">
      <c r="A1524" t="s">
        <v>1428</v>
      </c>
      <c r="B1524">
        <v>108</v>
      </c>
      <c r="C1524">
        <v>33.69</v>
      </c>
      <c r="D1524" s="3">
        <v>33.69</v>
      </c>
      <c r="E1524">
        <v>35219</v>
      </c>
      <c r="F1524">
        <v>1059862</v>
      </c>
      <c r="G1524" s="1">
        <v>6.6E-3</v>
      </c>
      <c r="H1524" s="1">
        <v>1.4400000000000001E-3</v>
      </c>
    </row>
    <row r="1525" spans="1:8" x14ac:dyDescent="0.25">
      <c r="A1525" t="s">
        <v>1429</v>
      </c>
      <c r="B1525">
        <v>1</v>
      </c>
      <c r="C1525">
        <v>4.4870000000000001</v>
      </c>
      <c r="D1525" s="3">
        <v>4.49</v>
      </c>
      <c r="E1525" t="s">
        <v>1337</v>
      </c>
      <c r="F1525">
        <v>4529130</v>
      </c>
      <c r="G1525" s="1">
        <v>4.4999999999999998E-2</v>
      </c>
      <c r="H1525" s="1">
        <v>8.1700000000000002E-3</v>
      </c>
    </row>
    <row r="1526" spans="1:8" x14ac:dyDescent="0.25">
      <c r="A1526" t="s">
        <v>1429</v>
      </c>
      <c r="B1526">
        <v>2</v>
      </c>
      <c r="C1526">
        <v>4.7080000000000002</v>
      </c>
      <c r="D1526" s="3">
        <v>4.71</v>
      </c>
      <c r="E1526" t="s">
        <v>1338</v>
      </c>
      <c r="F1526">
        <v>2448890</v>
      </c>
      <c r="G1526" s="1">
        <v>2.4299999999999999E-2</v>
      </c>
      <c r="H1526" s="1">
        <v>4.4200000000000003E-3</v>
      </c>
    </row>
    <row r="1527" spans="1:8" x14ac:dyDescent="0.25">
      <c r="A1527" t="s">
        <v>1429</v>
      </c>
      <c r="B1527">
        <v>3</v>
      </c>
      <c r="C1527">
        <v>4.8010000000000002</v>
      </c>
      <c r="D1527" s="3">
        <v>4.8</v>
      </c>
      <c r="E1527" t="s">
        <v>1339</v>
      </c>
      <c r="F1527">
        <v>3168743</v>
      </c>
      <c r="G1527" s="1">
        <v>3.15E-2</v>
      </c>
      <c r="H1527" s="1">
        <v>5.7200000000000003E-3</v>
      </c>
    </row>
    <row r="1528" spans="1:8" x14ac:dyDescent="0.25">
      <c r="A1528" t="s">
        <v>1429</v>
      </c>
      <c r="B1528">
        <v>4</v>
      </c>
      <c r="C1528">
        <v>4.8899999999999997</v>
      </c>
      <c r="D1528" s="3">
        <v>4.8899999999999997</v>
      </c>
      <c r="E1528" t="s">
        <v>1340</v>
      </c>
      <c r="F1528">
        <v>10697832</v>
      </c>
      <c r="G1528" s="1">
        <v>0.10630000000000001</v>
      </c>
      <c r="H1528" s="1">
        <v>1.9300000000000001E-2</v>
      </c>
    </row>
    <row r="1529" spans="1:8" x14ac:dyDescent="0.25">
      <c r="A1529" t="s">
        <v>1429</v>
      </c>
      <c r="B1529">
        <v>5</v>
      </c>
      <c r="C1529">
        <v>4.9770000000000003</v>
      </c>
      <c r="D1529" s="3">
        <v>4.9800000000000004</v>
      </c>
      <c r="E1529" t="s">
        <v>1341</v>
      </c>
      <c r="F1529">
        <v>5704218</v>
      </c>
      <c r="G1529" s="1">
        <v>5.67E-2</v>
      </c>
      <c r="H1529" s="1">
        <v>1.0290000000000001E-2</v>
      </c>
    </row>
    <row r="1530" spans="1:8" x14ac:dyDescent="0.25">
      <c r="A1530" t="s">
        <v>1429</v>
      </c>
      <c r="B1530">
        <v>6</v>
      </c>
      <c r="C1530">
        <v>5.1210000000000004</v>
      </c>
      <c r="D1530" s="3">
        <v>5.12</v>
      </c>
      <c r="E1530" t="s">
        <v>1342</v>
      </c>
      <c r="F1530">
        <v>2087192</v>
      </c>
      <c r="G1530" s="1">
        <v>2.07E-2</v>
      </c>
      <c r="H1530" s="1">
        <v>3.7699999999999999E-3</v>
      </c>
    </row>
    <row r="1531" spans="1:8" x14ac:dyDescent="0.25">
      <c r="A1531" t="s">
        <v>1429</v>
      </c>
      <c r="B1531">
        <v>7</v>
      </c>
      <c r="C1531">
        <v>5.218</v>
      </c>
      <c r="D1531" s="3">
        <v>5.22</v>
      </c>
      <c r="E1531" t="s">
        <v>1343</v>
      </c>
      <c r="F1531">
        <v>2629211</v>
      </c>
      <c r="G1531" s="1">
        <v>2.6100000000000002E-2</v>
      </c>
      <c r="H1531" s="1">
        <v>4.7400000000000003E-3</v>
      </c>
    </row>
    <row r="1532" spans="1:8" x14ac:dyDescent="0.25">
      <c r="A1532" t="s">
        <v>1429</v>
      </c>
      <c r="B1532">
        <v>8</v>
      </c>
      <c r="C1532">
        <v>5.3840000000000003</v>
      </c>
      <c r="D1532" s="3">
        <v>5.38</v>
      </c>
      <c r="E1532" t="s">
        <v>1344</v>
      </c>
      <c r="F1532">
        <v>1700745</v>
      </c>
      <c r="G1532" s="1">
        <v>1.6899999999999998E-2</v>
      </c>
      <c r="H1532" s="1">
        <v>3.0699999999999998E-3</v>
      </c>
    </row>
    <row r="1533" spans="1:8" x14ac:dyDescent="0.25">
      <c r="A1533" t="s">
        <v>1429</v>
      </c>
      <c r="B1533">
        <v>9</v>
      </c>
      <c r="C1533">
        <v>6.1</v>
      </c>
      <c r="D1533" s="3">
        <v>6.1</v>
      </c>
      <c r="E1533" t="s">
        <v>1345</v>
      </c>
      <c r="F1533">
        <v>2012400</v>
      </c>
      <c r="G1533" s="1">
        <v>0.02</v>
      </c>
      <c r="H1533" s="1">
        <v>3.63E-3</v>
      </c>
    </row>
    <row r="1534" spans="1:8" x14ac:dyDescent="0.25">
      <c r="A1534" t="s">
        <v>1429</v>
      </c>
      <c r="B1534">
        <v>10</v>
      </c>
      <c r="C1534">
        <v>6.2530000000000001</v>
      </c>
      <c r="D1534" s="3">
        <v>6.25</v>
      </c>
      <c r="E1534" t="s">
        <v>1346</v>
      </c>
      <c r="F1534">
        <v>4538189</v>
      </c>
      <c r="G1534" s="1">
        <v>4.5100000000000001E-2</v>
      </c>
      <c r="H1534" s="1">
        <v>8.1899999999999994E-3</v>
      </c>
    </row>
    <row r="1535" spans="1:8" x14ac:dyDescent="0.25">
      <c r="A1535" t="s">
        <v>1429</v>
      </c>
      <c r="B1535">
        <v>11</v>
      </c>
      <c r="C1535">
        <v>6.327</v>
      </c>
      <c r="D1535" s="3">
        <v>6.33</v>
      </c>
      <c r="E1535" t="s">
        <v>1347</v>
      </c>
      <c r="F1535">
        <v>1219971</v>
      </c>
      <c r="G1535" s="1">
        <v>1.21E-2</v>
      </c>
      <c r="H1535" s="1">
        <v>2.2000000000000001E-3</v>
      </c>
    </row>
    <row r="1536" spans="1:8" x14ac:dyDescent="0.25">
      <c r="A1536" t="s">
        <v>1429</v>
      </c>
      <c r="B1536">
        <v>12</v>
      </c>
      <c r="C1536">
        <v>6.4880000000000004</v>
      </c>
      <c r="D1536" s="3">
        <v>6.49</v>
      </c>
      <c r="E1536" t="s">
        <v>1348</v>
      </c>
      <c r="F1536">
        <v>6600294</v>
      </c>
      <c r="G1536" s="1">
        <v>6.5600000000000006E-2</v>
      </c>
      <c r="H1536" s="1">
        <v>1.191E-2</v>
      </c>
    </row>
    <row r="1537" spans="1:8" x14ac:dyDescent="0.25">
      <c r="A1537" t="s">
        <v>1429</v>
      </c>
      <c r="B1537">
        <v>13</v>
      </c>
      <c r="C1537">
        <v>7.1189999999999998</v>
      </c>
      <c r="D1537" s="3">
        <v>7.12</v>
      </c>
      <c r="E1537" t="s">
        <v>1349</v>
      </c>
      <c r="F1537">
        <v>2322174</v>
      </c>
      <c r="G1537" s="1">
        <v>2.3099999999999999E-2</v>
      </c>
      <c r="H1537" s="1">
        <v>4.1900000000000001E-3</v>
      </c>
    </row>
    <row r="1538" spans="1:8" x14ac:dyDescent="0.25">
      <c r="A1538" t="s">
        <v>1429</v>
      </c>
      <c r="B1538">
        <v>14</v>
      </c>
      <c r="C1538">
        <v>8.2110000000000003</v>
      </c>
      <c r="D1538" s="3">
        <v>8.2100000000000009</v>
      </c>
      <c r="E1538" t="s">
        <v>1350</v>
      </c>
      <c r="F1538">
        <v>2372306</v>
      </c>
      <c r="G1538" s="1">
        <v>2.3599999999999999E-2</v>
      </c>
      <c r="H1538" s="1">
        <v>4.28E-3</v>
      </c>
    </row>
    <row r="1539" spans="1:8" x14ac:dyDescent="0.25">
      <c r="A1539" t="s">
        <v>1429</v>
      </c>
      <c r="B1539">
        <v>15</v>
      </c>
      <c r="C1539">
        <v>8.2720000000000002</v>
      </c>
      <c r="D1539" s="3">
        <v>8.27</v>
      </c>
      <c r="E1539" t="s">
        <v>1351</v>
      </c>
      <c r="F1539">
        <v>3622655</v>
      </c>
      <c r="G1539" s="1">
        <v>3.5999999999999997E-2</v>
      </c>
      <c r="H1539" s="1">
        <v>6.5399999999999998E-3</v>
      </c>
    </row>
    <row r="1540" spans="1:8" x14ac:dyDescent="0.25">
      <c r="A1540" t="s">
        <v>1429</v>
      </c>
      <c r="B1540">
        <v>16</v>
      </c>
      <c r="C1540">
        <v>8.952</v>
      </c>
      <c r="D1540" s="3">
        <v>8.9499999999999993</v>
      </c>
      <c r="E1540" t="s">
        <v>1352</v>
      </c>
      <c r="F1540">
        <v>2727011</v>
      </c>
      <c r="G1540" s="1">
        <v>2.7099999999999999E-2</v>
      </c>
      <c r="H1540" s="1">
        <v>4.9199999999999999E-3</v>
      </c>
    </row>
    <row r="1541" spans="1:8" x14ac:dyDescent="0.25">
      <c r="A1541" t="s">
        <v>1429</v>
      </c>
      <c r="B1541">
        <v>17</v>
      </c>
      <c r="C1541">
        <v>9.1839999999999993</v>
      </c>
      <c r="D1541" s="3">
        <v>9.18</v>
      </c>
      <c r="E1541" t="s">
        <v>1353</v>
      </c>
      <c r="F1541">
        <v>2382150</v>
      </c>
      <c r="G1541" s="1">
        <v>2.3699999999999999E-2</v>
      </c>
      <c r="H1541" s="1">
        <v>4.3E-3</v>
      </c>
    </row>
    <row r="1542" spans="1:8" x14ac:dyDescent="0.25">
      <c r="A1542" t="s">
        <v>1429</v>
      </c>
      <c r="B1542">
        <v>18</v>
      </c>
      <c r="C1542">
        <v>9.2509999999999994</v>
      </c>
      <c r="D1542" s="3">
        <v>9.25</v>
      </c>
      <c r="E1542" t="s">
        <v>1354</v>
      </c>
      <c r="F1542">
        <v>3465995</v>
      </c>
      <c r="G1542" s="1">
        <v>3.44E-2</v>
      </c>
      <c r="H1542" s="1">
        <v>6.2500000000000003E-3</v>
      </c>
    </row>
    <row r="1543" spans="1:8" x14ac:dyDescent="0.25">
      <c r="A1543" t="s">
        <v>1429</v>
      </c>
      <c r="B1543">
        <v>19</v>
      </c>
      <c r="C1543">
        <v>9.5069999999999997</v>
      </c>
      <c r="D1543" s="3">
        <v>9.51</v>
      </c>
      <c r="E1543" t="s">
        <v>1355</v>
      </c>
      <c r="F1543">
        <v>1023310</v>
      </c>
      <c r="G1543" s="1">
        <v>1.0200000000000001E-2</v>
      </c>
      <c r="H1543" s="1">
        <v>1.8500000000000001E-3</v>
      </c>
    </row>
    <row r="1544" spans="1:8" x14ac:dyDescent="0.25">
      <c r="A1544" t="s">
        <v>1429</v>
      </c>
      <c r="B1544">
        <v>20</v>
      </c>
      <c r="C1544">
        <v>9.6530000000000005</v>
      </c>
      <c r="D1544" s="3">
        <v>9.65</v>
      </c>
      <c r="E1544" t="s">
        <v>1356</v>
      </c>
      <c r="F1544">
        <v>22985296</v>
      </c>
      <c r="G1544" s="1">
        <v>0.2283</v>
      </c>
      <c r="H1544" s="1">
        <v>4.147E-2</v>
      </c>
    </row>
    <row r="1545" spans="1:8" x14ac:dyDescent="0.25">
      <c r="A1545" t="s">
        <v>1429</v>
      </c>
      <c r="B1545">
        <v>21</v>
      </c>
      <c r="C1545">
        <v>9.8309999999999995</v>
      </c>
      <c r="D1545" s="3">
        <v>9.83</v>
      </c>
      <c r="E1545">
        <v>36130</v>
      </c>
      <c r="F1545">
        <v>1451455</v>
      </c>
      <c r="G1545" s="1">
        <v>1.44E-2</v>
      </c>
      <c r="H1545" s="1">
        <v>2.6199999999999999E-3</v>
      </c>
    </row>
    <row r="1546" spans="1:8" x14ac:dyDescent="0.25">
      <c r="A1546" t="s">
        <v>1429</v>
      </c>
      <c r="B1546">
        <v>22</v>
      </c>
      <c r="C1546">
        <v>10.292</v>
      </c>
      <c r="D1546" s="3">
        <v>10.29</v>
      </c>
      <c r="E1546" t="s">
        <v>1357</v>
      </c>
      <c r="F1546">
        <v>1366337</v>
      </c>
      <c r="G1546" s="1">
        <v>1.3599999999999999E-2</v>
      </c>
      <c r="H1546" s="1">
        <v>2.47E-3</v>
      </c>
    </row>
    <row r="1547" spans="1:8" x14ac:dyDescent="0.25">
      <c r="A1547" t="s">
        <v>1429</v>
      </c>
      <c r="B1547">
        <v>23</v>
      </c>
      <c r="C1547">
        <v>10.586</v>
      </c>
      <c r="D1547" s="3">
        <v>10.59</v>
      </c>
      <c r="E1547" t="s">
        <v>1358</v>
      </c>
      <c r="F1547">
        <v>1098950</v>
      </c>
      <c r="G1547" s="1">
        <v>1.09E-2</v>
      </c>
      <c r="H1547" s="1">
        <v>1.98E-3</v>
      </c>
    </row>
    <row r="1548" spans="1:8" x14ac:dyDescent="0.25">
      <c r="A1548" t="s">
        <v>1429</v>
      </c>
      <c r="B1548">
        <v>24</v>
      </c>
      <c r="C1548">
        <v>11.138</v>
      </c>
      <c r="D1548" s="3">
        <v>11.14</v>
      </c>
      <c r="E1548" t="s">
        <v>1359</v>
      </c>
      <c r="F1548">
        <v>1467250</v>
      </c>
      <c r="G1548" s="1">
        <v>1.46E-2</v>
      </c>
      <c r="H1548" s="1">
        <v>2.65E-3</v>
      </c>
    </row>
    <row r="1549" spans="1:8" x14ac:dyDescent="0.25">
      <c r="A1549" t="s">
        <v>1429</v>
      </c>
      <c r="B1549">
        <v>25</v>
      </c>
      <c r="C1549">
        <v>11.233000000000001</v>
      </c>
      <c r="D1549" s="3">
        <v>11.23</v>
      </c>
      <c r="E1549" t="s">
        <v>1360</v>
      </c>
      <c r="F1549">
        <v>1491557</v>
      </c>
      <c r="G1549" s="1">
        <v>1.4800000000000001E-2</v>
      </c>
      <c r="H1549" s="1">
        <v>2.6900000000000001E-3</v>
      </c>
    </row>
    <row r="1550" spans="1:8" x14ac:dyDescent="0.25">
      <c r="A1550" t="s">
        <v>1429</v>
      </c>
      <c r="B1550">
        <v>26</v>
      </c>
      <c r="C1550">
        <v>11.412000000000001</v>
      </c>
      <c r="D1550" s="3">
        <v>11.41</v>
      </c>
      <c r="E1550" t="s">
        <v>1361</v>
      </c>
      <c r="F1550">
        <v>2205729</v>
      </c>
      <c r="G1550" s="1">
        <v>2.1899999999999999E-2</v>
      </c>
      <c r="H1550" s="1">
        <v>3.98E-3</v>
      </c>
    </row>
    <row r="1551" spans="1:8" x14ac:dyDescent="0.25">
      <c r="A1551" t="s">
        <v>1429</v>
      </c>
      <c r="B1551">
        <v>27</v>
      </c>
      <c r="C1551">
        <v>12.548999999999999</v>
      </c>
      <c r="D1551" s="3">
        <v>12.55</v>
      </c>
      <c r="E1551" t="s">
        <v>1362</v>
      </c>
      <c r="F1551">
        <v>2119782</v>
      </c>
      <c r="G1551" s="1">
        <v>2.1100000000000001E-2</v>
      </c>
      <c r="H1551" s="1">
        <v>3.82E-3</v>
      </c>
    </row>
    <row r="1552" spans="1:8" x14ac:dyDescent="0.25">
      <c r="A1552" t="s">
        <v>1429</v>
      </c>
      <c r="B1552">
        <v>28</v>
      </c>
      <c r="C1552">
        <v>12.694000000000001</v>
      </c>
      <c r="D1552" s="3">
        <v>12.69</v>
      </c>
      <c r="E1552" t="s">
        <v>1363</v>
      </c>
      <c r="F1552">
        <v>1126622</v>
      </c>
      <c r="G1552" s="1">
        <v>1.12E-2</v>
      </c>
      <c r="H1552" s="1">
        <v>2.0300000000000001E-3</v>
      </c>
    </row>
    <row r="1553" spans="1:8" x14ac:dyDescent="0.25">
      <c r="A1553" t="s">
        <v>1429</v>
      </c>
      <c r="B1553">
        <v>29</v>
      </c>
      <c r="C1553">
        <v>12.842000000000001</v>
      </c>
      <c r="D1553" s="3">
        <v>12.84</v>
      </c>
      <c r="E1553" t="s">
        <v>1364</v>
      </c>
      <c r="F1553">
        <v>44859391</v>
      </c>
      <c r="G1553" s="1">
        <v>0.4456</v>
      </c>
      <c r="H1553" s="1">
        <v>8.0939999999999998E-2</v>
      </c>
    </row>
    <row r="1554" spans="1:8" x14ac:dyDescent="0.25">
      <c r="A1554" t="s">
        <v>1429</v>
      </c>
      <c r="B1554">
        <v>30</v>
      </c>
      <c r="C1554">
        <v>14.518000000000001</v>
      </c>
      <c r="D1554" s="3">
        <v>14.52</v>
      </c>
      <c r="E1554" t="s">
        <v>1365</v>
      </c>
      <c r="F1554">
        <v>3838468</v>
      </c>
      <c r="G1554" s="1">
        <v>3.8100000000000002E-2</v>
      </c>
      <c r="H1554" s="1">
        <v>6.9300000000000004E-3</v>
      </c>
    </row>
    <row r="1555" spans="1:8" x14ac:dyDescent="0.25">
      <c r="A1555" t="s">
        <v>1429</v>
      </c>
      <c r="B1555">
        <v>31</v>
      </c>
      <c r="C1555">
        <v>14.587</v>
      </c>
      <c r="D1555" s="3">
        <v>14.59</v>
      </c>
      <c r="E1555" t="s">
        <v>1366</v>
      </c>
      <c r="F1555">
        <v>2745931</v>
      </c>
      <c r="G1555" s="1">
        <v>2.7300000000000001E-2</v>
      </c>
      <c r="H1555" s="1">
        <v>4.9500000000000004E-3</v>
      </c>
    </row>
    <row r="1556" spans="1:8" x14ac:dyDescent="0.25">
      <c r="A1556" t="s">
        <v>1429</v>
      </c>
      <c r="B1556">
        <v>32</v>
      </c>
      <c r="C1556">
        <v>15.044</v>
      </c>
      <c r="D1556" s="3">
        <v>15.04</v>
      </c>
      <c r="E1556" t="s">
        <v>1367</v>
      </c>
      <c r="F1556">
        <v>1046647</v>
      </c>
      <c r="G1556" s="1">
        <v>1.04E-2</v>
      </c>
      <c r="H1556" s="1">
        <v>1.89E-3</v>
      </c>
    </row>
    <row r="1557" spans="1:8" x14ac:dyDescent="0.25">
      <c r="A1557" t="s">
        <v>1429</v>
      </c>
      <c r="B1557">
        <v>33</v>
      </c>
      <c r="C1557">
        <v>15.281000000000001</v>
      </c>
      <c r="D1557" s="3">
        <v>15.28</v>
      </c>
      <c r="E1557" t="s">
        <v>1368</v>
      </c>
      <c r="F1557">
        <v>1062033</v>
      </c>
      <c r="G1557" s="1">
        <v>1.06E-2</v>
      </c>
      <c r="H1557" s="1">
        <v>1.92E-3</v>
      </c>
    </row>
    <row r="1558" spans="1:8" x14ac:dyDescent="0.25">
      <c r="A1558" t="s">
        <v>1429</v>
      </c>
      <c r="B1558">
        <v>34</v>
      </c>
      <c r="C1558">
        <v>15.574999999999999</v>
      </c>
      <c r="D1558" s="3">
        <v>15.58</v>
      </c>
      <c r="E1558" t="s">
        <v>1369</v>
      </c>
      <c r="F1558">
        <v>1701263</v>
      </c>
      <c r="G1558" s="1">
        <v>1.6899999999999998E-2</v>
      </c>
      <c r="H1558" s="1">
        <v>3.0699999999999998E-3</v>
      </c>
    </row>
    <row r="1559" spans="1:8" x14ac:dyDescent="0.25">
      <c r="A1559" t="s">
        <v>1429</v>
      </c>
      <c r="B1559">
        <v>35</v>
      </c>
      <c r="C1559">
        <v>15.875</v>
      </c>
      <c r="D1559" s="3">
        <v>15.88</v>
      </c>
      <c r="E1559" t="s">
        <v>1370</v>
      </c>
      <c r="F1559">
        <v>12019002</v>
      </c>
      <c r="G1559" s="1">
        <v>0.11940000000000001</v>
      </c>
      <c r="H1559" s="1">
        <v>2.1680000000000001E-2</v>
      </c>
    </row>
    <row r="1560" spans="1:8" x14ac:dyDescent="0.25">
      <c r="A1560" t="s">
        <v>1429</v>
      </c>
      <c r="B1560">
        <v>36</v>
      </c>
      <c r="C1560">
        <v>16.664000000000001</v>
      </c>
      <c r="D1560" s="3">
        <v>16.66</v>
      </c>
      <c r="E1560" t="s">
        <v>1371</v>
      </c>
      <c r="F1560">
        <v>2798324</v>
      </c>
      <c r="G1560" s="1">
        <v>2.7799999999999998E-2</v>
      </c>
      <c r="H1560" s="1">
        <v>5.0499999999999998E-3</v>
      </c>
    </row>
    <row r="1561" spans="1:8" x14ac:dyDescent="0.25">
      <c r="A1561" t="s">
        <v>1429</v>
      </c>
      <c r="B1561">
        <v>37</v>
      </c>
      <c r="C1561">
        <v>17.006</v>
      </c>
      <c r="D1561" s="3">
        <v>17.010000000000002</v>
      </c>
      <c r="E1561" t="s">
        <v>1372</v>
      </c>
      <c r="F1561">
        <v>38604433</v>
      </c>
      <c r="G1561" s="1">
        <v>0.38350000000000001</v>
      </c>
      <c r="H1561" s="1">
        <v>6.9650000000000004E-2</v>
      </c>
    </row>
    <row r="1562" spans="1:8" x14ac:dyDescent="0.25">
      <c r="A1562" t="s">
        <v>1429</v>
      </c>
      <c r="B1562">
        <v>38</v>
      </c>
      <c r="C1562">
        <v>17.082000000000001</v>
      </c>
      <c r="D1562" s="3">
        <v>17.079999999999998</v>
      </c>
      <c r="E1562" t="s">
        <v>1373</v>
      </c>
      <c r="F1562">
        <v>4143983</v>
      </c>
      <c r="G1562" s="1">
        <v>4.1200000000000001E-2</v>
      </c>
      <c r="H1562" s="1">
        <v>7.4799999999999997E-3</v>
      </c>
    </row>
    <row r="1563" spans="1:8" x14ac:dyDescent="0.25">
      <c r="A1563" t="s">
        <v>1429</v>
      </c>
      <c r="B1563">
        <v>39</v>
      </c>
      <c r="C1563">
        <v>17.452999999999999</v>
      </c>
      <c r="D1563" s="3">
        <v>17.45</v>
      </c>
      <c r="E1563" t="s">
        <v>1374</v>
      </c>
      <c r="F1563">
        <v>22131780</v>
      </c>
      <c r="G1563" s="1">
        <v>0.21990000000000001</v>
      </c>
      <c r="H1563" s="1">
        <v>3.993E-2</v>
      </c>
    </row>
    <row r="1564" spans="1:8" x14ac:dyDescent="0.25">
      <c r="A1564" t="s">
        <v>1429</v>
      </c>
      <c r="B1564">
        <v>40</v>
      </c>
      <c r="C1564">
        <v>17.552</v>
      </c>
      <c r="D1564" s="3">
        <v>17.55</v>
      </c>
      <c r="E1564" t="s">
        <v>1375</v>
      </c>
      <c r="F1564">
        <v>2693752</v>
      </c>
      <c r="G1564" s="1">
        <v>2.6800000000000001E-2</v>
      </c>
      <c r="H1564" s="1">
        <v>4.8599999999999997E-3</v>
      </c>
    </row>
    <row r="1565" spans="1:8" x14ac:dyDescent="0.25">
      <c r="A1565" t="s">
        <v>1429</v>
      </c>
      <c r="B1565">
        <v>41</v>
      </c>
      <c r="C1565">
        <v>17.704999999999998</v>
      </c>
      <c r="D1565" s="3">
        <v>17.71</v>
      </c>
      <c r="E1565" t="s">
        <v>1376</v>
      </c>
      <c r="F1565">
        <v>1354579</v>
      </c>
      <c r="G1565" s="1">
        <v>1.35E-2</v>
      </c>
      <c r="H1565" s="1">
        <v>2.4399999999999999E-3</v>
      </c>
    </row>
    <row r="1566" spans="1:8" x14ac:dyDescent="0.25">
      <c r="A1566" t="s">
        <v>1429</v>
      </c>
      <c r="B1566">
        <v>42</v>
      </c>
      <c r="C1566">
        <v>17.805</v>
      </c>
      <c r="D1566" s="3">
        <v>17.809999999999999</v>
      </c>
      <c r="E1566" t="s">
        <v>1377</v>
      </c>
      <c r="F1566">
        <v>2489057</v>
      </c>
      <c r="G1566" s="1">
        <v>2.47E-2</v>
      </c>
      <c r="H1566" s="1">
        <v>4.4900000000000001E-3</v>
      </c>
    </row>
    <row r="1567" spans="1:8" x14ac:dyDescent="0.25">
      <c r="A1567" t="s">
        <v>1429</v>
      </c>
      <c r="B1567">
        <v>43</v>
      </c>
      <c r="C1567">
        <v>17.917999999999999</v>
      </c>
      <c r="D1567" s="3">
        <v>17.920000000000002</v>
      </c>
      <c r="E1567" t="s">
        <v>1378</v>
      </c>
      <c r="F1567">
        <v>1214906</v>
      </c>
      <c r="G1567" s="1">
        <v>1.21E-2</v>
      </c>
      <c r="H1567" s="1">
        <v>2.1900000000000001E-3</v>
      </c>
    </row>
    <row r="1568" spans="1:8" x14ac:dyDescent="0.25">
      <c r="A1568" t="s">
        <v>1429</v>
      </c>
      <c r="B1568">
        <v>44</v>
      </c>
      <c r="C1568">
        <v>18.056999999999999</v>
      </c>
      <c r="D1568" s="3">
        <v>18.059999999999999</v>
      </c>
      <c r="E1568" t="s">
        <v>1379</v>
      </c>
      <c r="F1568">
        <v>3500396</v>
      </c>
      <c r="G1568" s="1">
        <v>3.4799999999999998E-2</v>
      </c>
      <c r="H1568" s="1">
        <v>6.3200000000000001E-3</v>
      </c>
    </row>
    <row r="1569" spans="1:8" x14ac:dyDescent="0.25">
      <c r="A1569" t="s">
        <v>1429</v>
      </c>
      <c r="B1569">
        <v>45</v>
      </c>
      <c r="C1569">
        <v>18.306000000000001</v>
      </c>
      <c r="D1569" s="3">
        <v>18.309999999999999</v>
      </c>
      <c r="E1569" t="s">
        <v>1380</v>
      </c>
      <c r="F1569">
        <v>1741094</v>
      </c>
      <c r="G1569" s="1">
        <v>1.7299999999999999E-2</v>
      </c>
      <c r="H1569" s="1">
        <v>3.14E-3</v>
      </c>
    </row>
    <row r="1570" spans="1:8" x14ac:dyDescent="0.25">
      <c r="A1570" t="s">
        <v>1429</v>
      </c>
      <c r="B1570">
        <v>46</v>
      </c>
      <c r="C1570">
        <v>18.73</v>
      </c>
      <c r="D1570" s="3">
        <v>18.73</v>
      </c>
      <c r="E1570" t="s">
        <v>1381</v>
      </c>
      <c r="F1570">
        <v>2491976</v>
      </c>
      <c r="G1570" s="1">
        <v>2.4799999999999999E-2</v>
      </c>
      <c r="H1570" s="1">
        <v>4.4999999999999997E-3</v>
      </c>
    </row>
    <row r="1571" spans="1:8" x14ac:dyDescent="0.25">
      <c r="A1571" t="s">
        <v>1429</v>
      </c>
      <c r="B1571">
        <v>47</v>
      </c>
      <c r="C1571">
        <v>18.843</v>
      </c>
      <c r="D1571" s="3">
        <v>18.84</v>
      </c>
      <c r="E1571" t="s">
        <v>1382</v>
      </c>
      <c r="F1571">
        <v>5441907</v>
      </c>
      <c r="G1571" s="1">
        <v>5.4100000000000002E-2</v>
      </c>
      <c r="H1571" s="1">
        <v>9.8200000000000006E-3</v>
      </c>
    </row>
    <row r="1572" spans="1:8" x14ac:dyDescent="0.25">
      <c r="A1572" t="s">
        <v>1429</v>
      </c>
      <c r="B1572">
        <v>48</v>
      </c>
      <c r="C1572">
        <v>20.222000000000001</v>
      </c>
      <c r="D1572" s="3">
        <v>20.22</v>
      </c>
      <c r="E1572" t="s">
        <v>1383</v>
      </c>
      <c r="F1572">
        <v>5290247</v>
      </c>
      <c r="G1572" s="1">
        <v>5.2600000000000001E-2</v>
      </c>
      <c r="H1572" s="1">
        <v>9.5399999999999999E-3</v>
      </c>
    </row>
    <row r="1573" spans="1:8" x14ac:dyDescent="0.25">
      <c r="A1573" t="s">
        <v>1429</v>
      </c>
      <c r="B1573">
        <v>49</v>
      </c>
      <c r="C1573">
        <v>20.969000000000001</v>
      </c>
      <c r="D1573" s="3">
        <v>20.97</v>
      </c>
      <c r="E1573" t="s">
        <v>1384</v>
      </c>
      <c r="F1573">
        <v>1173773</v>
      </c>
      <c r="G1573" s="1">
        <v>1.17E-2</v>
      </c>
      <c r="H1573" s="1">
        <v>2.1199999999999999E-3</v>
      </c>
    </row>
    <row r="1574" spans="1:8" x14ac:dyDescent="0.25">
      <c r="A1574" t="s">
        <v>1429</v>
      </c>
      <c r="B1574">
        <v>50</v>
      </c>
      <c r="C1574">
        <v>21.4</v>
      </c>
      <c r="D1574" s="3">
        <v>21.4</v>
      </c>
      <c r="E1574" t="s">
        <v>1385</v>
      </c>
      <c r="F1574">
        <v>1409449</v>
      </c>
      <c r="G1574" s="1">
        <v>1.4E-2</v>
      </c>
      <c r="H1574" s="1">
        <v>2.5400000000000002E-3</v>
      </c>
    </row>
    <row r="1575" spans="1:8" x14ac:dyDescent="0.25">
      <c r="A1575" t="s">
        <v>1429</v>
      </c>
      <c r="B1575">
        <v>51</v>
      </c>
      <c r="C1575">
        <v>23.475000000000001</v>
      </c>
      <c r="D1575" s="3">
        <v>23.48</v>
      </c>
      <c r="E1575" t="s">
        <v>1386</v>
      </c>
      <c r="F1575">
        <v>1903399</v>
      </c>
      <c r="G1575" s="1">
        <v>1.89E-2</v>
      </c>
      <c r="H1575" s="1">
        <v>3.4299999999999999E-3</v>
      </c>
    </row>
    <row r="1576" spans="1:8" x14ac:dyDescent="0.25">
      <c r="A1576" t="s">
        <v>1429</v>
      </c>
      <c r="B1576">
        <v>52</v>
      </c>
      <c r="C1576">
        <v>24.353999999999999</v>
      </c>
      <c r="D1576" s="3">
        <v>24.35</v>
      </c>
      <c r="E1576" t="s">
        <v>1387</v>
      </c>
      <c r="F1576">
        <v>1085073</v>
      </c>
      <c r="G1576" s="1">
        <v>1.0800000000000001E-2</v>
      </c>
      <c r="H1576" s="1">
        <v>1.9599999999999999E-3</v>
      </c>
    </row>
    <row r="1577" spans="1:8" x14ac:dyDescent="0.25">
      <c r="A1577" t="s">
        <v>1429</v>
      </c>
      <c r="B1577">
        <v>53</v>
      </c>
      <c r="C1577">
        <v>27.507000000000001</v>
      </c>
      <c r="D1577" s="3">
        <v>27.51</v>
      </c>
      <c r="E1577" t="s">
        <v>1388</v>
      </c>
      <c r="F1577">
        <v>1242295</v>
      </c>
      <c r="G1577" s="1">
        <v>1.23E-2</v>
      </c>
      <c r="H1577" s="1">
        <v>2.2399999999999998E-3</v>
      </c>
    </row>
    <row r="1578" spans="1:8" x14ac:dyDescent="0.25">
      <c r="A1578" t="s">
        <v>1429</v>
      </c>
      <c r="B1578">
        <v>54</v>
      </c>
      <c r="C1578">
        <v>28.481999999999999</v>
      </c>
      <c r="D1578" s="3">
        <v>28.48</v>
      </c>
      <c r="E1578">
        <v>2477977</v>
      </c>
      <c r="F1578">
        <v>35450024</v>
      </c>
      <c r="G1578" s="1">
        <v>0.35220000000000001</v>
      </c>
      <c r="H1578" s="1">
        <v>6.3960000000000003E-2</v>
      </c>
    </row>
    <row r="1579" spans="1:8" x14ac:dyDescent="0.25">
      <c r="A1579" t="s">
        <v>1429</v>
      </c>
      <c r="B1579">
        <v>55</v>
      </c>
      <c r="C1579">
        <v>28.594000000000001</v>
      </c>
      <c r="D1579" s="3">
        <v>28.59</v>
      </c>
      <c r="E1579" t="s">
        <v>1389</v>
      </c>
      <c r="F1579">
        <v>2116246</v>
      </c>
      <c r="G1579" s="1">
        <v>2.1000000000000001E-2</v>
      </c>
      <c r="H1579" s="1">
        <v>3.82E-3</v>
      </c>
    </row>
    <row r="1580" spans="1:8" x14ac:dyDescent="0.25">
      <c r="A1580" t="s">
        <v>1429</v>
      </c>
      <c r="B1580">
        <v>56</v>
      </c>
      <c r="C1580">
        <v>28.645</v>
      </c>
      <c r="D1580" s="3">
        <v>28.65</v>
      </c>
      <c r="E1580" t="s">
        <v>1390</v>
      </c>
      <c r="F1580">
        <v>1435593</v>
      </c>
      <c r="G1580" s="1">
        <v>1.43E-2</v>
      </c>
      <c r="H1580" s="1">
        <v>2.5899999999999999E-3</v>
      </c>
    </row>
    <row r="1581" spans="1:8" x14ac:dyDescent="0.25">
      <c r="A1581" t="s">
        <v>1429</v>
      </c>
      <c r="B1581">
        <v>57</v>
      </c>
      <c r="C1581">
        <v>28.733000000000001</v>
      </c>
      <c r="D1581" s="3">
        <v>28.73</v>
      </c>
      <c r="E1581" t="s">
        <v>1391</v>
      </c>
      <c r="F1581">
        <v>5885225</v>
      </c>
      <c r="G1581" s="1">
        <v>5.8500000000000003E-2</v>
      </c>
      <c r="H1581" s="1">
        <v>1.0619999999999999E-2</v>
      </c>
    </row>
    <row r="1582" spans="1:8" x14ac:dyDescent="0.25">
      <c r="A1582" t="s">
        <v>1429</v>
      </c>
      <c r="B1582">
        <v>58</v>
      </c>
      <c r="C1582">
        <v>28.891999999999999</v>
      </c>
      <c r="D1582" s="3">
        <v>28.89</v>
      </c>
      <c r="E1582">
        <v>974724</v>
      </c>
      <c r="F1582">
        <v>13440083</v>
      </c>
      <c r="G1582" s="1">
        <v>0.13350000000000001</v>
      </c>
      <c r="H1582" s="1">
        <v>2.4250000000000001E-2</v>
      </c>
    </row>
    <row r="1583" spans="1:8" x14ac:dyDescent="0.25">
      <c r="A1583" t="s">
        <v>1429</v>
      </c>
      <c r="B1583">
        <v>59</v>
      </c>
      <c r="C1583">
        <v>29.048999999999999</v>
      </c>
      <c r="D1583" s="3">
        <v>29.05</v>
      </c>
      <c r="E1583">
        <v>8907097</v>
      </c>
      <c r="F1583">
        <v>100662253</v>
      </c>
      <c r="G1583" s="1">
        <v>0</v>
      </c>
      <c r="H1583" s="1">
        <v>0.18162</v>
      </c>
    </row>
    <row r="1584" spans="1:8" x14ac:dyDescent="0.25">
      <c r="A1584" t="s">
        <v>1429</v>
      </c>
      <c r="B1584">
        <v>60</v>
      </c>
      <c r="C1584">
        <v>29.155999999999999</v>
      </c>
      <c r="D1584" s="3">
        <v>29.16</v>
      </c>
      <c r="E1584" t="s">
        <v>1392</v>
      </c>
      <c r="F1584">
        <v>1452417</v>
      </c>
      <c r="G1584" s="1">
        <v>1.44E-2</v>
      </c>
      <c r="H1584" s="1">
        <v>2.6199999999999999E-3</v>
      </c>
    </row>
    <row r="1585" spans="1:8" x14ac:dyDescent="0.25">
      <c r="A1585" t="s">
        <v>1429</v>
      </c>
      <c r="B1585">
        <v>61</v>
      </c>
      <c r="C1585">
        <v>29.233000000000001</v>
      </c>
      <c r="D1585" s="3">
        <v>29.23</v>
      </c>
      <c r="E1585" t="s">
        <v>1393</v>
      </c>
      <c r="F1585">
        <v>3433406</v>
      </c>
      <c r="G1585" s="1">
        <v>3.4099999999999998E-2</v>
      </c>
      <c r="H1585" s="1">
        <v>6.1900000000000002E-3</v>
      </c>
    </row>
    <row r="1586" spans="1:8" x14ac:dyDescent="0.25">
      <c r="A1586" t="s">
        <v>1429</v>
      </c>
      <c r="B1586">
        <v>62</v>
      </c>
      <c r="C1586">
        <v>29.411999999999999</v>
      </c>
      <c r="D1586" s="3">
        <v>29.41</v>
      </c>
      <c r="E1586" t="s">
        <v>1394</v>
      </c>
      <c r="F1586">
        <v>1947017</v>
      </c>
      <c r="G1586" s="1">
        <v>1.9300000000000001E-2</v>
      </c>
      <c r="H1586" s="1">
        <v>3.5100000000000001E-3</v>
      </c>
    </row>
    <row r="1587" spans="1:8" x14ac:dyDescent="0.25">
      <c r="A1587" t="s">
        <v>1429</v>
      </c>
      <c r="B1587">
        <v>63</v>
      </c>
      <c r="C1587">
        <v>29.463000000000001</v>
      </c>
      <c r="D1587" s="3">
        <v>29.46</v>
      </c>
      <c r="E1587" t="s">
        <v>1395</v>
      </c>
      <c r="F1587">
        <v>2372656</v>
      </c>
      <c r="G1587" s="1">
        <v>2.3599999999999999E-2</v>
      </c>
      <c r="H1587" s="1">
        <v>4.28E-3</v>
      </c>
    </row>
    <row r="1588" spans="1:8" x14ac:dyDescent="0.25">
      <c r="A1588" t="s">
        <v>1429</v>
      </c>
      <c r="B1588">
        <v>64</v>
      </c>
      <c r="C1588">
        <v>29.533000000000001</v>
      </c>
      <c r="D1588" s="3">
        <v>29.53</v>
      </c>
      <c r="E1588" t="s">
        <v>1396</v>
      </c>
      <c r="F1588">
        <v>1016613</v>
      </c>
      <c r="G1588" s="1">
        <v>1.01E-2</v>
      </c>
      <c r="H1588" s="1">
        <v>1.83E-3</v>
      </c>
    </row>
    <row r="1589" spans="1:8" x14ac:dyDescent="0.25">
      <c r="A1589" t="s">
        <v>1429</v>
      </c>
      <c r="B1589">
        <v>65</v>
      </c>
      <c r="C1589">
        <v>29.614999999999998</v>
      </c>
      <c r="D1589" s="3">
        <v>29.62</v>
      </c>
      <c r="E1589" t="s">
        <v>1397</v>
      </c>
      <c r="F1589">
        <v>1042158</v>
      </c>
      <c r="G1589" s="1">
        <v>1.04E-2</v>
      </c>
      <c r="H1589" s="1">
        <v>1.8799999999999999E-3</v>
      </c>
    </row>
    <row r="1590" spans="1:8" x14ac:dyDescent="0.25">
      <c r="A1590" t="s">
        <v>1429</v>
      </c>
      <c r="B1590">
        <v>66</v>
      </c>
      <c r="C1590">
        <v>29.667999999999999</v>
      </c>
      <c r="D1590" s="3">
        <v>29.67</v>
      </c>
      <c r="E1590" t="s">
        <v>1398</v>
      </c>
      <c r="F1590">
        <v>1099343</v>
      </c>
      <c r="G1590" s="1">
        <v>1.09E-2</v>
      </c>
      <c r="H1590" s="1">
        <v>1.98E-3</v>
      </c>
    </row>
    <row r="1591" spans="1:8" x14ac:dyDescent="0.25">
      <c r="A1591" t="s">
        <v>1429</v>
      </c>
      <c r="B1591">
        <v>67</v>
      </c>
      <c r="C1591">
        <v>29.741</v>
      </c>
      <c r="D1591" s="3">
        <v>29.74</v>
      </c>
      <c r="E1591">
        <v>543047</v>
      </c>
      <c r="F1591">
        <v>7100192</v>
      </c>
      <c r="G1591" s="1">
        <v>7.0499999999999993E-2</v>
      </c>
      <c r="H1591" s="1">
        <v>1.281E-2</v>
      </c>
    </row>
    <row r="1592" spans="1:8" x14ac:dyDescent="0.25">
      <c r="A1592" t="s">
        <v>1429</v>
      </c>
      <c r="B1592">
        <v>68</v>
      </c>
      <c r="C1592">
        <v>29.818000000000001</v>
      </c>
      <c r="D1592" s="3">
        <v>29.82</v>
      </c>
      <c r="E1592" t="s">
        <v>1399</v>
      </c>
      <c r="F1592">
        <v>1160823</v>
      </c>
      <c r="G1592" s="1">
        <v>1.15E-2</v>
      </c>
      <c r="H1592" s="1">
        <v>2.0899999999999998E-3</v>
      </c>
    </row>
    <row r="1593" spans="1:8" x14ac:dyDescent="0.25">
      <c r="A1593" t="s">
        <v>1429</v>
      </c>
      <c r="B1593">
        <v>69</v>
      </c>
      <c r="C1593">
        <v>29.882999999999999</v>
      </c>
      <c r="D1593" s="3">
        <v>29.88</v>
      </c>
      <c r="E1593" t="s">
        <v>1400</v>
      </c>
      <c r="F1593">
        <v>7634415</v>
      </c>
      <c r="G1593" s="1">
        <v>7.5800000000000006E-2</v>
      </c>
      <c r="H1593" s="1">
        <v>1.3769999999999999E-2</v>
      </c>
    </row>
    <row r="1594" spans="1:8" x14ac:dyDescent="0.25">
      <c r="A1594" t="s">
        <v>1429</v>
      </c>
      <c r="B1594">
        <v>70</v>
      </c>
      <c r="C1594">
        <v>30.012</v>
      </c>
      <c r="D1594" s="3">
        <v>30.01</v>
      </c>
      <c r="E1594" t="s">
        <v>1401</v>
      </c>
      <c r="F1594">
        <v>1548642</v>
      </c>
      <c r="G1594" s="1">
        <v>1.54E-2</v>
      </c>
      <c r="H1594" s="1">
        <v>2.7899999999999999E-3</v>
      </c>
    </row>
    <row r="1595" spans="1:8" x14ac:dyDescent="0.25">
      <c r="A1595" t="s">
        <v>1429</v>
      </c>
      <c r="B1595">
        <v>71</v>
      </c>
      <c r="C1595">
        <v>31.256</v>
      </c>
      <c r="D1595" s="3">
        <v>31.26</v>
      </c>
      <c r="E1595" t="s">
        <v>1402</v>
      </c>
      <c r="F1595">
        <v>1252329</v>
      </c>
      <c r="G1595" s="1">
        <v>1.24E-2</v>
      </c>
      <c r="H1595" s="1">
        <v>2.2599999999999999E-3</v>
      </c>
    </row>
    <row r="1596" spans="1:8" x14ac:dyDescent="0.25">
      <c r="A1596" t="s">
        <v>1429</v>
      </c>
      <c r="B1596">
        <v>72</v>
      </c>
      <c r="C1596">
        <v>31.687999999999999</v>
      </c>
      <c r="D1596" s="3">
        <v>31.69</v>
      </c>
      <c r="E1596" t="s">
        <v>1403</v>
      </c>
      <c r="F1596">
        <v>7835323</v>
      </c>
      <c r="G1596" s="1">
        <v>7.7799999999999994E-2</v>
      </c>
      <c r="H1596" s="1">
        <v>1.414E-2</v>
      </c>
    </row>
    <row r="1597" spans="1:8" x14ac:dyDescent="0.25">
      <c r="A1597" t="s">
        <v>1429</v>
      </c>
      <c r="B1597">
        <v>73</v>
      </c>
      <c r="C1597">
        <v>31.798999999999999</v>
      </c>
      <c r="D1597" s="3">
        <v>31.8</v>
      </c>
      <c r="E1597" t="s">
        <v>1404</v>
      </c>
      <c r="F1597">
        <v>3018358</v>
      </c>
      <c r="G1597" s="1">
        <v>0.03</v>
      </c>
      <c r="H1597" s="1">
        <v>5.45E-3</v>
      </c>
    </row>
    <row r="1598" spans="1:8" x14ac:dyDescent="0.25">
      <c r="A1598" t="s">
        <v>1429</v>
      </c>
      <c r="B1598">
        <v>74</v>
      </c>
      <c r="C1598">
        <v>31.986999999999998</v>
      </c>
      <c r="D1598" s="3">
        <v>31.99</v>
      </c>
      <c r="E1598">
        <v>431544</v>
      </c>
      <c r="F1598">
        <v>9384532</v>
      </c>
      <c r="G1598" s="1">
        <v>9.3200000000000005E-2</v>
      </c>
      <c r="H1598" s="1">
        <v>1.6930000000000001E-2</v>
      </c>
    </row>
    <row r="1599" spans="1:8" x14ac:dyDescent="0.25">
      <c r="A1599" t="s">
        <v>1429</v>
      </c>
      <c r="B1599">
        <v>75</v>
      </c>
      <c r="C1599">
        <v>32.542000000000002</v>
      </c>
      <c r="D1599" s="3">
        <v>32.54</v>
      </c>
      <c r="E1599">
        <v>39976</v>
      </c>
      <c r="F1599">
        <v>1080662</v>
      </c>
      <c r="G1599" s="1">
        <v>1.0699999999999999E-2</v>
      </c>
      <c r="H1599" s="1">
        <v>1.9499999999999999E-3</v>
      </c>
    </row>
    <row r="1600" spans="1:8" x14ac:dyDescent="0.25">
      <c r="A1600" t="s">
        <v>1429</v>
      </c>
      <c r="B1600">
        <v>76</v>
      </c>
      <c r="C1600">
        <v>32.726999999999997</v>
      </c>
      <c r="D1600" s="3">
        <v>32.729999999999997</v>
      </c>
      <c r="E1600" t="s">
        <v>1405</v>
      </c>
      <c r="F1600">
        <v>34745818</v>
      </c>
      <c r="G1600" s="1">
        <v>0.34520000000000001</v>
      </c>
      <c r="H1600" s="1">
        <v>6.2689999999999996E-2</v>
      </c>
    </row>
    <row r="1601" spans="1:8" x14ac:dyDescent="0.25">
      <c r="A1601" t="s">
        <v>1429</v>
      </c>
      <c r="B1601">
        <v>77</v>
      </c>
      <c r="C1601">
        <v>33.097000000000001</v>
      </c>
      <c r="D1601" s="3">
        <v>33.1</v>
      </c>
      <c r="E1601">
        <v>1247667</v>
      </c>
      <c r="F1601">
        <v>35377665</v>
      </c>
      <c r="G1601" s="1">
        <v>0.35139999999999999</v>
      </c>
      <c r="H1601" s="1">
        <v>6.3829999999999998E-2</v>
      </c>
    </row>
    <row r="1602" spans="1:8" x14ac:dyDescent="0.25">
      <c r="A1602" t="s">
        <v>1429</v>
      </c>
      <c r="B1602">
        <v>78</v>
      </c>
      <c r="C1602">
        <v>33.356000000000002</v>
      </c>
      <c r="D1602" s="3">
        <v>33.36</v>
      </c>
      <c r="E1602">
        <v>48633</v>
      </c>
      <c r="F1602">
        <v>2127766</v>
      </c>
      <c r="G1602" s="1">
        <v>2.1100000000000001E-2</v>
      </c>
      <c r="H1602" s="1">
        <v>3.8400000000000001E-3</v>
      </c>
    </row>
    <row r="1603" spans="1:8" x14ac:dyDescent="0.25">
      <c r="A1603" t="s">
        <v>1429</v>
      </c>
      <c r="B1603">
        <v>79</v>
      </c>
      <c r="C1603">
        <v>33.685000000000002</v>
      </c>
      <c r="D1603" s="3">
        <v>33.69</v>
      </c>
      <c r="E1603">
        <v>49597</v>
      </c>
      <c r="F1603">
        <v>2091977</v>
      </c>
      <c r="G1603" s="1">
        <v>2.0799999999999999E-2</v>
      </c>
      <c r="H1603" s="1">
        <v>3.7699999999999999E-3</v>
      </c>
    </row>
    <row r="1604" spans="1:8" x14ac:dyDescent="0.25">
      <c r="D1604" s="3"/>
    </row>
    <row r="1605" spans="1:8" x14ac:dyDescent="0.25">
      <c r="D1605" s="3"/>
    </row>
    <row r="1606" spans="1:8" x14ac:dyDescent="0.25">
      <c r="D1606" s="3"/>
    </row>
    <row r="1607" spans="1:8" x14ac:dyDescent="0.25">
      <c r="D1607" s="3"/>
    </row>
    <row r="1608" spans="1:8" x14ac:dyDescent="0.25">
      <c r="D1608" s="3"/>
    </row>
    <row r="1609" spans="1:8" x14ac:dyDescent="0.25">
      <c r="D1609" s="3"/>
    </row>
    <row r="1610" spans="1:8" x14ac:dyDescent="0.25">
      <c r="D1610" s="3"/>
    </row>
    <row r="1611" spans="1:8" x14ac:dyDescent="0.25">
      <c r="D1611" s="3"/>
    </row>
    <row r="1612" spans="1:8" x14ac:dyDescent="0.25">
      <c r="D1612" s="3"/>
    </row>
    <row r="1613" spans="1:8" x14ac:dyDescent="0.25">
      <c r="D1613" s="3"/>
    </row>
    <row r="1614" spans="1:8" x14ac:dyDescent="0.25">
      <c r="D1614" s="3"/>
    </row>
    <row r="1615" spans="1:8" x14ac:dyDescent="0.25">
      <c r="D1615" s="3"/>
    </row>
    <row r="1616" spans="1:8" x14ac:dyDescent="0.25">
      <c r="D1616" s="3"/>
    </row>
    <row r="1617" spans="4:4" x14ac:dyDescent="0.25">
      <c r="D1617" s="3"/>
    </row>
    <row r="1618" spans="4:4" x14ac:dyDescent="0.25">
      <c r="D1618" s="3"/>
    </row>
    <row r="1619" spans="4:4" x14ac:dyDescent="0.25">
      <c r="D1619" s="3"/>
    </row>
    <row r="1620" spans="4:4" x14ac:dyDescent="0.25">
      <c r="D1620" s="3"/>
    </row>
    <row r="1621" spans="4:4" x14ac:dyDescent="0.25">
      <c r="D1621" s="3"/>
    </row>
    <row r="1622" spans="4:4" x14ac:dyDescent="0.25">
      <c r="D1622" s="3"/>
    </row>
    <row r="1623" spans="4:4" x14ac:dyDescent="0.25">
      <c r="D1623" s="3"/>
    </row>
    <row r="1624" spans="4:4" x14ac:dyDescent="0.25">
      <c r="D1624" s="3"/>
    </row>
    <row r="1625" spans="4:4" x14ac:dyDescent="0.25">
      <c r="D1625" s="3"/>
    </row>
    <row r="1626" spans="4:4" x14ac:dyDescent="0.25">
      <c r="D1626" s="3"/>
    </row>
    <row r="1627" spans="4:4" x14ac:dyDescent="0.25">
      <c r="D1627" s="3"/>
    </row>
    <row r="1628" spans="4:4" x14ac:dyDescent="0.25">
      <c r="D1628" s="3"/>
    </row>
    <row r="1629" spans="4:4" x14ac:dyDescent="0.25">
      <c r="D1629" s="3"/>
    </row>
    <row r="1630" spans="4:4" x14ac:dyDescent="0.25">
      <c r="D1630" s="3"/>
    </row>
    <row r="1631" spans="4:4" x14ac:dyDescent="0.25">
      <c r="D1631" s="3"/>
    </row>
    <row r="1632" spans="4:4" x14ac:dyDescent="0.25">
      <c r="D1632" s="3"/>
    </row>
    <row r="1633" spans="4:4" x14ac:dyDescent="0.25">
      <c r="D1633" s="3"/>
    </row>
    <row r="1634" spans="4:4" x14ac:dyDescent="0.25">
      <c r="D1634" s="3"/>
    </row>
    <row r="1635" spans="4:4" x14ac:dyDescent="0.25">
      <c r="D1635" s="3"/>
    </row>
    <row r="1636" spans="4:4" x14ac:dyDescent="0.25">
      <c r="D1636" s="3"/>
    </row>
    <row r="1637" spans="4:4" x14ac:dyDescent="0.25">
      <c r="D1637" s="3"/>
    </row>
    <row r="1638" spans="4:4" x14ac:dyDescent="0.25">
      <c r="D1638" s="3"/>
    </row>
    <row r="1639" spans="4:4" x14ac:dyDescent="0.25">
      <c r="D1639" s="3"/>
    </row>
    <row r="1640" spans="4:4" x14ac:dyDescent="0.25">
      <c r="D1640" s="3"/>
    </row>
    <row r="1641" spans="4:4" x14ac:dyDescent="0.25">
      <c r="D1641" s="3"/>
    </row>
    <row r="1642" spans="4:4" x14ac:dyDescent="0.25">
      <c r="D1642" s="3"/>
    </row>
    <row r="1643" spans="4:4" x14ac:dyDescent="0.25">
      <c r="D1643" s="3"/>
    </row>
    <row r="1644" spans="4:4" x14ac:dyDescent="0.25">
      <c r="D1644" s="3"/>
    </row>
    <row r="1645" spans="4:4" x14ac:dyDescent="0.25">
      <c r="D1645" s="3"/>
    </row>
    <row r="1646" spans="4:4" x14ac:dyDescent="0.25">
      <c r="D1646" s="3"/>
    </row>
    <row r="1647" spans="4:4" x14ac:dyDescent="0.25">
      <c r="D1647" s="3"/>
    </row>
    <row r="1648" spans="4:4" x14ac:dyDescent="0.25">
      <c r="D1648" s="3"/>
    </row>
    <row r="1649" spans="4:4" x14ac:dyDescent="0.25">
      <c r="D1649" s="3"/>
    </row>
    <row r="1650" spans="4:4" x14ac:dyDescent="0.25">
      <c r="D1650" s="3"/>
    </row>
    <row r="1651" spans="4:4" x14ac:dyDescent="0.25">
      <c r="D1651" s="3"/>
    </row>
    <row r="1652" spans="4:4" x14ac:dyDescent="0.25">
      <c r="D1652" s="3"/>
    </row>
    <row r="1653" spans="4:4" x14ac:dyDescent="0.25">
      <c r="D1653" s="3"/>
    </row>
    <row r="1654" spans="4:4" x14ac:dyDescent="0.25">
      <c r="D1654" s="3"/>
    </row>
    <row r="1655" spans="4:4" x14ac:dyDescent="0.25">
      <c r="D1655" s="3"/>
    </row>
    <row r="1656" spans="4:4" x14ac:dyDescent="0.25">
      <c r="D1656" s="3"/>
    </row>
    <row r="1657" spans="4:4" x14ac:dyDescent="0.25">
      <c r="D1657" s="3"/>
    </row>
    <row r="1658" spans="4:4" x14ac:dyDescent="0.25">
      <c r="D1658" s="3"/>
    </row>
    <row r="1659" spans="4:4" x14ac:dyDescent="0.25">
      <c r="D1659" s="3"/>
    </row>
    <row r="1660" spans="4:4" x14ac:dyDescent="0.25">
      <c r="D1660" s="3"/>
    </row>
    <row r="1661" spans="4:4" x14ac:dyDescent="0.25">
      <c r="D1661" s="3"/>
    </row>
    <row r="1662" spans="4:4" x14ac:dyDescent="0.25">
      <c r="D1662" s="3"/>
    </row>
    <row r="1663" spans="4:4" x14ac:dyDescent="0.25">
      <c r="D1663" s="3"/>
    </row>
    <row r="1664" spans="4:4" x14ac:dyDescent="0.25">
      <c r="D1664" s="3"/>
    </row>
    <row r="1665" spans="4:4" x14ac:dyDescent="0.25">
      <c r="D1665" s="3"/>
    </row>
    <row r="1666" spans="4:4" x14ac:dyDescent="0.25">
      <c r="D1666" s="3"/>
    </row>
    <row r="1667" spans="4:4" x14ac:dyDescent="0.25">
      <c r="D1667" s="3"/>
    </row>
    <row r="1668" spans="4:4" x14ac:dyDescent="0.25">
      <c r="D1668" s="3"/>
    </row>
    <row r="1669" spans="4:4" x14ac:dyDescent="0.25">
      <c r="D1669" s="3"/>
    </row>
    <row r="1670" spans="4:4" x14ac:dyDescent="0.25">
      <c r="D1670" s="3"/>
    </row>
    <row r="1671" spans="4:4" x14ac:dyDescent="0.25">
      <c r="D1671" s="3"/>
    </row>
    <row r="1672" spans="4:4" x14ac:dyDescent="0.25">
      <c r="D1672" s="3"/>
    </row>
    <row r="1673" spans="4:4" x14ac:dyDescent="0.25">
      <c r="D1673" s="3"/>
    </row>
    <row r="1674" spans="4:4" x14ac:dyDescent="0.25">
      <c r="D1674" s="3"/>
    </row>
    <row r="1675" spans="4:4" x14ac:dyDescent="0.25">
      <c r="D1675" s="3"/>
    </row>
    <row r="1676" spans="4:4" x14ac:dyDescent="0.25">
      <c r="D1676" s="3"/>
    </row>
    <row r="1677" spans="4:4" x14ac:dyDescent="0.25">
      <c r="D1677" s="3"/>
    </row>
    <row r="1678" spans="4:4" x14ac:dyDescent="0.25">
      <c r="D1678" s="3"/>
    </row>
    <row r="1679" spans="4:4" x14ac:dyDescent="0.25">
      <c r="D1679" s="3"/>
    </row>
    <row r="1680" spans="4:4" x14ac:dyDescent="0.25">
      <c r="D1680" s="3"/>
    </row>
    <row r="1681" spans="4:4" x14ac:dyDescent="0.25">
      <c r="D1681" s="3"/>
    </row>
    <row r="1682" spans="4:4" x14ac:dyDescent="0.25">
      <c r="D1682" s="3"/>
    </row>
    <row r="1683" spans="4:4" x14ac:dyDescent="0.25">
      <c r="D1683" s="3"/>
    </row>
    <row r="1684" spans="4:4" x14ac:dyDescent="0.25">
      <c r="D1684" s="3"/>
    </row>
    <row r="1685" spans="4:4" x14ac:dyDescent="0.25">
      <c r="D1685" s="3"/>
    </row>
    <row r="1686" spans="4:4" x14ac:dyDescent="0.25">
      <c r="D1686" s="3"/>
    </row>
    <row r="1687" spans="4:4" x14ac:dyDescent="0.25">
      <c r="D1687" s="3"/>
    </row>
    <row r="1688" spans="4:4" x14ac:dyDescent="0.25">
      <c r="D1688" s="3"/>
    </row>
    <row r="1689" spans="4:4" x14ac:dyDescent="0.25">
      <c r="D1689" s="3"/>
    </row>
    <row r="1690" spans="4:4" x14ac:dyDescent="0.25">
      <c r="D1690" s="3"/>
    </row>
    <row r="1691" spans="4:4" x14ac:dyDescent="0.25">
      <c r="D1691" s="3"/>
    </row>
    <row r="1692" spans="4:4" x14ac:dyDescent="0.25">
      <c r="D1692" s="3"/>
    </row>
    <row r="1693" spans="4:4" x14ac:dyDescent="0.25">
      <c r="D1693" s="3"/>
    </row>
    <row r="1694" spans="4:4" x14ac:dyDescent="0.25">
      <c r="D1694" s="3"/>
    </row>
    <row r="1695" spans="4:4" x14ac:dyDescent="0.25">
      <c r="D1695" s="3"/>
    </row>
    <row r="1696" spans="4:4" x14ac:dyDescent="0.25">
      <c r="D1696" s="3"/>
    </row>
    <row r="1697" spans="4:4" x14ac:dyDescent="0.25">
      <c r="D1697" s="3"/>
    </row>
    <row r="1698" spans="4:4" x14ac:dyDescent="0.25">
      <c r="D1698" s="3"/>
    </row>
    <row r="1699" spans="4:4" x14ac:dyDescent="0.25">
      <c r="D1699" s="3"/>
    </row>
    <row r="1700" spans="4:4" x14ac:dyDescent="0.25">
      <c r="D1700" s="3"/>
    </row>
    <row r="1701" spans="4:4" x14ac:dyDescent="0.25">
      <c r="D1701" s="3"/>
    </row>
    <row r="1702" spans="4:4" x14ac:dyDescent="0.25">
      <c r="D1702" s="3"/>
    </row>
    <row r="1703" spans="4:4" x14ac:dyDescent="0.25">
      <c r="D1703" s="3"/>
    </row>
    <row r="1704" spans="4:4" x14ac:dyDescent="0.25">
      <c r="D1704" s="3"/>
    </row>
    <row r="1705" spans="4:4" x14ac:dyDescent="0.25">
      <c r="D1705" s="3"/>
    </row>
    <row r="1706" spans="4:4" x14ac:dyDescent="0.25">
      <c r="D1706" s="3"/>
    </row>
    <row r="1707" spans="4:4" x14ac:dyDescent="0.25">
      <c r="D1707" s="3"/>
    </row>
    <row r="1708" spans="4:4" x14ac:dyDescent="0.25">
      <c r="D1708" s="3"/>
    </row>
    <row r="1709" spans="4:4" x14ac:dyDescent="0.25">
      <c r="D1709" s="3"/>
    </row>
    <row r="1710" spans="4:4" x14ac:dyDescent="0.25">
      <c r="D1710" s="3"/>
    </row>
    <row r="1711" spans="4:4" x14ac:dyDescent="0.25">
      <c r="D1711" s="3"/>
    </row>
    <row r="1712" spans="4:4" x14ac:dyDescent="0.25">
      <c r="D1712" s="3"/>
    </row>
    <row r="1713" spans="4:4" x14ac:dyDescent="0.25">
      <c r="D1713" s="3"/>
    </row>
    <row r="1714" spans="4:4" x14ac:dyDescent="0.25">
      <c r="D1714" s="3"/>
    </row>
    <row r="1715" spans="4:4" x14ac:dyDescent="0.25">
      <c r="D1715" s="3"/>
    </row>
    <row r="1716" spans="4:4" x14ac:dyDescent="0.25">
      <c r="D1716" s="3"/>
    </row>
    <row r="1717" spans="4:4" x14ac:dyDescent="0.25">
      <c r="D1717" s="3"/>
    </row>
    <row r="1718" spans="4:4" x14ac:dyDescent="0.25">
      <c r="D1718" s="3"/>
    </row>
    <row r="1719" spans="4:4" x14ac:dyDescent="0.25">
      <c r="D1719" s="3"/>
    </row>
    <row r="1720" spans="4:4" x14ac:dyDescent="0.25">
      <c r="D1720" s="3"/>
    </row>
    <row r="1721" spans="4:4" x14ac:dyDescent="0.25">
      <c r="D1721" s="3"/>
    </row>
    <row r="1722" spans="4:4" x14ac:dyDescent="0.25">
      <c r="D1722" s="3"/>
    </row>
    <row r="1723" spans="4:4" x14ac:dyDescent="0.25">
      <c r="D1723" s="3"/>
    </row>
    <row r="1724" spans="4:4" x14ac:dyDescent="0.25">
      <c r="D1724" s="3"/>
    </row>
    <row r="1725" spans="4:4" x14ac:dyDescent="0.25">
      <c r="D1725" s="3"/>
    </row>
    <row r="1726" spans="4:4" x14ac:dyDescent="0.25">
      <c r="D1726" s="3"/>
    </row>
    <row r="1727" spans="4:4" x14ac:dyDescent="0.25">
      <c r="D1727" s="3"/>
    </row>
    <row r="1728" spans="4:4" x14ac:dyDescent="0.25">
      <c r="D1728" s="3"/>
    </row>
    <row r="1729" spans="4:4" x14ac:dyDescent="0.25">
      <c r="D1729" s="3"/>
    </row>
    <row r="1730" spans="4:4" x14ac:dyDescent="0.25">
      <c r="D1730" s="3"/>
    </row>
    <row r="1731" spans="4:4" x14ac:dyDescent="0.25">
      <c r="D1731" s="3"/>
    </row>
    <row r="1732" spans="4:4" x14ac:dyDescent="0.25">
      <c r="D1732" s="3"/>
    </row>
    <row r="1733" spans="4:4" x14ac:dyDescent="0.25">
      <c r="D1733" s="3"/>
    </row>
    <row r="1734" spans="4:4" x14ac:dyDescent="0.25">
      <c r="D1734" s="3"/>
    </row>
    <row r="1735" spans="4:4" x14ac:dyDescent="0.25">
      <c r="D1735" s="3"/>
    </row>
    <row r="1736" spans="4:4" x14ac:dyDescent="0.25">
      <c r="D1736" s="3"/>
    </row>
    <row r="1737" spans="4:4" x14ac:dyDescent="0.25">
      <c r="D1737" s="3"/>
    </row>
    <row r="1738" spans="4:4" x14ac:dyDescent="0.25">
      <c r="D1738" s="3"/>
    </row>
    <row r="1739" spans="4:4" x14ac:dyDescent="0.25">
      <c r="D1739" s="3"/>
    </row>
    <row r="1740" spans="4:4" x14ac:dyDescent="0.25">
      <c r="D1740" s="3"/>
    </row>
    <row r="1741" spans="4:4" x14ac:dyDescent="0.25">
      <c r="D1741" s="3"/>
    </row>
    <row r="1742" spans="4:4" x14ac:dyDescent="0.25">
      <c r="D1742" s="3"/>
    </row>
    <row r="1743" spans="4:4" x14ac:dyDescent="0.25">
      <c r="D1743" s="3"/>
    </row>
    <row r="1744" spans="4:4" x14ac:dyDescent="0.25">
      <c r="D1744" s="3"/>
    </row>
    <row r="1745" spans="4:4" x14ac:dyDescent="0.25">
      <c r="D1745" s="3"/>
    </row>
    <row r="1746" spans="4:4" x14ac:dyDescent="0.25">
      <c r="D1746" s="3"/>
    </row>
    <row r="1747" spans="4:4" x14ac:dyDescent="0.25">
      <c r="D1747" s="3"/>
    </row>
    <row r="1748" spans="4:4" x14ac:dyDescent="0.25">
      <c r="D1748" s="3"/>
    </row>
    <row r="1749" spans="4:4" x14ac:dyDescent="0.25">
      <c r="D1749" s="3"/>
    </row>
    <row r="1750" spans="4:4" x14ac:dyDescent="0.25">
      <c r="D1750" s="3"/>
    </row>
    <row r="1751" spans="4:4" x14ac:dyDescent="0.25">
      <c r="D1751" s="3"/>
    </row>
    <row r="1752" spans="4:4" x14ac:dyDescent="0.25">
      <c r="D1752" s="3"/>
    </row>
    <row r="1753" spans="4:4" x14ac:dyDescent="0.25">
      <c r="D1753" s="3"/>
    </row>
    <row r="1754" spans="4:4" x14ac:dyDescent="0.25">
      <c r="D1754" s="3"/>
    </row>
    <row r="1755" spans="4:4" x14ac:dyDescent="0.25">
      <c r="D1755" s="3"/>
    </row>
    <row r="1756" spans="4:4" x14ac:dyDescent="0.25">
      <c r="D1756" s="3"/>
    </row>
    <row r="1757" spans="4:4" x14ac:dyDescent="0.25">
      <c r="D1757" s="3"/>
    </row>
    <row r="1758" spans="4:4" x14ac:dyDescent="0.25">
      <c r="D1758" s="3"/>
    </row>
    <row r="1759" spans="4:4" x14ac:dyDescent="0.25">
      <c r="D1759" s="3"/>
    </row>
    <row r="1760" spans="4:4" x14ac:dyDescent="0.25">
      <c r="D1760" s="3"/>
    </row>
    <row r="1761" spans="4:4" x14ac:dyDescent="0.25">
      <c r="D1761" s="3"/>
    </row>
    <row r="1762" spans="4:4" x14ac:dyDescent="0.25">
      <c r="D1762" s="3"/>
    </row>
    <row r="1763" spans="4:4" x14ac:dyDescent="0.25">
      <c r="D1763" s="3"/>
    </row>
    <row r="1764" spans="4:4" x14ac:dyDescent="0.25">
      <c r="D1764" s="3"/>
    </row>
    <row r="1765" spans="4:4" x14ac:dyDescent="0.25">
      <c r="D1765" s="3"/>
    </row>
    <row r="1766" spans="4:4" x14ac:dyDescent="0.25">
      <c r="D1766" s="3"/>
    </row>
    <row r="1767" spans="4:4" x14ac:dyDescent="0.25">
      <c r="D1767" s="3"/>
    </row>
    <row r="1768" spans="4:4" x14ac:dyDescent="0.25">
      <c r="D1768" s="3"/>
    </row>
    <row r="1769" spans="4:4" x14ac:dyDescent="0.25">
      <c r="D1769" s="3"/>
    </row>
    <row r="1770" spans="4:4" x14ac:dyDescent="0.25">
      <c r="D1770" s="3"/>
    </row>
    <row r="1771" spans="4:4" x14ac:dyDescent="0.25">
      <c r="D1771" s="3"/>
    </row>
    <row r="1772" spans="4:4" x14ac:dyDescent="0.25">
      <c r="D1772" s="3"/>
    </row>
    <row r="1773" spans="4:4" x14ac:dyDescent="0.25">
      <c r="D1773" s="3"/>
    </row>
    <row r="1774" spans="4:4" x14ac:dyDescent="0.25">
      <c r="D1774" s="3"/>
    </row>
    <row r="1775" spans="4:4" x14ac:dyDescent="0.25">
      <c r="D1775" s="3"/>
    </row>
    <row r="1776" spans="4:4" x14ac:dyDescent="0.25">
      <c r="D1776" s="3"/>
    </row>
    <row r="1777" spans="4:4" x14ac:dyDescent="0.25">
      <c r="D1777" s="3"/>
    </row>
    <row r="1778" spans="4:4" x14ac:dyDescent="0.25">
      <c r="D1778" s="3"/>
    </row>
    <row r="1779" spans="4:4" x14ac:dyDescent="0.25">
      <c r="D1779" s="3"/>
    </row>
    <row r="1780" spans="4:4" x14ac:dyDescent="0.25">
      <c r="D1780" s="3"/>
    </row>
    <row r="1781" spans="4:4" x14ac:dyDescent="0.25">
      <c r="D1781" s="3"/>
    </row>
    <row r="1782" spans="4:4" x14ac:dyDescent="0.25">
      <c r="D1782" s="3"/>
    </row>
    <row r="1783" spans="4:4" x14ac:dyDescent="0.25">
      <c r="D1783" s="3"/>
    </row>
    <row r="1784" spans="4:4" x14ac:dyDescent="0.25">
      <c r="D1784" s="3"/>
    </row>
    <row r="1785" spans="4:4" x14ac:dyDescent="0.25">
      <c r="D1785" s="3"/>
    </row>
    <row r="1786" spans="4:4" x14ac:dyDescent="0.25">
      <c r="D1786" s="3"/>
    </row>
    <row r="1787" spans="4:4" x14ac:dyDescent="0.25">
      <c r="D1787" s="3"/>
    </row>
    <row r="1788" spans="4:4" x14ac:dyDescent="0.25">
      <c r="D1788" s="3"/>
    </row>
    <row r="1789" spans="4:4" x14ac:dyDescent="0.25">
      <c r="D1789" s="3"/>
    </row>
    <row r="1790" spans="4:4" x14ac:dyDescent="0.25">
      <c r="D1790" s="3"/>
    </row>
    <row r="1791" spans="4:4" x14ac:dyDescent="0.25">
      <c r="D1791" s="3"/>
    </row>
    <row r="1792" spans="4:4" x14ac:dyDescent="0.25">
      <c r="D1792" s="3"/>
    </row>
    <row r="1793" spans="4:4" x14ac:dyDescent="0.25">
      <c r="D1793" s="3"/>
    </row>
    <row r="1794" spans="4:4" x14ac:dyDescent="0.25">
      <c r="D1794" s="3"/>
    </row>
    <row r="1795" spans="4:4" x14ac:dyDescent="0.25">
      <c r="D1795" s="3"/>
    </row>
    <row r="1796" spans="4:4" x14ac:dyDescent="0.25">
      <c r="D1796" s="3"/>
    </row>
    <row r="1797" spans="4:4" x14ac:dyDescent="0.25">
      <c r="D1797" s="3"/>
    </row>
    <row r="1798" spans="4:4" x14ac:dyDescent="0.25">
      <c r="D1798" s="3"/>
    </row>
    <row r="1799" spans="4:4" x14ac:dyDescent="0.25">
      <c r="D1799" s="3"/>
    </row>
    <row r="1800" spans="4:4" x14ac:dyDescent="0.25">
      <c r="D1800" s="3"/>
    </row>
    <row r="1801" spans="4:4" x14ac:dyDescent="0.25">
      <c r="D1801" s="3"/>
    </row>
    <row r="1802" spans="4:4" x14ac:dyDescent="0.25">
      <c r="D1802" s="3"/>
    </row>
    <row r="1803" spans="4:4" x14ac:dyDescent="0.25">
      <c r="D1803" s="3"/>
    </row>
    <row r="1804" spans="4:4" x14ac:dyDescent="0.25">
      <c r="D1804" s="3"/>
    </row>
    <row r="1805" spans="4:4" x14ac:dyDescent="0.25">
      <c r="D1805" s="3"/>
    </row>
    <row r="1806" spans="4:4" x14ac:dyDescent="0.25">
      <c r="D1806" s="3"/>
    </row>
    <row r="1807" spans="4:4" x14ac:dyDescent="0.25">
      <c r="D1807" s="3"/>
    </row>
    <row r="1808" spans="4:4" x14ac:dyDescent="0.25">
      <c r="D1808" s="3"/>
    </row>
    <row r="1809" spans="4:4" x14ac:dyDescent="0.25">
      <c r="D1809" s="3"/>
    </row>
    <row r="1810" spans="4:4" x14ac:dyDescent="0.25">
      <c r="D1810" s="3"/>
    </row>
    <row r="1811" spans="4:4" x14ac:dyDescent="0.25">
      <c r="D1811" s="3"/>
    </row>
    <row r="1812" spans="4:4" x14ac:dyDescent="0.25">
      <c r="D1812" s="3"/>
    </row>
    <row r="1813" spans="4:4" x14ac:dyDescent="0.25">
      <c r="D1813" s="3"/>
    </row>
    <row r="1814" spans="4:4" x14ac:dyDescent="0.25">
      <c r="D1814" s="3"/>
    </row>
    <row r="1815" spans="4:4" x14ac:dyDescent="0.25">
      <c r="D1815" s="3"/>
    </row>
    <row r="1816" spans="4:4" x14ac:dyDescent="0.25">
      <c r="D1816" s="3"/>
    </row>
    <row r="1817" spans="4:4" x14ac:dyDescent="0.25">
      <c r="D1817" s="3"/>
    </row>
    <row r="1818" spans="4:4" x14ac:dyDescent="0.25">
      <c r="D1818" s="3"/>
    </row>
    <row r="1819" spans="4:4" x14ac:dyDescent="0.25">
      <c r="D1819" s="3"/>
    </row>
    <row r="1820" spans="4:4" x14ac:dyDescent="0.25">
      <c r="D1820" s="3"/>
    </row>
    <row r="1821" spans="4:4" x14ac:dyDescent="0.25">
      <c r="D1821" s="3"/>
    </row>
    <row r="1822" spans="4:4" x14ac:dyDescent="0.25">
      <c r="D1822" s="3"/>
    </row>
    <row r="1823" spans="4:4" x14ac:dyDescent="0.25">
      <c r="D1823" s="3"/>
    </row>
    <row r="1824" spans="4:4" x14ac:dyDescent="0.25">
      <c r="D1824" s="3"/>
    </row>
    <row r="1825" spans="4:4" x14ac:dyDescent="0.25">
      <c r="D1825" s="3"/>
    </row>
    <row r="1826" spans="4:4" x14ac:dyDescent="0.25">
      <c r="D1826" s="3"/>
    </row>
    <row r="1827" spans="4:4" x14ac:dyDescent="0.25">
      <c r="D1827" s="3"/>
    </row>
    <row r="1828" spans="4:4" x14ac:dyDescent="0.25">
      <c r="D1828" s="3"/>
    </row>
    <row r="1829" spans="4:4" x14ac:dyDescent="0.25">
      <c r="D1829" s="3"/>
    </row>
    <row r="1830" spans="4:4" x14ac:dyDescent="0.25">
      <c r="D1830" s="3"/>
    </row>
    <row r="1831" spans="4:4" x14ac:dyDescent="0.25">
      <c r="D1831" s="3"/>
    </row>
    <row r="1832" spans="4:4" x14ac:dyDescent="0.25">
      <c r="D1832" s="3"/>
    </row>
    <row r="1833" spans="4:4" x14ac:dyDescent="0.25">
      <c r="D1833" s="3"/>
    </row>
    <row r="1834" spans="4:4" x14ac:dyDescent="0.25">
      <c r="D1834" s="3"/>
    </row>
    <row r="1835" spans="4:4" x14ac:dyDescent="0.25">
      <c r="D1835" s="3"/>
    </row>
    <row r="1836" spans="4:4" x14ac:dyDescent="0.25">
      <c r="D1836" s="3"/>
    </row>
    <row r="1837" spans="4:4" x14ac:dyDescent="0.25">
      <c r="D1837" s="3"/>
    </row>
    <row r="1838" spans="4:4" x14ac:dyDescent="0.25">
      <c r="D1838" s="3"/>
    </row>
    <row r="1839" spans="4:4" x14ac:dyDescent="0.25">
      <c r="D1839" s="3"/>
    </row>
    <row r="1840" spans="4:4" x14ac:dyDescent="0.25">
      <c r="D1840" s="3"/>
    </row>
    <row r="1841" spans="4:4" x14ac:dyDescent="0.25">
      <c r="D1841" s="3"/>
    </row>
    <row r="1842" spans="4:4" x14ac:dyDescent="0.25">
      <c r="D1842" s="3"/>
    </row>
    <row r="1843" spans="4:4" x14ac:dyDescent="0.25">
      <c r="D1843" s="3"/>
    </row>
    <row r="1844" spans="4:4" x14ac:dyDescent="0.25">
      <c r="D1844" s="3"/>
    </row>
    <row r="1845" spans="4:4" x14ac:dyDescent="0.25">
      <c r="D1845" s="3"/>
    </row>
    <row r="1846" spans="4:4" x14ac:dyDescent="0.25">
      <c r="D1846" s="3"/>
    </row>
    <row r="1847" spans="4:4" x14ac:dyDescent="0.25">
      <c r="D1847" s="3"/>
    </row>
    <row r="1848" spans="4:4" x14ac:dyDescent="0.25">
      <c r="D1848" s="3"/>
    </row>
    <row r="1849" spans="4:4" x14ac:dyDescent="0.25">
      <c r="D1849" s="3"/>
    </row>
    <row r="1850" spans="4:4" x14ac:dyDescent="0.25">
      <c r="D1850" s="3"/>
    </row>
    <row r="1851" spans="4:4" x14ac:dyDescent="0.25">
      <c r="D1851" s="3"/>
    </row>
    <row r="1852" spans="4:4" x14ac:dyDescent="0.25">
      <c r="D1852" s="3"/>
    </row>
    <row r="1853" spans="4:4" x14ac:dyDescent="0.25">
      <c r="D1853" s="3"/>
    </row>
    <row r="1854" spans="4:4" x14ac:dyDescent="0.25">
      <c r="D1854" s="3"/>
    </row>
    <row r="1855" spans="4:4" x14ac:dyDescent="0.25">
      <c r="D1855" s="3"/>
    </row>
    <row r="1856" spans="4:4" x14ac:dyDescent="0.25">
      <c r="D1856" s="3"/>
    </row>
    <row r="1857" spans="4:4" x14ac:dyDescent="0.25">
      <c r="D1857" s="3"/>
    </row>
    <row r="1858" spans="4:4" x14ac:dyDescent="0.25">
      <c r="D1858" s="3"/>
    </row>
    <row r="1859" spans="4:4" x14ac:dyDescent="0.25">
      <c r="D1859" s="3"/>
    </row>
    <row r="1860" spans="4:4" x14ac:dyDescent="0.25">
      <c r="D1860" s="3"/>
    </row>
    <row r="1861" spans="4:4" x14ac:dyDescent="0.25">
      <c r="D1861" s="3"/>
    </row>
    <row r="1862" spans="4:4" x14ac:dyDescent="0.25">
      <c r="D1862" s="3"/>
    </row>
    <row r="1863" spans="4:4" x14ac:dyDescent="0.25">
      <c r="D1863" s="3"/>
    </row>
    <row r="1864" spans="4:4" x14ac:dyDescent="0.25">
      <c r="D1864" s="3"/>
    </row>
    <row r="1865" spans="4:4" x14ac:dyDescent="0.25">
      <c r="D1865" s="3"/>
    </row>
    <row r="1866" spans="4:4" x14ac:dyDescent="0.25">
      <c r="D1866" s="3"/>
    </row>
    <row r="1867" spans="4:4" x14ac:dyDescent="0.25">
      <c r="D1867" s="3"/>
    </row>
    <row r="1868" spans="4:4" x14ac:dyDescent="0.25">
      <c r="D1868" s="3"/>
    </row>
    <row r="1869" spans="4:4" x14ac:dyDescent="0.25">
      <c r="D1869" s="3"/>
    </row>
    <row r="1870" spans="4:4" x14ac:dyDescent="0.25">
      <c r="D1870" s="3"/>
    </row>
    <row r="1871" spans="4:4" x14ac:dyDescent="0.25">
      <c r="D1871" s="3"/>
    </row>
    <row r="1872" spans="4:4" x14ac:dyDescent="0.25">
      <c r="D1872" s="3"/>
    </row>
    <row r="1873" spans="4:4" x14ac:dyDescent="0.25">
      <c r="D1873" s="3"/>
    </row>
    <row r="1874" spans="4:4" x14ac:dyDescent="0.25">
      <c r="D1874" s="3"/>
    </row>
    <row r="1875" spans="4:4" x14ac:dyDescent="0.25">
      <c r="D1875" s="3"/>
    </row>
    <row r="1876" spans="4:4" x14ac:dyDescent="0.25">
      <c r="D1876" s="3"/>
    </row>
    <row r="1877" spans="4:4" x14ac:dyDescent="0.25">
      <c r="D1877" s="3"/>
    </row>
    <row r="1878" spans="4:4" x14ac:dyDescent="0.25">
      <c r="D1878" s="3"/>
    </row>
    <row r="1879" spans="4:4" x14ac:dyDescent="0.25">
      <c r="D1879" s="3"/>
    </row>
    <row r="1880" spans="4:4" x14ac:dyDescent="0.25">
      <c r="D1880" s="3"/>
    </row>
    <row r="1881" spans="4:4" x14ac:dyDescent="0.25">
      <c r="D1881" s="3"/>
    </row>
    <row r="1882" spans="4:4" x14ac:dyDescent="0.25">
      <c r="D1882" s="3"/>
    </row>
    <row r="1883" spans="4:4" x14ac:dyDescent="0.25">
      <c r="D1883" s="3"/>
    </row>
    <row r="1884" spans="4:4" x14ac:dyDescent="0.25">
      <c r="D1884" s="3"/>
    </row>
    <row r="1885" spans="4:4" x14ac:dyDescent="0.25">
      <c r="D1885" s="3"/>
    </row>
    <row r="1886" spans="4:4" x14ac:dyDescent="0.25">
      <c r="D1886" s="3"/>
    </row>
    <row r="1887" spans="4:4" x14ac:dyDescent="0.25">
      <c r="D1887" s="3"/>
    </row>
    <row r="1888" spans="4:4" x14ac:dyDescent="0.25">
      <c r="D1888" s="3"/>
    </row>
    <row r="1889" spans="4:4" x14ac:dyDescent="0.25">
      <c r="D1889" s="3"/>
    </row>
    <row r="1890" spans="4:4" x14ac:dyDescent="0.25">
      <c r="D1890" s="3"/>
    </row>
    <row r="1891" spans="4:4" x14ac:dyDescent="0.25">
      <c r="D1891" s="3"/>
    </row>
    <row r="1892" spans="4:4" x14ac:dyDescent="0.25">
      <c r="D1892" s="3"/>
    </row>
    <row r="1893" spans="4:4" x14ac:dyDescent="0.25">
      <c r="D1893" s="3"/>
    </row>
    <row r="1894" spans="4:4" x14ac:dyDescent="0.25">
      <c r="D1894" s="3"/>
    </row>
    <row r="1895" spans="4:4" x14ac:dyDescent="0.25">
      <c r="D1895" s="3"/>
    </row>
    <row r="1896" spans="4:4" x14ac:dyDescent="0.25">
      <c r="D1896" s="3"/>
    </row>
    <row r="1897" spans="4:4" x14ac:dyDescent="0.25">
      <c r="D1897" s="3"/>
    </row>
    <row r="1898" spans="4:4" x14ac:dyDescent="0.25">
      <c r="D1898" s="3"/>
    </row>
    <row r="1899" spans="4:4" x14ac:dyDescent="0.25">
      <c r="D1899" s="3"/>
    </row>
    <row r="1900" spans="4:4" x14ac:dyDescent="0.25">
      <c r="D1900" s="3"/>
    </row>
    <row r="1901" spans="4:4" x14ac:dyDescent="0.25">
      <c r="D1901" s="3"/>
    </row>
    <row r="1902" spans="4:4" x14ac:dyDescent="0.25">
      <c r="D1902" s="3"/>
    </row>
    <row r="1903" spans="4:4" x14ac:dyDescent="0.25">
      <c r="D1903" s="3"/>
    </row>
    <row r="1904" spans="4:4" x14ac:dyDescent="0.25">
      <c r="D1904" s="3"/>
    </row>
    <row r="1905" spans="4:4" x14ac:dyDescent="0.25">
      <c r="D1905" s="3"/>
    </row>
    <row r="1906" spans="4:4" x14ac:dyDescent="0.25">
      <c r="D1906" s="3"/>
    </row>
    <row r="1907" spans="4:4" x14ac:dyDescent="0.25">
      <c r="D1907" s="3"/>
    </row>
    <row r="1908" spans="4:4" x14ac:dyDescent="0.25">
      <c r="D1908" s="3"/>
    </row>
    <row r="1909" spans="4:4" x14ac:dyDescent="0.25">
      <c r="D1909" s="3"/>
    </row>
    <row r="1910" spans="4:4" x14ac:dyDescent="0.25">
      <c r="D1910" s="3"/>
    </row>
    <row r="1911" spans="4:4" x14ac:dyDescent="0.25">
      <c r="D1911" s="3"/>
    </row>
    <row r="1912" spans="4:4" x14ac:dyDescent="0.25">
      <c r="D1912" s="3"/>
    </row>
    <row r="1913" spans="4:4" x14ac:dyDescent="0.25">
      <c r="D1913" s="3"/>
    </row>
    <row r="1914" spans="4:4" x14ac:dyDescent="0.25">
      <c r="D1914" s="3"/>
    </row>
    <row r="1915" spans="4:4" x14ac:dyDescent="0.25">
      <c r="D1915" s="3"/>
    </row>
    <row r="1916" spans="4:4" x14ac:dyDescent="0.25">
      <c r="D1916" s="3"/>
    </row>
    <row r="1917" spans="4:4" x14ac:dyDescent="0.25">
      <c r="D1917" s="3"/>
    </row>
    <row r="1918" spans="4:4" x14ac:dyDescent="0.25">
      <c r="D1918" s="3"/>
    </row>
    <row r="1919" spans="4:4" x14ac:dyDescent="0.25">
      <c r="D1919" s="3"/>
    </row>
    <row r="1920" spans="4:4" x14ac:dyDescent="0.25">
      <c r="D1920" s="3"/>
    </row>
    <row r="1921" spans="4:4" x14ac:dyDescent="0.25">
      <c r="D1921" s="3"/>
    </row>
    <row r="1922" spans="4:4" x14ac:dyDescent="0.25">
      <c r="D1922" s="3"/>
    </row>
    <row r="1923" spans="4:4" x14ac:dyDescent="0.25">
      <c r="D1923" s="3"/>
    </row>
    <row r="1924" spans="4:4" x14ac:dyDescent="0.25">
      <c r="D1924" s="3"/>
    </row>
    <row r="1925" spans="4:4" x14ac:dyDescent="0.25">
      <c r="D1925" s="3"/>
    </row>
    <row r="1926" spans="4:4" x14ac:dyDescent="0.25">
      <c r="D1926" s="3"/>
    </row>
    <row r="1927" spans="4:4" x14ac:dyDescent="0.25">
      <c r="D1927" s="3"/>
    </row>
    <row r="1928" spans="4:4" x14ac:dyDescent="0.25">
      <c r="D1928" s="3"/>
    </row>
    <row r="1929" spans="4:4" x14ac:dyDescent="0.25">
      <c r="D1929" s="3"/>
    </row>
    <row r="1930" spans="4:4" x14ac:dyDescent="0.25">
      <c r="D1930" s="3"/>
    </row>
    <row r="1931" spans="4:4" x14ac:dyDescent="0.25">
      <c r="D1931" s="3"/>
    </row>
    <row r="1932" spans="4:4" x14ac:dyDescent="0.25">
      <c r="D1932" s="3"/>
    </row>
    <row r="1933" spans="4:4" x14ac:dyDescent="0.25">
      <c r="D1933" s="3"/>
    </row>
    <row r="1934" spans="4:4" x14ac:dyDescent="0.25">
      <c r="D1934" s="3"/>
    </row>
    <row r="1935" spans="4:4" x14ac:dyDescent="0.25">
      <c r="D1935" s="3"/>
    </row>
    <row r="1936" spans="4:4" x14ac:dyDescent="0.25">
      <c r="D1936" s="3"/>
    </row>
    <row r="1937" spans="4:4" x14ac:dyDescent="0.25">
      <c r="D1937" s="3"/>
    </row>
    <row r="1938" spans="4:4" x14ac:dyDescent="0.25">
      <c r="D1938" s="3"/>
    </row>
    <row r="1939" spans="4:4" x14ac:dyDescent="0.25">
      <c r="D1939" s="3"/>
    </row>
    <row r="1940" spans="4:4" x14ac:dyDescent="0.25">
      <c r="D1940" s="3"/>
    </row>
    <row r="1941" spans="4:4" x14ac:dyDescent="0.25">
      <c r="D1941" s="3"/>
    </row>
    <row r="1942" spans="4:4" x14ac:dyDescent="0.25">
      <c r="D1942" s="3"/>
    </row>
    <row r="1943" spans="4:4" x14ac:dyDescent="0.25">
      <c r="D1943" s="3"/>
    </row>
    <row r="1944" spans="4:4" x14ac:dyDescent="0.25">
      <c r="D1944" s="3"/>
    </row>
    <row r="1945" spans="4:4" x14ac:dyDescent="0.25">
      <c r="D1945" s="3"/>
    </row>
    <row r="1946" spans="4:4" x14ac:dyDescent="0.25">
      <c r="D1946" s="3"/>
    </row>
    <row r="1947" spans="4:4" x14ac:dyDescent="0.25">
      <c r="D1947" s="3"/>
    </row>
    <row r="1948" spans="4:4" x14ac:dyDescent="0.25">
      <c r="D1948" s="3"/>
    </row>
    <row r="1949" spans="4:4" x14ac:dyDescent="0.25">
      <c r="D1949" s="3"/>
    </row>
    <row r="1950" spans="4:4" x14ac:dyDescent="0.25">
      <c r="D1950" s="3"/>
    </row>
    <row r="1951" spans="4:4" x14ac:dyDescent="0.25">
      <c r="D1951" s="3"/>
    </row>
    <row r="1952" spans="4:4" x14ac:dyDescent="0.25">
      <c r="D1952" s="3"/>
    </row>
    <row r="1953" spans="4:4" x14ac:dyDescent="0.25">
      <c r="D1953" s="3"/>
    </row>
    <row r="1954" spans="4:4" x14ac:dyDescent="0.25">
      <c r="D1954" s="3"/>
    </row>
    <row r="1955" spans="4:4" x14ac:dyDescent="0.25">
      <c r="D1955" s="3"/>
    </row>
    <row r="1956" spans="4:4" x14ac:dyDescent="0.25">
      <c r="D1956" s="3"/>
    </row>
    <row r="1957" spans="4:4" x14ac:dyDescent="0.25">
      <c r="D1957" s="3"/>
    </row>
    <row r="1958" spans="4:4" x14ac:dyDescent="0.25">
      <c r="D1958" s="3"/>
    </row>
    <row r="1959" spans="4:4" x14ac:dyDescent="0.25">
      <c r="D1959" s="3"/>
    </row>
    <row r="1960" spans="4:4" x14ac:dyDescent="0.25">
      <c r="D1960" s="3"/>
    </row>
    <row r="1961" spans="4:4" x14ac:dyDescent="0.25">
      <c r="D1961" s="3"/>
    </row>
    <row r="1962" spans="4:4" x14ac:dyDescent="0.25">
      <c r="D1962" s="3"/>
    </row>
    <row r="1963" spans="4:4" x14ac:dyDescent="0.25">
      <c r="D1963" s="3"/>
    </row>
    <row r="1964" spans="4:4" x14ac:dyDescent="0.25">
      <c r="D1964" s="3"/>
    </row>
    <row r="1965" spans="4:4" x14ac:dyDescent="0.25">
      <c r="D1965" s="3"/>
    </row>
    <row r="1966" spans="4:4" x14ac:dyDescent="0.25">
      <c r="D1966" s="3"/>
    </row>
    <row r="1967" spans="4:4" x14ac:dyDescent="0.25">
      <c r="D1967" s="3"/>
    </row>
    <row r="1968" spans="4:4" x14ac:dyDescent="0.25">
      <c r="D1968" s="3"/>
    </row>
    <row r="1969" spans="4:4" x14ac:dyDescent="0.25">
      <c r="D1969" s="3"/>
    </row>
    <row r="1970" spans="4:4" x14ac:dyDescent="0.25">
      <c r="D1970" s="3"/>
    </row>
    <row r="1971" spans="4:4" x14ac:dyDescent="0.25">
      <c r="D1971" s="3"/>
    </row>
    <row r="1972" spans="4:4" x14ac:dyDescent="0.25">
      <c r="D1972" s="3"/>
    </row>
    <row r="1973" spans="4:4" x14ac:dyDescent="0.25">
      <c r="D1973" s="3"/>
    </row>
    <row r="1974" spans="4:4" x14ac:dyDescent="0.25">
      <c r="D1974" s="3"/>
    </row>
    <row r="1975" spans="4:4" x14ac:dyDescent="0.25">
      <c r="D1975" s="3"/>
    </row>
    <row r="1976" spans="4:4" x14ac:dyDescent="0.25">
      <c r="D1976" s="3"/>
    </row>
    <row r="1977" spans="4:4" x14ac:dyDescent="0.25">
      <c r="D1977" s="3"/>
    </row>
    <row r="1978" spans="4:4" x14ac:dyDescent="0.25">
      <c r="D1978" s="3"/>
    </row>
    <row r="1979" spans="4:4" x14ac:dyDescent="0.25">
      <c r="D1979" s="3"/>
    </row>
    <row r="1980" spans="4:4" x14ac:dyDescent="0.25">
      <c r="D1980" s="3"/>
    </row>
    <row r="1981" spans="4:4" x14ac:dyDescent="0.25">
      <c r="D1981" s="3"/>
    </row>
    <row r="1982" spans="4:4" x14ac:dyDescent="0.25">
      <c r="D1982" s="3"/>
    </row>
    <row r="1983" spans="4:4" x14ac:dyDescent="0.25">
      <c r="D1983" s="3"/>
    </row>
    <row r="1984" spans="4:4" x14ac:dyDescent="0.25">
      <c r="D1984" s="3"/>
    </row>
    <row r="1985" spans="4:4" x14ac:dyDescent="0.25">
      <c r="D1985" s="3"/>
    </row>
    <row r="1986" spans="4:4" x14ac:dyDescent="0.25">
      <c r="D1986" s="3"/>
    </row>
    <row r="1987" spans="4:4" x14ac:dyDescent="0.25">
      <c r="D1987" s="3"/>
    </row>
    <row r="1988" spans="4:4" x14ac:dyDescent="0.25">
      <c r="D1988" s="3"/>
    </row>
    <row r="1989" spans="4:4" x14ac:dyDescent="0.25">
      <c r="D1989" s="3"/>
    </row>
    <row r="1990" spans="4:4" x14ac:dyDescent="0.25">
      <c r="D1990" s="3"/>
    </row>
    <row r="1991" spans="4:4" x14ac:dyDescent="0.25">
      <c r="D1991" s="3"/>
    </row>
    <row r="1992" spans="4:4" x14ac:dyDescent="0.25">
      <c r="D1992" s="3"/>
    </row>
    <row r="1993" spans="4:4" x14ac:dyDescent="0.25">
      <c r="D1993" s="3"/>
    </row>
    <row r="1994" spans="4:4" x14ac:dyDescent="0.25">
      <c r="D1994" s="3"/>
    </row>
    <row r="1995" spans="4:4" x14ac:dyDescent="0.25">
      <c r="D1995" s="3"/>
    </row>
    <row r="1996" spans="4:4" x14ac:dyDescent="0.25">
      <c r="D1996" s="3"/>
    </row>
    <row r="1997" spans="4:4" x14ac:dyDescent="0.25">
      <c r="D1997" s="3"/>
    </row>
    <row r="1998" spans="4:4" x14ac:dyDescent="0.25">
      <c r="D1998" s="3"/>
    </row>
    <row r="1999" spans="4:4" x14ac:dyDescent="0.25">
      <c r="D1999" s="3"/>
    </row>
    <row r="2000" spans="4:4" x14ac:dyDescent="0.25">
      <c r="D2000" s="3"/>
    </row>
    <row r="2001" spans="4:4" x14ac:dyDescent="0.25">
      <c r="D2001" s="3"/>
    </row>
    <row r="2002" spans="4:4" x14ac:dyDescent="0.25">
      <c r="D2002" s="3"/>
    </row>
    <row r="2003" spans="4:4" x14ac:dyDescent="0.25">
      <c r="D2003" s="3"/>
    </row>
    <row r="2004" spans="4:4" x14ac:dyDescent="0.25">
      <c r="D2004" s="3"/>
    </row>
    <row r="2005" spans="4:4" x14ac:dyDescent="0.25">
      <c r="D2005" s="3"/>
    </row>
    <row r="2006" spans="4:4" x14ac:dyDescent="0.25">
      <c r="D2006" s="3"/>
    </row>
    <row r="2007" spans="4:4" x14ac:dyDescent="0.25">
      <c r="D2007" s="3"/>
    </row>
    <row r="2008" spans="4:4" x14ac:dyDescent="0.25">
      <c r="D2008" s="3"/>
    </row>
    <row r="2009" spans="4:4" x14ac:dyDescent="0.25">
      <c r="D2009" s="3"/>
    </row>
    <row r="2010" spans="4:4" x14ac:dyDescent="0.25">
      <c r="D2010" s="3"/>
    </row>
    <row r="2011" spans="4:4" x14ac:dyDescent="0.25">
      <c r="D2011" s="3"/>
    </row>
    <row r="2012" spans="4:4" x14ac:dyDescent="0.25">
      <c r="D2012" s="3"/>
    </row>
    <row r="2013" spans="4:4" x14ac:dyDescent="0.25">
      <c r="D2013" s="3"/>
    </row>
    <row r="2014" spans="4:4" x14ac:dyDescent="0.25">
      <c r="D2014" s="3"/>
    </row>
    <row r="2015" spans="4:4" x14ac:dyDescent="0.25">
      <c r="D2015" s="3"/>
    </row>
    <row r="2016" spans="4:4" x14ac:dyDescent="0.25">
      <c r="D2016" s="3"/>
    </row>
    <row r="2017" spans="4:4" x14ac:dyDescent="0.25">
      <c r="D2017" s="3"/>
    </row>
    <row r="2018" spans="4:4" x14ac:dyDescent="0.25">
      <c r="D2018" s="3"/>
    </row>
    <row r="2019" spans="4:4" x14ac:dyDescent="0.25">
      <c r="D2019" s="3"/>
    </row>
    <row r="2020" spans="4:4" x14ac:dyDescent="0.25">
      <c r="D2020" s="3"/>
    </row>
    <row r="2021" spans="4:4" x14ac:dyDescent="0.25">
      <c r="D2021" s="3"/>
    </row>
    <row r="2022" spans="4:4" x14ac:dyDescent="0.25">
      <c r="D2022" s="3"/>
    </row>
    <row r="2023" spans="4:4" x14ac:dyDescent="0.25">
      <c r="D2023" s="3"/>
    </row>
    <row r="2024" spans="4:4" x14ac:dyDescent="0.25">
      <c r="D2024" s="3"/>
    </row>
    <row r="2025" spans="4:4" x14ac:dyDescent="0.25">
      <c r="D2025" s="3"/>
    </row>
    <row r="2026" spans="4:4" x14ac:dyDescent="0.25">
      <c r="D2026" s="3"/>
    </row>
    <row r="2027" spans="4:4" x14ac:dyDescent="0.25">
      <c r="D2027" s="3"/>
    </row>
    <row r="2028" spans="4:4" x14ac:dyDescent="0.25">
      <c r="D2028" s="3"/>
    </row>
    <row r="2029" spans="4:4" x14ac:dyDescent="0.25">
      <c r="D2029" s="3"/>
    </row>
    <row r="2030" spans="4:4" x14ac:dyDescent="0.25">
      <c r="D2030" s="3"/>
    </row>
    <row r="2031" spans="4:4" x14ac:dyDescent="0.25">
      <c r="D2031" s="3"/>
    </row>
    <row r="2032" spans="4:4" x14ac:dyDescent="0.25">
      <c r="D2032" s="3"/>
    </row>
    <row r="2033" spans="4:4" x14ac:dyDescent="0.25">
      <c r="D2033" s="3"/>
    </row>
    <row r="2034" spans="4:4" x14ac:dyDescent="0.25">
      <c r="D2034" s="3"/>
    </row>
    <row r="2035" spans="4:4" x14ac:dyDescent="0.25">
      <c r="D2035" s="3"/>
    </row>
    <row r="2036" spans="4:4" x14ac:dyDescent="0.25">
      <c r="D2036" s="3"/>
    </row>
    <row r="2037" spans="4:4" x14ac:dyDescent="0.25">
      <c r="D2037" s="3"/>
    </row>
    <row r="2038" spans="4:4" x14ac:dyDescent="0.25">
      <c r="D2038" s="3"/>
    </row>
    <row r="2039" spans="4:4" x14ac:dyDescent="0.25">
      <c r="D2039" s="3"/>
    </row>
    <row r="2040" spans="4:4" x14ac:dyDescent="0.25">
      <c r="D2040" s="3"/>
    </row>
    <row r="2041" spans="4:4" x14ac:dyDescent="0.25">
      <c r="D2041" s="3"/>
    </row>
    <row r="2042" spans="4:4" x14ac:dyDescent="0.25">
      <c r="D2042" s="3"/>
    </row>
    <row r="2043" spans="4:4" x14ac:dyDescent="0.25">
      <c r="D2043" s="3"/>
    </row>
    <row r="2044" spans="4:4" x14ac:dyDescent="0.25">
      <c r="D2044" s="3"/>
    </row>
    <row r="2045" spans="4:4" x14ac:dyDescent="0.25">
      <c r="D2045" s="3"/>
    </row>
    <row r="2046" spans="4:4" x14ac:dyDescent="0.25">
      <c r="D2046" s="3"/>
    </row>
    <row r="2047" spans="4:4" x14ac:dyDescent="0.25">
      <c r="D2047" s="3"/>
    </row>
    <row r="2048" spans="4:4" x14ac:dyDescent="0.25">
      <c r="D2048" s="3"/>
    </row>
    <row r="2049" spans="4:4" x14ac:dyDescent="0.25">
      <c r="D2049" s="3"/>
    </row>
    <row r="2050" spans="4:4" x14ac:dyDescent="0.25">
      <c r="D2050" s="3"/>
    </row>
    <row r="2051" spans="4:4" x14ac:dyDescent="0.25">
      <c r="D2051" s="3"/>
    </row>
    <row r="2052" spans="4:4" x14ac:dyDescent="0.25">
      <c r="D2052" s="3"/>
    </row>
    <row r="2053" spans="4:4" x14ac:dyDescent="0.25">
      <c r="D2053" s="3"/>
    </row>
    <row r="2054" spans="4:4" x14ac:dyDescent="0.25">
      <c r="D2054" s="3"/>
    </row>
    <row r="2055" spans="4:4" x14ac:dyDescent="0.25">
      <c r="D2055" s="3"/>
    </row>
    <row r="2056" spans="4:4" x14ac:dyDescent="0.25">
      <c r="D2056" s="3"/>
    </row>
    <row r="2057" spans="4:4" x14ac:dyDescent="0.25">
      <c r="D2057" s="3"/>
    </row>
    <row r="2058" spans="4:4" x14ac:dyDescent="0.25">
      <c r="D2058" s="3"/>
    </row>
    <row r="2059" spans="4:4" x14ac:dyDescent="0.25">
      <c r="D2059" s="3"/>
    </row>
    <row r="2060" spans="4:4" x14ac:dyDescent="0.25">
      <c r="D2060" s="3"/>
    </row>
    <row r="2061" spans="4:4" x14ac:dyDescent="0.25">
      <c r="D2061" s="3"/>
    </row>
    <row r="2062" spans="4:4" x14ac:dyDescent="0.25">
      <c r="D2062" s="3"/>
    </row>
    <row r="2063" spans="4:4" x14ac:dyDescent="0.25">
      <c r="D2063" s="3"/>
    </row>
    <row r="2064" spans="4:4" x14ac:dyDescent="0.25">
      <c r="D2064" s="3"/>
    </row>
    <row r="2065" spans="4:4" x14ac:dyDescent="0.25">
      <c r="D2065" s="3"/>
    </row>
    <row r="2066" spans="4:4" x14ac:dyDescent="0.25">
      <c r="D2066" s="3"/>
    </row>
    <row r="2067" spans="4:4" x14ac:dyDescent="0.25">
      <c r="D2067" s="3"/>
    </row>
    <row r="2068" spans="4:4" x14ac:dyDescent="0.25">
      <c r="D2068" s="3"/>
    </row>
    <row r="2069" spans="4:4" x14ac:dyDescent="0.25">
      <c r="D2069" s="3"/>
    </row>
    <row r="2070" spans="4:4" x14ac:dyDescent="0.25">
      <c r="D2070" s="3"/>
    </row>
    <row r="2071" spans="4:4" x14ac:dyDescent="0.25">
      <c r="D2071" s="3"/>
    </row>
    <row r="2072" spans="4:4" x14ac:dyDescent="0.25">
      <c r="D2072" s="3"/>
    </row>
    <row r="2073" spans="4:4" x14ac:dyDescent="0.25">
      <c r="D2073" s="3"/>
    </row>
    <row r="2074" spans="4:4" x14ac:dyDescent="0.25">
      <c r="D2074" s="3"/>
    </row>
    <row r="2075" spans="4:4" x14ac:dyDescent="0.25">
      <c r="D2075" s="3"/>
    </row>
    <row r="2076" spans="4:4" x14ac:dyDescent="0.25">
      <c r="D2076" s="3"/>
    </row>
    <row r="2077" spans="4:4" x14ac:dyDescent="0.25">
      <c r="D2077" s="3"/>
    </row>
    <row r="2078" spans="4:4" x14ac:dyDescent="0.25">
      <c r="D2078" s="3"/>
    </row>
    <row r="2079" spans="4:4" x14ac:dyDescent="0.25">
      <c r="D2079" s="3"/>
    </row>
    <row r="2080" spans="4:4" x14ac:dyDescent="0.25">
      <c r="D2080" s="3"/>
    </row>
    <row r="2081" spans="4:4" x14ac:dyDescent="0.25">
      <c r="D2081" s="3"/>
    </row>
    <row r="2082" spans="4:4" x14ac:dyDescent="0.25">
      <c r="D2082" s="3"/>
    </row>
    <row r="2083" spans="4:4" x14ac:dyDescent="0.25">
      <c r="D2083" s="3"/>
    </row>
    <row r="2084" spans="4:4" x14ac:dyDescent="0.25">
      <c r="D2084" s="3"/>
    </row>
    <row r="2085" spans="4:4" x14ac:dyDescent="0.25">
      <c r="D2085" s="3"/>
    </row>
    <row r="2086" spans="4:4" x14ac:dyDescent="0.25">
      <c r="D2086" s="3"/>
    </row>
    <row r="2087" spans="4:4" x14ac:dyDescent="0.25">
      <c r="D2087" s="3"/>
    </row>
    <row r="2088" spans="4:4" x14ac:dyDescent="0.25">
      <c r="D2088" s="3"/>
    </row>
    <row r="2089" spans="4:4" x14ac:dyDescent="0.25">
      <c r="D2089" s="3"/>
    </row>
  </sheetData>
  <autoFilter ref="A1:H160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O21"/>
  <sheetViews>
    <sheetView workbookViewId="0">
      <selection sqref="A1:TO21"/>
    </sheetView>
  </sheetViews>
  <sheetFormatPr defaultRowHeight="15" x14ac:dyDescent="0.25"/>
  <cols>
    <col min="343" max="345" width="9.140625" style="10"/>
  </cols>
  <sheetData>
    <row r="1" spans="1:535" x14ac:dyDescent="0.25">
      <c r="A1" s="6" t="s">
        <v>1431</v>
      </c>
      <c r="B1" s="6">
        <v>4.32</v>
      </c>
      <c r="C1" s="6">
        <v>4.49</v>
      </c>
      <c r="D1" s="6">
        <v>4.5</v>
      </c>
      <c r="E1" s="6">
        <v>4.53</v>
      </c>
      <c r="F1" s="6">
        <v>4.55</v>
      </c>
      <c r="G1" s="6">
        <v>4.71</v>
      </c>
      <c r="H1" s="6">
        <v>4.7300000000000004</v>
      </c>
      <c r="I1" s="6">
        <v>4.75</v>
      </c>
      <c r="J1" s="6">
        <v>4.8</v>
      </c>
      <c r="K1" s="6">
        <v>4.8099999999999996</v>
      </c>
      <c r="L1" s="6">
        <v>4.82</v>
      </c>
      <c r="M1" s="6">
        <v>4.84</v>
      </c>
      <c r="N1" s="6">
        <v>4.8499999999999996</v>
      </c>
      <c r="O1" s="6">
        <v>4.88</v>
      </c>
      <c r="P1" s="6">
        <v>4.8899999999999997</v>
      </c>
      <c r="Q1" s="6">
        <v>4.9000000000000004</v>
      </c>
      <c r="R1" s="6">
        <v>4.91</v>
      </c>
      <c r="S1" s="6">
        <v>4.9800000000000004</v>
      </c>
      <c r="T1" s="6">
        <v>4.99</v>
      </c>
      <c r="U1" s="6">
        <v>5.01</v>
      </c>
      <c r="V1" s="6">
        <v>5.1100000000000003</v>
      </c>
      <c r="W1" s="6">
        <v>5.12</v>
      </c>
      <c r="X1" s="6">
        <v>5.14</v>
      </c>
      <c r="Y1" s="6">
        <v>5.19</v>
      </c>
      <c r="Z1" s="6">
        <v>5.2</v>
      </c>
      <c r="AA1" s="6">
        <v>5.21</v>
      </c>
      <c r="AB1" s="6">
        <v>5.22</v>
      </c>
      <c r="AC1" s="6">
        <v>5.23</v>
      </c>
      <c r="AD1" s="6">
        <v>5.28</v>
      </c>
      <c r="AE1" s="6">
        <v>5.29</v>
      </c>
      <c r="AF1" s="6">
        <v>5.3</v>
      </c>
      <c r="AG1" s="6">
        <v>5.31</v>
      </c>
      <c r="AH1" s="6">
        <v>5.35</v>
      </c>
      <c r="AI1" s="6">
        <v>5.36</v>
      </c>
      <c r="AJ1" s="6">
        <v>5.38</v>
      </c>
      <c r="AK1" s="6">
        <v>5.39</v>
      </c>
      <c r="AL1" s="6">
        <v>5.4</v>
      </c>
      <c r="AM1" s="6">
        <v>5.48</v>
      </c>
      <c r="AN1" s="6">
        <v>5.51</v>
      </c>
      <c r="AO1" s="6">
        <v>5.52</v>
      </c>
      <c r="AP1" s="6">
        <v>5.54</v>
      </c>
      <c r="AQ1" s="6">
        <v>5.62</v>
      </c>
      <c r="AR1" s="6">
        <v>5.65</v>
      </c>
      <c r="AS1" s="6">
        <v>5.66</v>
      </c>
      <c r="AT1" s="6">
        <v>5.67</v>
      </c>
      <c r="AU1" s="6">
        <v>5.94</v>
      </c>
      <c r="AV1" s="6">
        <v>6.1</v>
      </c>
      <c r="AW1" s="6">
        <v>6.11</v>
      </c>
      <c r="AX1" s="6">
        <v>6.12</v>
      </c>
      <c r="AY1" s="6">
        <v>6.25</v>
      </c>
      <c r="AZ1" s="6">
        <v>6.26</v>
      </c>
      <c r="BA1" s="6">
        <v>6.27</v>
      </c>
      <c r="BB1" s="6">
        <v>6.33</v>
      </c>
      <c r="BC1" s="6">
        <v>6.34</v>
      </c>
      <c r="BD1" s="6">
        <v>6.35</v>
      </c>
      <c r="BE1" s="6">
        <v>6.36</v>
      </c>
      <c r="BF1" s="6">
        <v>6.49</v>
      </c>
      <c r="BG1" s="6">
        <v>6.5</v>
      </c>
      <c r="BH1" s="6">
        <v>6.51</v>
      </c>
      <c r="BI1" s="6">
        <v>7.02</v>
      </c>
      <c r="BJ1" s="6">
        <v>7.12</v>
      </c>
      <c r="BK1" s="6">
        <v>7.13</v>
      </c>
      <c r="BL1" s="6">
        <v>7.35</v>
      </c>
      <c r="BM1" s="6">
        <v>7.36</v>
      </c>
      <c r="BN1" s="6">
        <v>7.37</v>
      </c>
      <c r="BO1" s="6">
        <v>7.58</v>
      </c>
      <c r="BP1" s="6">
        <v>7.81</v>
      </c>
      <c r="BQ1" s="6">
        <v>8.1199999999999992</v>
      </c>
      <c r="BR1" s="6">
        <v>8.1999999999999993</v>
      </c>
      <c r="BS1" s="6">
        <v>8.2100000000000009</v>
      </c>
      <c r="BT1" s="6">
        <v>8.2200000000000006</v>
      </c>
      <c r="BU1" s="6">
        <v>8.23</v>
      </c>
      <c r="BV1" s="6">
        <v>8.24</v>
      </c>
      <c r="BW1" s="6">
        <v>8.26</v>
      </c>
      <c r="BX1" s="6">
        <v>8.27</v>
      </c>
      <c r="BY1" s="6">
        <v>8.2799999999999994</v>
      </c>
      <c r="BZ1" s="6">
        <v>8.2899999999999991</v>
      </c>
      <c r="CA1" s="6">
        <v>8.34</v>
      </c>
      <c r="CB1" s="6">
        <v>8.35</v>
      </c>
      <c r="CC1" s="6">
        <v>8.57</v>
      </c>
      <c r="CD1" s="6">
        <v>8.64</v>
      </c>
      <c r="CE1" s="6">
        <v>8.65</v>
      </c>
      <c r="CF1" s="6">
        <v>8.77</v>
      </c>
      <c r="CG1" s="6">
        <v>8.91</v>
      </c>
      <c r="CH1" s="6">
        <v>8.92</v>
      </c>
      <c r="CI1" s="6">
        <v>8.93</v>
      </c>
      <c r="CJ1" s="6">
        <v>8.94</v>
      </c>
      <c r="CK1" s="6">
        <v>8.9499999999999993</v>
      </c>
      <c r="CL1" s="6">
        <v>8.9600000000000009</v>
      </c>
      <c r="CM1" s="6">
        <v>8.9700000000000006</v>
      </c>
      <c r="CN1" s="6">
        <v>9</v>
      </c>
      <c r="CO1" s="6">
        <v>9.06</v>
      </c>
      <c r="CP1" s="6">
        <v>9.11</v>
      </c>
      <c r="CQ1" s="6">
        <v>9.18</v>
      </c>
      <c r="CR1" s="6">
        <v>9.19</v>
      </c>
      <c r="CS1" s="6">
        <v>9.1999999999999993</v>
      </c>
      <c r="CT1" s="6">
        <v>9.25</v>
      </c>
      <c r="CU1" s="6">
        <v>9.26</v>
      </c>
      <c r="CV1" s="6">
        <v>9.2799999999999994</v>
      </c>
      <c r="CW1" s="6">
        <v>9.31</v>
      </c>
      <c r="CX1" s="6">
        <v>9.35</v>
      </c>
      <c r="CY1" s="6">
        <v>9.36</v>
      </c>
      <c r="CZ1" s="6">
        <v>9.51</v>
      </c>
      <c r="DA1" s="6">
        <v>9.52</v>
      </c>
      <c r="DB1" s="6">
        <v>9.58</v>
      </c>
      <c r="DC1" s="6">
        <v>9.65</v>
      </c>
      <c r="DD1" s="6">
        <v>9.66</v>
      </c>
      <c r="DE1" s="6">
        <v>9.67</v>
      </c>
      <c r="DF1" s="6">
        <v>9.82</v>
      </c>
      <c r="DG1" s="6">
        <v>9.83</v>
      </c>
      <c r="DH1" s="6">
        <v>9.84</v>
      </c>
      <c r="DI1" s="6">
        <v>9.94</v>
      </c>
      <c r="DJ1" s="6">
        <v>10.039999999999999</v>
      </c>
      <c r="DK1" s="6">
        <v>10.050000000000001</v>
      </c>
      <c r="DL1" s="6">
        <v>10.199999999999999</v>
      </c>
      <c r="DM1" s="6">
        <v>10.28</v>
      </c>
      <c r="DN1" s="6">
        <v>10.29</v>
      </c>
      <c r="DO1" s="6">
        <v>10.3</v>
      </c>
      <c r="DP1" s="6">
        <v>10.4</v>
      </c>
      <c r="DQ1" s="6">
        <v>10.41</v>
      </c>
      <c r="DR1" s="6">
        <v>10.48</v>
      </c>
      <c r="DS1" s="6">
        <v>10.49</v>
      </c>
      <c r="DT1" s="6">
        <v>10.5</v>
      </c>
      <c r="DU1" s="6">
        <v>10.58</v>
      </c>
      <c r="DV1" s="6">
        <v>10.59</v>
      </c>
      <c r="DW1" s="6">
        <v>10.6</v>
      </c>
      <c r="DX1" s="6">
        <v>10.61</v>
      </c>
      <c r="DY1" s="6">
        <v>10.65</v>
      </c>
      <c r="DZ1" s="6">
        <v>10.75</v>
      </c>
      <c r="EA1" s="6">
        <v>10.76</v>
      </c>
      <c r="EB1" s="6">
        <v>10.77</v>
      </c>
      <c r="EC1" s="6">
        <v>10.84</v>
      </c>
      <c r="ED1" s="6">
        <v>10.91</v>
      </c>
      <c r="EE1" s="6">
        <v>10.95</v>
      </c>
      <c r="EF1" s="6">
        <v>11.02</v>
      </c>
      <c r="EG1" s="6">
        <v>11.06</v>
      </c>
      <c r="EH1" s="6">
        <v>11.09</v>
      </c>
      <c r="EI1" s="6">
        <v>11.1</v>
      </c>
      <c r="EJ1" s="6">
        <v>11.11</v>
      </c>
      <c r="EK1" s="6">
        <v>11.12</v>
      </c>
      <c r="EL1" s="6">
        <v>11.13</v>
      </c>
      <c r="EM1" s="6">
        <v>11.14</v>
      </c>
      <c r="EN1" s="6">
        <v>11.21</v>
      </c>
      <c r="EO1" s="6">
        <v>11.22</v>
      </c>
      <c r="EP1" s="6">
        <v>11.23</v>
      </c>
      <c r="EQ1" s="6">
        <v>11.26</v>
      </c>
      <c r="ER1" s="6">
        <v>11.27</v>
      </c>
      <c r="ES1" s="6">
        <v>11.29</v>
      </c>
      <c r="ET1" s="6">
        <v>11.38</v>
      </c>
      <c r="EU1" s="6">
        <v>11.41</v>
      </c>
      <c r="EV1" s="6">
        <v>11.42</v>
      </c>
      <c r="EW1" s="6">
        <v>11.46</v>
      </c>
      <c r="EX1" s="6">
        <v>11.54</v>
      </c>
      <c r="EY1" s="6">
        <v>11.55</v>
      </c>
      <c r="EZ1" s="6">
        <v>11.56</v>
      </c>
      <c r="FA1" s="6">
        <v>11.6</v>
      </c>
      <c r="FB1" s="6">
        <v>11.61</v>
      </c>
      <c r="FC1" s="6">
        <v>11.62</v>
      </c>
      <c r="FD1" s="6">
        <v>11.63</v>
      </c>
      <c r="FE1" s="6">
        <v>11.64</v>
      </c>
      <c r="FF1" s="6">
        <v>11.75</v>
      </c>
      <c r="FG1" s="6">
        <v>11.77</v>
      </c>
      <c r="FH1" s="6">
        <v>11.78</v>
      </c>
      <c r="FI1" s="6">
        <v>11.91</v>
      </c>
      <c r="FJ1" s="6">
        <v>11.92</v>
      </c>
      <c r="FK1" s="6">
        <v>11.96</v>
      </c>
      <c r="FL1" s="6">
        <v>11.97</v>
      </c>
      <c r="FM1" s="6">
        <v>12.01</v>
      </c>
      <c r="FN1" s="6">
        <v>12.02</v>
      </c>
      <c r="FO1" s="6">
        <v>12.12</v>
      </c>
      <c r="FP1" s="6">
        <v>12.13</v>
      </c>
      <c r="FQ1" s="6">
        <v>12.15</v>
      </c>
      <c r="FR1" s="6">
        <v>12.22</v>
      </c>
      <c r="FS1" s="6">
        <v>12.23</v>
      </c>
      <c r="FT1" s="6">
        <v>12.31</v>
      </c>
      <c r="FU1" s="6">
        <v>12.32</v>
      </c>
      <c r="FV1" s="6">
        <v>12.34</v>
      </c>
      <c r="FW1" s="6">
        <v>12.35</v>
      </c>
      <c r="FX1" s="6">
        <v>12.44</v>
      </c>
      <c r="FY1" s="6">
        <v>12.49</v>
      </c>
      <c r="FZ1" s="6">
        <v>12.5</v>
      </c>
      <c r="GA1" s="6">
        <v>12.52</v>
      </c>
      <c r="GB1" s="6">
        <v>12.54</v>
      </c>
      <c r="GC1" s="6">
        <v>12.55</v>
      </c>
      <c r="GD1" s="6">
        <v>12.56</v>
      </c>
      <c r="GE1" s="6">
        <v>12.58</v>
      </c>
      <c r="GF1" s="6">
        <v>12.59</v>
      </c>
      <c r="GG1" s="6">
        <v>12.62</v>
      </c>
      <c r="GH1" s="6">
        <v>12.63</v>
      </c>
      <c r="GI1" s="6">
        <v>12.64</v>
      </c>
      <c r="GJ1" s="6">
        <v>12.69</v>
      </c>
      <c r="GK1" s="6">
        <v>12.7</v>
      </c>
      <c r="GL1" s="6">
        <v>12.71</v>
      </c>
      <c r="GM1" s="6">
        <v>12.84</v>
      </c>
      <c r="GN1" s="6">
        <v>12.85</v>
      </c>
      <c r="GO1" s="6">
        <v>12.99</v>
      </c>
      <c r="GP1" s="6">
        <v>13</v>
      </c>
      <c r="GQ1" s="6">
        <v>13.03</v>
      </c>
      <c r="GR1" s="6">
        <v>13.14</v>
      </c>
      <c r="GS1" s="6">
        <v>13.16</v>
      </c>
      <c r="GT1" s="6">
        <v>13.22</v>
      </c>
      <c r="GU1" s="6">
        <v>13.23</v>
      </c>
      <c r="GV1" s="6">
        <v>13.25</v>
      </c>
      <c r="GW1" s="6">
        <v>13.32</v>
      </c>
      <c r="GX1" s="6">
        <v>13.33</v>
      </c>
      <c r="GY1" s="6">
        <v>13.4</v>
      </c>
      <c r="GZ1" s="6">
        <v>13.41</v>
      </c>
      <c r="HA1" s="6">
        <v>13.45</v>
      </c>
      <c r="HB1" s="6">
        <v>13.46</v>
      </c>
      <c r="HC1" s="6">
        <v>13.54</v>
      </c>
      <c r="HD1" s="6">
        <v>13.56</v>
      </c>
      <c r="HE1" s="6">
        <v>13.57</v>
      </c>
      <c r="HF1" s="6">
        <v>13.61</v>
      </c>
      <c r="HG1" s="6">
        <v>13.62</v>
      </c>
      <c r="HH1" s="6">
        <v>13.63</v>
      </c>
      <c r="HI1" s="6">
        <v>13.64</v>
      </c>
      <c r="HJ1" s="6">
        <v>13.69</v>
      </c>
      <c r="HK1" s="6">
        <v>13.7</v>
      </c>
      <c r="HL1" s="6">
        <v>13.84</v>
      </c>
      <c r="HM1" s="6">
        <v>13.85</v>
      </c>
      <c r="HN1" s="6">
        <v>13.93</v>
      </c>
      <c r="HO1" s="6">
        <v>14.01</v>
      </c>
      <c r="HP1" s="6">
        <v>14.08</v>
      </c>
      <c r="HQ1" s="6">
        <v>14.09</v>
      </c>
      <c r="HR1" s="6">
        <v>14.15</v>
      </c>
      <c r="HS1" s="6">
        <v>14.22</v>
      </c>
      <c r="HT1" s="6">
        <v>14.23</v>
      </c>
      <c r="HU1" s="6">
        <v>14.41</v>
      </c>
      <c r="HV1" s="6">
        <v>14.42</v>
      </c>
      <c r="HW1" s="6">
        <v>14.43</v>
      </c>
      <c r="HX1" s="6">
        <v>14.52</v>
      </c>
      <c r="HY1" s="6">
        <v>14.53</v>
      </c>
      <c r="HZ1" s="6">
        <v>14.54</v>
      </c>
      <c r="IA1" s="6">
        <v>14.58</v>
      </c>
      <c r="IB1" s="6">
        <v>14.59</v>
      </c>
      <c r="IC1" s="6">
        <v>14.6</v>
      </c>
      <c r="ID1" s="6">
        <v>14.62</v>
      </c>
      <c r="IE1" s="6">
        <v>14.69</v>
      </c>
      <c r="IF1" s="6">
        <v>14.72</v>
      </c>
      <c r="IG1" s="6">
        <v>14.82</v>
      </c>
      <c r="IH1" s="6">
        <v>14.83</v>
      </c>
      <c r="II1" s="6">
        <v>14.93</v>
      </c>
      <c r="IJ1" s="6">
        <v>15.03</v>
      </c>
      <c r="IK1" s="6">
        <v>15.04</v>
      </c>
      <c r="IL1" s="6">
        <v>15.05</v>
      </c>
      <c r="IM1" s="6">
        <v>15.12</v>
      </c>
      <c r="IN1" s="6">
        <v>15.14</v>
      </c>
      <c r="IO1" s="6">
        <v>15.2</v>
      </c>
      <c r="IP1" s="6">
        <v>15.27</v>
      </c>
      <c r="IQ1" s="6">
        <v>15.28</v>
      </c>
      <c r="IR1" s="6">
        <v>15.34</v>
      </c>
      <c r="IS1" s="6">
        <v>15.35</v>
      </c>
      <c r="IT1" s="6">
        <v>15.4</v>
      </c>
      <c r="IU1" s="6">
        <v>15.41</v>
      </c>
      <c r="IV1" s="6">
        <v>15.42</v>
      </c>
      <c r="IW1" s="6">
        <v>15.47</v>
      </c>
      <c r="IX1" s="6">
        <v>15.52</v>
      </c>
      <c r="IY1" s="6">
        <v>15.53</v>
      </c>
      <c r="IZ1" s="6">
        <v>15.54</v>
      </c>
      <c r="JA1" s="6">
        <v>15.55</v>
      </c>
      <c r="JB1" s="6">
        <v>15.57</v>
      </c>
      <c r="JC1" s="6">
        <v>15.58</v>
      </c>
      <c r="JD1" s="6">
        <v>15.6</v>
      </c>
      <c r="JE1" s="6">
        <v>15.64</v>
      </c>
      <c r="JF1" s="6">
        <v>15.71</v>
      </c>
      <c r="JG1" s="6">
        <v>15.72</v>
      </c>
      <c r="JH1" s="6">
        <v>15.87</v>
      </c>
      <c r="JI1" s="6">
        <v>15.88</v>
      </c>
      <c r="JJ1" s="6">
        <v>16.11</v>
      </c>
      <c r="JK1" s="6">
        <v>16.12</v>
      </c>
      <c r="JL1" s="6">
        <v>16.29</v>
      </c>
      <c r="JM1" s="6">
        <v>16.34</v>
      </c>
      <c r="JN1" s="6">
        <v>16.350000000000001</v>
      </c>
      <c r="JO1" s="6">
        <v>16.66</v>
      </c>
      <c r="JP1" s="6">
        <v>16.670000000000002</v>
      </c>
      <c r="JQ1" s="6">
        <v>16.760000000000002</v>
      </c>
      <c r="JR1" s="6">
        <v>16.77</v>
      </c>
      <c r="JS1" s="6">
        <v>16.940000000000001</v>
      </c>
      <c r="JT1" s="6">
        <v>16.97</v>
      </c>
      <c r="JU1" s="6">
        <v>16.98</v>
      </c>
      <c r="JV1" s="6">
        <v>16.989999999999998</v>
      </c>
      <c r="JW1" s="6">
        <v>17</v>
      </c>
      <c r="JX1" s="6">
        <v>17.010000000000002</v>
      </c>
      <c r="JY1" s="6">
        <v>17.02</v>
      </c>
      <c r="JZ1" s="6">
        <v>17.03</v>
      </c>
      <c r="KA1" s="6">
        <v>17.059999999999999</v>
      </c>
      <c r="KB1" s="6">
        <v>17.07</v>
      </c>
      <c r="KC1" s="6">
        <v>17.079999999999998</v>
      </c>
      <c r="KD1" s="6">
        <v>17.09</v>
      </c>
      <c r="KE1" s="6">
        <v>17.12</v>
      </c>
      <c r="KF1" s="6">
        <v>17.14</v>
      </c>
      <c r="KG1" s="6">
        <v>17.149999999999999</v>
      </c>
      <c r="KH1" s="6">
        <v>17.2</v>
      </c>
      <c r="KI1" s="6">
        <v>17.21</v>
      </c>
      <c r="KJ1" s="6">
        <v>17.28</v>
      </c>
      <c r="KK1" s="6">
        <v>17.29</v>
      </c>
      <c r="KL1" s="6">
        <v>17.36</v>
      </c>
      <c r="KM1" s="6">
        <v>17.37</v>
      </c>
      <c r="KN1" s="6">
        <v>17.38</v>
      </c>
      <c r="KO1" s="6">
        <v>17.45</v>
      </c>
      <c r="KP1" s="6">
        <v>17.46</v>
      </c>
      <c r="KQ1" s="6">
        <v>17.47</v>
      </c>
      <c r="KR1" s="6">
        <v>17.48</v>
      </c>
      <c r="KS1" s="6">
        <v>17.489999999999998</v>
      </c>
      <c r="KT1" s="6">
        <v>17.5</v>
      </c>
      <c r="KU1" s="6">
        <v>17.54</v>
      </c>
      <c r="KV1" s="6">
        <v>17.55</v>
      </c>
      <c r="KW1" s="6">
        <v>17.559999999999999</v>
      </c>
      <c r="KX1" s="6">
        <v>17.57</v>
      </c>
      <c r="KY1" s="6">
        <v>17.690000000000001</v>
      </c>
      <c r="KZ1" s="6">
        <v>17.7</v>
      </c>
      <c r="LA1" s="6">
        <v>17.71</v>
      </c>
      <c r="LB1" s="6">
        <v>17.72</v>
      </c>
      <c r="LC1" s="6">
        <v>17.73</v>
      </c>
      <c r="LD1" s="6">
        <v>17.77</v>
      </c>
      <c r="LE1" s="6">
        <v>17.8</v>
      </c>
      <c r="LF1" s="6">
        <v>17.809999999999999</v>
      </c>
      <c r="LG1" s="6">
        <v>17.91</v>
      </c>
      <c r="LH1" s="6">
        <v>17.920000000000002</v>
      </c>
      <c r="LI1" s="6">
        <v>17.93</v>
      </c>
      <c r="LJ1" s="6">
        <v>18</v>
      </c>
      <c r="LK1" s="6">
        <v>18.010000000000002</v>
      </c>
      <c r="LL1" s="6">
        <v>18.02</v>
      </c>
      <c r="LM1" s="6">
        <v>18.04</v>
      </c>
      <c r="LN1" s="6">
        <v>18.05</v>
      </c>
      <c r="LO1" s="6">
        <v>18.059999999999999</v>
      </c>
      <c r="LP1" s="6">
        <v>18.07</v>
      </c>
      <c r="LQ1" s="6">
        <v>18.14</v>
      </c>
      <c r="LR1" s="6">
        <v>18.3</v>
      </c>
      <c r="LS1" s="6">
        <v>18.309999999999999</v>
      </c>
      <c r="LT1" s="6">
        <v>18.38</v>
      </c>
      <c r="LU1" s="6">
        <v>18.41</v>
      </c>
      <c r="LV1" s="6">
        <v>18.43</v>
      </c>
      <c r="LW1" s="6">
        <v>18.440000000000001</v>
      </c>
      <c r="LX1" s="6">
        <v>18.45</v>
      </c>
      <c r="LY1" s="6">
        <v>18.46</v>
      </c>
      <c r="LZ1" s="6">
        <v>18.47</v>
      </c>
      <c r="MA1" s="6">
        <v>18.53</v>
      </c>
      <c r="MB1" s="6">
        <v>18.72</v>
      </c>
      <c r="MC1" s="6">
        <v>18.73</v>
      </c>
      <c r="MD1" s="6">
        <v>18.739999999999998</v>
      </c>
      <c r="ME1" s="8">
        <v>18.84</v>
      </c>
      <c r="MF1" s="8">
        <v>18.850000000000001</v>
      </c>
      <c r="MG1" s="8" t="s">
        <v>1435</v>
      </c>
      <c r="MH1" s="6">
        <v>18.91</v>
      </c>
      <c r="MI1" s="6">
        <v>19.21</v>
      </c>
      <c r="MJ1" s="6">
        <v>19.41</v>
      </c>
      <c r="MK1" s="6">
        <v>19.559999999999999</v>
      </c>
      <c r="ML1" s="6">
        <v>19.57</v>
      </c>
      <c r="MM1" s="6">
        <v>19.63</v>
      </c>
      <c r="MN1" s="6">
        <v>20.22</v>
      </c>
      <c r="MO1" s="6">
        <v>20.23</v>
      </c>
      <c r="MP1" s="6">
        <v>20.239999999999998</v>
      </c>
      <c r="MQ1" s="6">
        <v>20.57</v>
      </c>
      <c r="MR1" s="6">
        <v>20.62</v>
      </c>
      <c r="MS1" s="6">
        <v>20.65</v>
      </c>
      <c r="MT1" s="6">
        <v>20.66</v>
      </c>
      <c r="MU1" s="6">
        <v>20.88</v>
      </c>
      <c r="MV1" s="6">
        <v>20.89</v>
      </c>
      <c r="MW1" s="6">
        <v>20.96</v>
      </c>
      <c r="MX1" s="6">
        <v>20.97</v>
      </c>
      <c r="MY1" s="6">
        <v>21.17</v>
      </c>
      <c r="MZ1" s="6">
        <v>21.18</v>
      </c>
      <c r="NA1" s="6">
        <v>21.32</v>
      </c>
      <c r="NB1" s="6">
        <v>21.4</v>
      </c>
      <c r="NC1" s="6">
        <v>21.41</v>
      </c>
      <c r="ND1" s="6">
        <v>21.69</v>
      </c>
      <c r="NE1" s="6">
        <v>21.7</v>
      </c>
      <c r="NF1" s="6">
        <v>22.51</v>
      </c>
      <c r="NG1" s="6">
        <v>22.73</v>
      </c>
      <c r="NH1" s="6">
        <v>23.01</v>
      </c>
      <c r="NI1" s="6">
        <v>23.47</v>
      </c>
      <c r="NJ1" s="6">
        <v>23.48</v>
      </c>
      <c r="NK1" s="6">
        <v>23.66</v>
      </c>
      <c r="NL1" s="6">
        <v>23.67</v>
      </c>
      <c r="NM1" s="6">
        <v>23.77</v>
      </c>
      <c r="NN1" s="6">
        <v>23.85</v>
      </c>
      <c r="NO1" s="6">
        <v>23.92</v>
      </c>
      <c r="NP1" s="6">
        <v>23.93</v>
      </c>
      <c r="NQ1" s="6">
        <v>24.04</v>
      </c>
      <c r="NR1" s="6">
        <v>24.26</v>
      </c>
      <c r="NS1" s="6">
        <v>24.35</v>
      </c>
      <c r="NT1" s="6">
        <v>24.36</v>
      </c>
      <c r="NU1" s="6">
        <v>25.37</v>
      </c>
      <c r="NV1" s="6">
        <v>25.38</v>
      </c>
      <c r="NW1" s="6">
        <v>25.45</v>
      </c>
      <c r="NX1" s="6">
        <v>25.67</v>
      </c>
      <c r="NY1" s="6">
        <v>25.76</v>
      </c>
      <c r="NZ1" s="6">
        <v>25.85</v>
      </c>
      <c r="OA1" s="6">
        <v>25.91</v>
      </c>
      <c r="OB1" s="6">
        <v>25.92</v>
      </c>
      <c r="OC1" s="6">
        <v>26.01</v>
      </c>
      <c r="OD1" s="6">
        <v>26.02</v>
      </c>
      <c r="OE1" s="6">
        <v>26.12</v>
      </c>
      <c r="OF1" s="6">
        <v>26.28</v>
      </c>
      <c r="OG1" s="6">
        <v>26.29</v>
      </c>
      <c r="OH1" s="6">
        <v>26.52</v>
      </c>
      <c r="OI1" s="6">
        <v>26.56</v>
      </c>
      <c r="OJ1" s="6">
        <v>27.12</v>
      </c>
      <c r="OK1" s="6">
        <v>27.25</v>
      </c>
      <c r="OL1" s="6">
        <v>27.43</v>
      </c>
      <c r="OM1" s="6">
        <v>27.51</v>
      </c>
      <c r="ON1" s="6">
        <v>27.66</v>
      </c>
      <c r="OO1" s="6">
        <v>27.67</v>
      </c>
      <c r="OP1" s="6">
        <v>27.97</v>
      </c>
      <c r="OQ1" s="6">
        <v>28.18</v>
      </c>
      <c r="OR1" s="6">
        <v>28.48</v>
      </c>
      <c r="OS1" s="6">
        <v>28.49</v>
      </c>
      <c r="OT1" s="6">
        <v>28.53</v>
      </c>
      <c r="OU1" s="6">
        <v>28.55</v>
      </c>
      <c r="OV1" s="6">
        <v>28.59</v>
      </c>
      <c r="OW1" s="6">
        <v>28.6</v>
      </c>
      <c r="OX1" s="6">
        <v>28.62</v>
      </c>
      <c r="OY1" s="6">
        <v>28.64</v>
      </c>
      <c r="OZ1" s="6">
        <v>28.65</v>
      </c>
      <c r="PA1" s="6">
        <v>28.73</v>
      </c>
      <c r="PB1" s="6">
        <v>28.89</v>
      </c>
      <c r="PC1" s="6">
        <v>28.95</v>
      </c>
      <c r="PD1" s="6">
        <v>29.05</v>
      </c>
      <c r="PE1" s="6">
        <v>29.16</v>
      </c>
      <c r="PF1" s="6">
        <v>29.19</v>
      </c>
      <c r="PG1" s="6">
        <v>29.21</v>
      </c>
      <c r="PH1" s="6">
        <v>29.23</v>
      </c>
      <c r="PI1" s="6">
        <v>29.28</v>
      </c>
      <c r="PJ1" s="6">
        <v>29.29</v>
      </c>
      <c r="PK1" s="6">
        <v>29.31</v>
      </c>
      <c r="PL1" s="6">
        <v>29.41</v>
      </c>
      <c r="PM1" s="6">
        <v>29.42</v>
      </c>
      <c r="PN1" s="6">
        <v>29.43</v>
      </c>
      <c r="PO1" s="6">
        <v>29.46</v>
      </c>
      <c r="PP1" s="6">
        <v>29.47</v>
      </c>
      <c r="PQ1" s="6">
        <v>29.53</v>
      </c>
      <c r="PR1" s="6">
        <v>29.54</v>
      </c>
      <c r="PS1" s="6">
        <v>29.62</v>
      </c>
      <c r="PT1" s="6">
        <v>29.67</v>
      </c>
      <c r="PU1" s="6">
        <v>29.68</v>
      </c>
      <c r="PV1" s="6">
        <v>29.74</v>
      </c>
      <c r="PW1" s="6">
        <v>29.75</v>
      </c>
      <c r="PX1" s="6">
        <v>29.82</v>
      </c>
      <c r="PY1" s="6">
        <v>29.83</v>
      </c>
      <c r="PZ1" s="6">
        <v>29.84</v>
      </c>
      <c r="QA1" s="6">
        <v>29.87</v>
      </c>
      <c r="QB1" s="6">
        <v>29.88</v>
      </c>
      <c r="QC1" s="6">
        <v>29.89</v>
      </c>
      <c r="QD1" s="6">
        <v>29.9</v>
      </c>
      <c r="QE1" s="6">
        <v>29.91</v>
      </c>
      <c r="QF1" s="6">
        <v>29.92</v>
      </c>
      <c r="QG1" s="6">
        <v>29.93</v>
      </c>
      <c r="QH1" s="6">
        <v>29.94</v>
      </c>
      <c r="QI1" s="6">
        <v>29.98</v>
      </c>
      <c r="QJ1" s="6">
        <v>30.01</v>
      </c>
      <c r="QK1" s="6">
        <v>30.02</v>
      </c>
      <c r="QL1" s="6">
        <v>30.11</v>
      </c>
      <c r="QM1" s="6">
        <v>30.17</v>
      </c>
      <c r="QN1" s="6">
        <v>30.18</v>
      </c>
      <c r="QO1" s="6">
        <v>30.23</v>
      </c>
      <c r="QP1" s="6">
        <v>30.24</v>
      </c>
      <c r="QQ1" s="6">
        <v>30.25</v>
      </c>
      <c r="QR1" s="6">
        <v>30.26</v>
      </c>
      <c r="QS1" s="6">
        <v>30.45</v>
      </c>
      <c r="QT1" s="6">
        <v>30.46</v>
      </c>
      <c r="QU1" s="6">
        <v>30.47</v>
      </c>
      <c r="QV1" s="6">
        <v>30.81</v>
      </c>
      <c r="QW1" s="6">
        <v>30.82</v>
      </c>
      <c r="QX1" s="6">
        <v>30.96</v>
      </c>
      <c r="QY1" s="6">
        <v>30.97</v>
      </c>
      <c r="QZ1" s="6">
        <v>31.01</v>
      </c>
      <c r="RA1" s="6">
        <v>31.02</v>
      </c>
      <c r="RB1" s="6">
        <v>31.12</v>
      </c>
      <c r="RC1" s="6">
        <v>31.13</v>
      </c>
      <c r="RD1" s="6">
        <v>31.15</v>
      </c>
      <c r="RE1" s="6">
        <v>31.26</v>
      </c>
      <c r="RF1" s="6">
        <v>31.27</v>
      </c>
      <c r="RG1" s="6">
        <v>31.29</v>
      </c>
      <c r="RH1" s="6">
        <v>31.3</v>
      </c>
      <c r="RI1" s="6">
        <v>31.31</v>
      </c>
      <c r="RJ1" s="6">
        <v>31.33</v>
      </c>
      <c r="RK1" s="6">
        <v>31.36</v>
      </c>
      <c r="RL1" s="6">
        <v>31.37</v>
      </c>
      <c r="RM1" s="6">
        <v>31.4</v>
      </c>
      <c r="RN1" s="6">
        <v>31.43</v>
      </c>
      <c r="RO1" s="6">
        <v>31.48</v>
      </c>
      <c r="RP1" s="6">
        <v>31.5</v>
      </c>
      <c r="RQ1" s="6">
        <v>31.51</v>
      </c>
      <c r="RR1" s="6">
        <v>31.52</v>
      </c>
      <c r="RS1" s="6">
        <v>31.54</v>
      </c>
      <c r="RT1" s="6">
        <v>31.55</v>
      </c>
      <c r="RU1" s="6">
        <v>31.59</v>
      </c>
      <c r="RV1" s="6">
        <v>31.6</v>
      </c>
      <c r="RW1" s="6">
        <v>31.67</v>
      </c>
      <c r="RX1" s="6">
        <v>31.69</v>
      </c>
      <c r="RY1" s="6">
        <v>31.7</v>
      </c>
      <c r="RZ1" s="6">
        <v>31.72</v>
      </c>
      <c r="SA1" s="6">
        <v>31.73</v>
      </c>
      <c r="SB1" s="6">
        <v>31.74</v>
      </c>
      <c r="SC1" s="6">
        <v>31.76</v>
      </c>
      <c r="SD1" s="6">
        <v>31.77</v>
      </c>
      <c r="SE1" s="6">
        <v>31.78</v>
      </c>
      <c r="SF1" s="6">
        <v>31.8</v>
      </c>
      <c r="SG1" s="6">
        <v>31.81</v>
      </c>
      <c r="SH1" s="6">
        <v>31.82</v>
      </c>
      <c r="SI1" s="6">
        <v>31.83</v>
      </c>
      <c r="SJ1" s="6">
        <v>31.84</v>
      </c>
      <c r="SK1" s="6">
        <v>31.85</v>
      </c>
      <c r="SL1" s="6">
        <v>31.99</v>
      </c>
      <c r="SM1" s="6">
        <v>32.08</v>
      </c>
      <c r="SN1" s="6">
        <v>32.17</v>
      </c>
      <c r="SO1" s="6">
        <v>32.21</v>
      </c>
      <c r="SP1" s="6">
        <v>32.24</v>
      </c>
      <c r="SQ1" s="6">
        <v>32.25</v>
      </c>
      <c r="SR1" s="6">
        <v>32.28</v>
      </c>
      <c r="SS1" s="6">
        <v>32.35</v>
      </c>
      <c r="ST1" s="6">
        <v>32.36</v>
      </c>
      <c r="SU1" s="6">
        <v>32.54</v>
      </c>
      <c r="SV1" s="6">
        <v>32.549999999999997</v>
      </c>
      <c r="SW1" s="6">
        <v>32.6</v>
      </c>
      <c r="SX1" s="6">
        <v>32.729999999999997</v>
      </c>
      <c r="SY1" s="6">
        <v>32.74</v>
      </c>
      <c r="SZ1" s="6">
        <v>32.83</v>
      </c>
      <c r="TA1" s="6">
        <v>32.89</v>
      </c>
      <c r="TB1" s="6">
        <v>33.1</v>
      </c>
      <c r="TC1" s="6">
        <v>33.11</v>
      </c>
      <c r="TD1" s="6">
        <v>33.229999999999997</v>
      </c>
      <c r="TE1" s="6">
        <v>33.28</v>
      </c>
      <c r="TF1" s="6">
        <v>33.32</v>
      </c>
      <c r="TG1" s="6">
        <v>33.33</v>
      </c>
      <c r="TH1" s="6">
        <v>33.340000000000003</v>
      </c>
      <c r="TI1" s="6">
        <v>33.35</v>
      </c>
      <c r="TJ1" s="6">
        <v>33.36</v>
      </c>
      <c r="TK1" s="6">
        <v>33.47</v>
      </c>
      <c r="TL1" s="6">
        <v>33.479999999999997</v>
      </c>
      <c r="TM1" s="6">
        <v>33.53</v>
      </c>
      <c r="TN1" s="6">
        <v>33.69</v>
      </c>
      <c r="TO1" s="6">
        <v>33.71</v>
      </c>
    </row>
    <row r="2" spans="1:535" x14ac:dyDescent="0.25">
      <c r="A2" s="5" t="s">
        <v>1410</v>
      </c>
      <c r="B2" s="7"/>
      <c r="C2" s="7">
        <v>3226285</v>
      </c>
      <c r="D2" s="7"/>
      <c r="E2" s="7"/>
      <c r="F2" s="7">
        <v>1171272</v>
      </c>
      <c r="G2" s="7">
        <v>2537097</v>
      </c>
      <c r="H2" s="7"/>
      <c r="I2" s="7"/>
      <c r="J2" s="7"/>
      <c r="K2" s="7">
        <v>2907032</v>
      </c>
      <c r="L2" s="7"/>
      <c r="M2" s="7"/>
      <c r="N2" s="7"/>
      <c r="O2" s="7"/>
      <c r="P2" s="7"/>
      <c r="Q2" s="7">
        <v>11405315</v>
      </c>
      <c r="R2" s="7"/>
      <c r="S2" s="7">
        <v>4879468</v>
      </c>
      <c r="T2" s="7"/>
      <c r="U2" s="7"/>
      <c r="V2" s="7"/>
      <c r="W2" s="7">
        <v>1449851</v>
      </c>
      <c r="X2" s="7"/>
      <c r="Y2" s="7"/>
      <c r="Z2" s="7">
        <v>5460496</v>
      </c>
      <c r="AA2" s="7"/>
      <c r="AB2" s="7"/>
      <c r="AC2" s="7"/>
      <c r="AD2" s="7"/>
      <c r="AE2" s="7">
        <v>2623491</v>
      </c>
      <c r="AF2" s="7"/>
      <c r="AG2" s="7"/>
      <c r="AH2" s="7"/>
      <c r="AI2" s="7"/>
      <c r="AJ2" s="7"/>
      <c r="AK2" s="7"/>
      <c r="AL2" s="7"/>
      <c r="AM2" s="7"/>
      <c r="AN2" s="7">
        <v>2103191</v>
      </c>
      <c r="AO2" s="7"/>
      <c r="AP2" s="7"/>
      <c r="AQ2" s="7"/>
      <c r="AR2" s="7"/>
      <c r="AS2" s="7">
        <v>1761570</v>
      </c>
      <c r="AT2" s="7"/>
      <c r="AU2" s="7"/>
      <c r="AV2" s="7">
        <v>3287093</v>
      </c>
      <c r="AW2" s="7"/>
      <c r="AX2" s="7"/>
      <c r="AY2" s="7">
        <v>11695827</v>
      </c>
      <c r="AZ2" s="7"/>
      <c r="BA2" s="7"/>
      <c r="BB2" s="7"/>
      <c r="BC2" s="7"/>
      <c r="BD2" s="7"/>
      <c r="BE2" s="7"/>
      <c r="BF2" s="7">
        <v>10316133</v>
      </c>
      <c r="BG2" s="7"/>
      <c r="BH2" s="7"/>
      <c r="BI2" s="7"/>
      <c r="BJ2" s="7">
        <v>3523387</v>
      </c>
      <c r="BK2" s="7"/>
      <c r="BL2" s="7">
        <v>2810850</v>
      </c>
      <c r="BM2" s="7"/>
      <c r="BN2" s="7"/>
      <c r="BO2" s="7">
        <v>2120734</v>
      </c>
      <c r="BP2" s="7"/>
      <c r="BQ2" s="7">
        <v>3242681</v>
      </c>
      <c r="BR2" s="7"/>
      <c r="BS2" s="7"/>
      <c r="BT2" s="7"/>
      <c r="BU2" s="7"/>
      <c r="BV2" s="7"/>
      <c r="BW2" s="7">
        <v>6009967</v>
      </c>
      <c r="BX2" s="7"/>
      <c r="BY2" s="7"/>
      <c r="BZ2" s="7"/>
      <c r="CA2" s="7"/>
      <c r="CB2" s="7"/>
      <c r="CC2" s="7">
        <v>1090601</v>
      </c>
      <c r="CD2" s="7">
        <v>2003183</v>
      </c>
      <c r="CE2" s="7"/>
      <c r="CF2" s="7"/>
      <c r="CG2" s="7"/>
      <c r="CH2" s="7"/>
      <c r="CI2" s="7">
        <v>1861560</v>
      </c>
      <c r="CJ2" s="7"/>
      <c r="CK2" s="7"/>
      <c r="CL2" s="7"/>
      <c r="CM2" s="7">
        <v>2259096</v>
      </c>
      <c r="CN2" s="7"/>
      <c r="CO2" s="7"/>
      <c r="CP2" s="7"/>
      <c r="CQ2" s="7">
        <v>4360869</v>
      </c>
      <c r="CR2" s="7"/>
      <c r="CS2" s="7"/>
      <c r="CT2" s="7"/>
      <c r="CU2" s="7">
        <v>6276223</v>
      </c>
      <c r="CV2" s="7"/>
      <c r="CW2" s="7"/>
      <c r="CX2" s="7"/>
      <c r="CY2" s="7">
        <v>1746148</v>
      </c>
      <c r="CZ2" s="7">
        <v>1354485</v>
      </c>
      <c r="DA2" s="7"/>
      <c r="DB2" s="7"/>
      <c r="DC2" s="7">
        <v>23155984</v>
      </c>
      <c r="DD2" s="7"/>
      <c r="DE2" s="7"/>
      <c r="DF2" s="7">
        <v>42145956</v>
      </c>
      <c r="DG2" s="7"/>
      <c r="DH2" s="7"/>
      <c r="DI2" s="7"/>
      <c r="DJ2" s="7">
        <v>1383276</v>
      </c>
      <c r="DK2" s="7"/>
      <c r="DL2" s="7"/>
      <c r="DM2" s="7"/>
      <c r="DN2" s="7">
        <v>2639163</v>
      </c>
      <c r="DO2" s="7"/>
      <c r="DP2" s="7">
        <v>12555955</v>
      </c>
      <c r="DQ2" s="7"/>
      <c r="DR2" s="7"/>
      <c r="DS2" s="7">
        <v>1634419</v>
      </c>
      <c r="DT2" s="7"/>
      <c r="DU2" s="7"/>
      <c r="DV2" s="7">
        <v>6877428</v>
      </c>
      <c r="DW2" s="7"/>
      <c r="DX2" s="7"/>
      <c r="DY2" s="7">
        <v>2991190</v>
      </c>
      <c r="DZ2" s="7"/>
      <c r="EA2" s="7"/>
      <c r="EB2" s="7">
        <v>13112741</v>
      </c>
      <c r="EC2" s="7"/>
      <c r="ED2" s="7"/>
      <c r="EE2" s="7"/>
      <c r="EF2" s="7"/>
      <c r="EG2" s="7"/>
      <c r="EH2" s="7">
        <v>8774335</v>
      </c>
      <c r="EI2" s="7"/>
      <c r="EJ2" s="7"/>
      <c r="EK2" s="7"/>
      <c r="EL2" s="7"/>
      <c r="EM2" s="7"/>
      <c r="EN2" s="7"/>
      <c r="EO2" s="7">
        <v>8766555</v>
      </c>
      <c r="EP2" s="7"/>
      <c r="EQ2" s="7"/>
      <c r="ER2" s="7"/>
      <c r="ES2" s="7"/>
      <c r="ET2" s="7"/>
      <c r="EU2" s="7">
        <v>2375143</v>
      </c>
      <c r="EV2" s="7"/>
      <c r="EW2" s="7"/>
      <c r="EX2" s="7"/>
      <c r="EY2" s="7"/>
      <c r="EZ2" s="7">
        <v>3485110</v>
      </c>
      <c r="FA2" s="7"/>
      <c r="FB2" s="7"/>
      <c r="FC2" s="7">
        <v>4502259</v>
      </c>
      <c r="FD2" s="7"/>
      <c r="FE2" s="7"/>
      <c r="FF2" s="7">
        <v>1169418</v>
      </c>
      <c r="FG2" s="7"/>
      <c r="FH2" s="7"/>
      <c r="FI2" s="7">
        <v>3182359</v>
      </c>
      <c r="FJ2" s="7"/>
      <c r="FK2" s="7"/>
      <c r="FL2" s="7">
        <v>1747735</v>
      </c>
      <c r="FM2" s="7"/>
      <c r="FN2" s="7"/>
      <c r="FO2" s="7"/>
      <c r="FP2" s="7">
        <v>2919522</v>
      </c>
      <c r="FQ2" s="7"/>
      <c r="FR2" s="7">
        <v>5610023</v>
      </c>
      <c r="FS2" s="7"/>
      <c r="FT2" s="7"/>
      <c r="FU2" s="7">
        <v>3386778</v>
      </c>
      <c r="FV2" s="7"/>
      <c r="FW2" s="7"/>
      <c r="FX2" s="7">
        <v>1104518</v>
      </c>
      <c r="FY2" s="7"/>
      <c r="FZ2" s="7">
        <v>1755703</v>
      </c>
      <c r="GA2" s="7"/>
      <c r="GB2" s="7">
        <v>2352896</v>
      </c>
      <c r="GC2" s="7"/>
      <c r="GD2" s="7"/>
      <c r="GE2" s="7"/>
      <c r="GF2" s="7">
        <v>2810322</v>
      </c>
      <c r="GG2" s="7"/>
      <c r="GH2" s="7"/>
      <c r="GI2" s="7"/>
      <c r="GJ2" s="7"/>
      <c r="GK2" s="7">
        <v>4019828</v>
      </c>
      <c r="GL2" s="7"/>
      <c r="GM2" s="7">
        <v>90006609</v>
      </c>
      <c r="GN2" s="7"/>
      <c r="GO2" s="7"/>
      <c r="GP2" s="7"/>
      <c r="GQ2" s="7"/>
      <c r="GR2" s="7"/>
      <c r="GS2" s="7"/>
      <c r="GT2" s="7">
        <v>29288258</v>
      </c>
      <c r="GU2" s="7"/>
      <c r="GV2" s="7"/>
      <c r="GW2" s="7"/>
      <c r="GX2" s="7"/>
      <c r="GY2" s="7"/>
      <c r="GZ2" s="7"/>
      <c r="HA2" s="7"/>
      <c r="HB2" s="7"/>
      <c r="HC2" s="7"/>
      <c r="HD2" s="7">
        <v>1334477</v>
      </c>
      <c r="HE2" s="7"/>
      <c r="HF2" s="7"/>
      <c r="HG2" s="7">
        <v>3013766</v>
      </c>
      <c r="HH2" s="7"/>
      <c r="HI2" s="7"/>
      <c r="HJ2" s="7"/>
      <c r="HK2" s="7">
        <v>1129272</v>
      </c>
      <c r="HL2" s="7">
        <v>1215061</v>
      </c>
      <c r="HM2" s="7"/>
      <c r="HN2" s="7"/>
      <c r="HO2" s="7">
        <v>1357867</v>
      </c>
      <c r="HP2" s="7"/>
      <c r="HQ2" s="7"/>
      <c r="HR2" s="7">
        <v>1098310</v>
      </c>
      <c r="HS2" s="7"/>
      <c r="HT2" s="7"/>
      <c r="HU2" s="7"/>
      <c r="HV2" s="7"/>
      <c r="HW2" s="7">
        <v>1509409</v>
      </c>
      <c r="HX2" s="7">
        <v>3343216</v>
      </c>
      <c r="HY2" s="7"/>
      <c r="HZ2" s="7"/>
      <c r="IA2" s="7"/>
      <c r="IB2" s="7">
        <v>4563416</v>
      </c>
      <c r="IC2" s="7"/>
      <c r="ID2" s="7"/>
      <c r="IE2" s="7"/>
      <c r="IF2" s="7"/>
      <c r="IG2" s="7"/>
      <c r="IH2" s="7">
        <v>1357864</v>
      </c>
      <c r="II2" s="7"/>
      <c r="IJ2" s="7">
        <v>1969155</v>
      </c>
      <c r="IK2" s="7"/>
      <c r="IL2" s="7"/>
      <c r="IM2" s="7"/>
      <c r="IN2" s="7"/>
      <c r="IO2" s="7"/>
      <c r="IP2" s="7">
        <v>1673229</v>
      </c>
      <c r="IQ2" s="7"/>
      <c r="IR2" s="7">
        <v>3663122</v>
      </c>
      <c r="IS2" s="7"/>
      <c r="IT2" s="7"/>
      <c r="IU2" s="7"/>
      <c r="IV2" s="7"/>
      <c r="IW2" s="7"/>
      <c r="IX2" s="7">
        <v>6696801</v>
      </c>
      <c r="IY2" s="7"/>
      <c r="IZ2" s="7"/>
      <c r="JA2" s="7"/>
      <c r="JB2" s="7"/>
      <c r="JC2" s="7"/>
      <c r="JD2" s="7"/>
      <c r="JE2" s="7">
        <v>1163453</v>
      </c>
      <c r="JF2" s="7"/>
      <c r="JG2" s="7"/>
      <c r="JH2" s="7"/>
      <c r="JI2" s="7">
        <v>11743405</v>
      </c>
      <c r="JJ2" s="7"/>
      <c r="JK2" s="7"/>
      <c r="JL2" s="7"/>
      <c r="JM2" s="7"/>
      <c r="JN2" s="7">
        <v>1565749</v>
      </c>
      <c r="JO2" s="7">
        <v>3682547</v>
      </c>
      <c r="JP2" s="7"/>
      <c r="JQ2" s="7">
        <v>1280595</v>
      </c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>
        <v>154599816</v>
      </c>
      <c r="KG2" s="7"/>
      <c r="KH2" s="7"/>
      <c r="KI2" s="7"/>
      <c r="KJ2" s="7">
        <v>1055313</v>
      </c>
      <c r="KK2" s="7"/>
      <c r="KL2" s="7">
        <v>1744793</v>
      </c>
      <c r="KM2" s="7"/>
      <c r="KN2" s="7"/>
      <c r="KO2" s="7"/>
      <c r="KP2" s="7">
        <v>14378002</v>
      </c>
      <c r="KQ2" s="7"/>
      <c r="KR2" s="7"/>
      <c r="KS2" s="7"/>
      <c r="KT2" s="7"/>
      <c r="KU2" s="7">
        <v>2292853</v>
      </c>
      <c r="KV2" s="7"/>
      <c r="KW2" s="7"/>
      <c r="KX2" s="7"/>
      <c r="KY2" s="7"/>
      <c r="KZ2" s="7"/>
      <c r="LA2" s="7"/>
      <c r="LB2" s="7"/>
      <c r="LC2" s="7">
        <v>3740265</v>
      </c>
      <c r="LD2" s="7"/>
      <c r="LE2" s="7"/>
      <c r="LF2" s="7">
        <v>2748416</v>
      </c>
      <c r="LG2" s="7"/>
      <c r="LH2" s="7">
        <v>1290126</v>
      </c>
      <c r="LI2" s="7"/>
      <c r="LJ2" s="7"/>
      <c r="LK2" s="7"/>
      <c r="LL2" s="7"/>
      <c r="LM2" s="7"/>
      <c r="LN2" s="7">
        <v>5638893</v>
      </c>
      <c r="LO2" s="7"/>
      <c r="LP2" s="7"/>
      <c r="LQ2" s="7"/>
      <c r="LR2" s="7"/>
      <c r="LS2" s="7">
        <v>2476864</v>
      </c>
      <c r="LT2" s="7"/>
      <c r="LU2" s="7"/>
      <c r="LV2" s="7"/>
      <c r="LW2" s="7"/>
      <c r="LX2" s="7">
        <v>1506214</v>
      </c>
      <c r="LY2" s="7"/>
      <c r="LZ2" s="7"/>
      <c r="MA2" s="7"/>
      <c r="MB2" s="7"/>
      <c r="MC2" s="7"/>
      <c r="MD2" s="7">
        <v>3211310</v>
      </c>
      <c r="ME2" s="9">
        <v>5317156</v>
      </c>
      <c r="MF2" s="9"/>
      <c r="MG2" s="9">
        <v>5317156</v>
      </c>
      <c r="MH2" s="7"/>
      <c r="MI2" s="7"/>
      <c r="MJ2" s="7"/>
      <c r="MK2" s="7"/>
      <c r="ML2" s="7"/>
      <c r="MM2" s="7">
        <v>1369291</v>
      </c>
      <c r="MN2" s="7">
        <v>3534593</v>
      </c>
      <c r="MO2" s="7"/>
      <c r="MP2" s="7"/>
      <c r="MQ2" s="7"/>
      <c r="MR2" s="7"/>
      <c r="MS2" s="7"/>
      <c r="MT2" s="7"/>
      <c r="MU2" s="7"/>
      <c r="MV2" s="7"/>
      <c r="MW2" s="7">
        <v>1588893</v>
      </c>
      <c r="MX2" s="7"/>
      <c r="MY2" s="7"/>
      <c r="MZ2" s="7"/>
      <c r="NA2" s="7"/>
      <c r="NB2" s="7">
        <v>1548206</v>
      </c>
      <c r="NC2" s="7"/>
      <c r="ND2" s="7"/>
      <c r="NE2" s="7"/>
      <c r="NF2" s="7">
        <v>1200170</v>
      </c>
      <c r="NG2" s="7">
        <v>1276657</v>
      </c>
      <c r="NH2" s="7">
        <v>1103169</v>
      </c>
      <c r="NI2" s="7"/>
      <c r="NJ2" s="7">
        <v>2686515</v>
      </c>
      <c r="NK2" s="7"/>
      <c r="NL2" s="7">
        <v>1541910</v>
      </c>
      <c r="NM2" s="7"/>
      <c r="NN2" s="7"/>
      <c r="NO2" s="7"/>
      <c r="NP2" s="7">
        <v>1088138</v>
      </c>
      <c r="NQ2" s="7">
        <v>3199936</v>
      </c>
      <c r="NR2" s="7">
        <v>2070361</v>
      </c>
      <c r="NS2" s="7"/>
      <c r="NT2" s="7"/>
      <c r="NU2" s="7"/>
      <c r="NV2" s="7"/>
      <c r="NW2" s="7"/>
      <c r="NX2" s="7"/>
      <c r="NY2" s="7"/>
      <c r="NZ2" s="7"/>
      <c r="OA2" s="7"/>
      <c r="OB2" s="7">
        <v>1489713</v>
      </c>
      <c r="OC2" s="7"/>
      <c r="OD2" s="7"/>
      <c r="OE2" s="7"/>
      <c r="OF2" s="7"/>
      <c r="OG2" s="7"/>
      <c r="OH2" s="7"/>
      <c r="OI2" s="7"/>
      <c r="OJ2" s="7"/>
      <c r="OK2" s="7"/>
      <c r="OL2" s="7">
        <v>1012709</v>
      </c>
      <c r="OM2" s="7">
        <v>2134971</v>
      </c>
      <c r="ON2" s="7"/>
      <c r="OO2" s="7"/>
      <c r="OP2" s="7"/>
      <c r="OQ2" s="7"/>
      <c r="OR2" s="7">
        <v>80147608</v>
      </c>
      <c r="OS2" s="7"/>
      <c r="OT2" s="7"/>
      <c r="OU2" s="7"/>
      <c r="OV2" s="7">
        <v>3036868</v>
      </c>
      <c r="OW2" s="7"/>
      <c r="OX2" s="7"/>
      <c r="OY2" s="7">
        <v>2686343</v>
      </c>
      <c r="OZ2" s="7"/>
      <c r="PA2" s="7">
        <v>6769438</v>
      </c>
      <c r="PB2" s="7">
        <v>24638196</v>
      </c>
      <c r="PC2" s="7"/>
      <c r="PD2" s="7">
        <v>199698610</v>
      </c>
      <c r="PE2" s="7"/>
      <c r="PF2" s="7">
        <v>1442002</v>
      </c>
      <c r="PG2" s="7"/>
      <c r="PH2" s="7">
        <v>2909876</v>
      </c>
      <c r="PI2" s="7">
        <v>1715073</v>
      </c>
      <c r="PJ2" s="7"/>
      <c r="PK2" s="7"/>
      <c r="PL2" s="7"/>
      <c r="PM2" s="7"/>
      <c r="PN2" s="7">
        <v>1926219</v>
      </c>
      <c r="PO2" s="7">
        <v>2625380</v>
      </c>
      <c r="PP2" s="7"/>
      <c r="PQ2" s="7"/>
      <c r="PR2" s="7">
        <v>2144661</v>
      </c>
      <c r="PS2" s="7">
        <v>1177895</v>
      </c>
      <c r="PT2" s="7">
        <v>1302473</v>
      </c>
      <c r="PU2" s="7"/>
      <c r="PV2" s="7">
        <v>37313207</v>
      </c>
      <c r="PW2" s="7"/>
      <c r="PX2" s="7"/>
      <c r="PY2" s="7"/>
      <c r="PZ2" s="7">
        <v>2166912</v>
      </c>
      <c r="QA2" s="7"/>
      <c r="QB2" s="7"/>
      <c r="QC2" s="7">
        <v>3946685</v>
      </c>
      <c r="QD2" s="7"/>
      <c r="QE2" s="7"/>
      <c r="QF2" s="7"/>
      <c r="QG2" s="7"/>
      <c r="QH2" s="7"/>
      <c r="QI2" s="7"/>
      <c r="QJ2" s="7">
        <v>3062458</v>
      </c>
      <c r="QK2" s="7"/>
      <c r="QL2" s="7">
        <v>1074060</v>
      </c>
      <c r="QM2" s="7"/>
      <c r="QN2" s="7">
        <v>1745419</v>
      </c>
      <c r="QO2" s="7"/>
      <c r="QP2" s="7"/>
      <c r="QQ2" s="7">
        <v>2391237</v>
      </c>
      <c r="QR2" s="7"/>
      <c r="QS2" s="7"/>
      <c r="QT2" s="7"/>
      <c r="QU2" s="7"/>
      <c r="QV2" s="7"/>
      <c r="QW2" s="7">
        <v>1302388</v>
      </c>
      <c r="QX2" s="7">
        <v>1555408</v>
      </c>
      <c r="QY2" s="7"/>
      <c r="QZ2" s="7">
        <v>1204711</v>
      </c>
      <c r="RA2" s="7"/>
      <c r="RB2" s="7"/>
      <c r="RC2" s="7"/>
      <c r="RD2" s="7"/>
      <c r="RE2" s="7"/>
      <c r="RF2" s="7"/>
      <c r="RG2" s="7">
        <v>1156102</v>
      </c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>
        <v>10002620</v>
      </c>
      <c r="RY2" s="7"/>
      <c r="RZ2" s="7"/>
      <c r="SA2" s="7"/>
      <c r="SB2" s="7"/>
      <c r="SC2" s="7"/>
      <c r="SD2" s="7"/>
      <c r="SE2" s="7">
        <v>5644201</v>
      </c>
      <c r="SF2" s="7"/>
      <c r="SG2" s="7"/>
      <c r="SH2" s="7"/>
      <c r="SI2" s="7"/>
      <c r="SJ2" s="7"/>
      <c r="SK2" s="7"/>
      <c r="SL2" s="7">
        <v>14560703</v>
      </c>
      <c r="SM2" s="7"/>
      <c r="SN2" s="7"/>
      <c r="SO2" s="7"/>
      <c r="SP2" s="7">
        <v>4587587</v>
      </c>
      <c r="SQ2" s="7"/>
      <c r="SR2" s="7"/>
      <c r="SS2" s="7"/>
      <c r="ST2" s="7">
        <v>1116317</v>
      </c>
      <c r="SU2" s="7"/>
      <c r="SV2" s="7"/>
      <c r="SW2" s="7"/>
      <c r="SX2" s="7">
        <v>7887047</v>
      </c>
      <c r="SY2" s="7"/>
      <c r="SZ2" s="7"/>
      <c r="TA2" s="7"/>
      <c r="TB2" s="7">
        <v>65045589</v>
      </c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</row>
    <row r="3" spans="1:535" x14ac:dyDescent="0.25">
      <c r="A3" s="5" t="s">
        <v>1411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>
        <v>11689784</v>
      </c>
      <c r="Q3" s="7"/>
      <c r="R3" s="7"/>
      <c r="S3" s="7"/>
      <c r="T3" s="7"/>
      <c r="U3" s="7"/>
      <c r="V3" s="7"/>
      <c r="W3" s="7"/>
      <c r="X3" s="7"/>
      <c r="Y3" s="7">
        <v>19574533</v>
      </c>
      <c r="Z3" s="7"/>
      <c r="AA3" s="7"/>
      <c r="AB3" s="7"/>
      <c r="AC3" s="7"/>
      <c r="AD3" s="7"/>
      <c r="AE3" s="7">
        <v>2566726</v>
      </c>
      <c r="AF3" s="7"/>
      <c r="AG3" s="7"/>
      <c r="AH3" s="7">
        <v>3684548</v>
      </c>
      <c r="AI3" s="7"/>
      <c r="AJ3" s="7"/>
      <c r="AK3" s="7"/>
      <c r="AL3" s="7"/>
      <c r="AM3" s="7"/>
      <c r="AN3" s="7"/>
      <c r="AO3" s="7">
        <v>1515949</v>
      </c>
      <c r="AP3" s="7"/>
      <c r="AQ3" s="7"/>
      <c r="AR3" s="7"/>
      <c r="AS3" s="7"/>
      <c r="AT3" s="7">
        <v>1258202</v>
      </c>
      <c r="AU3" s="7"/>
      <c r="AV3" s="7"/>
      <c r="AW3" s="7">
        <v>1481391</v>
      </c>
      <c r="AX3" s="7"/>
      <c r="AY3" s="7"/>
      <c r="AZ3" s="7"/>
      <c r="BA3" s="7"/>
      <c r="BB3" s="7"/>
      <c r="BC3" s="7"/>
      <c r="BD3" s="7"/>
      <c r="BE3" s="7"/>
      <c r="BF3" s="7">
        <v>8332358</v>
      </c>
      <c r="BG3" s="7"/>
      <c r="BH3" s="7"/>
      <c r="BI3" s="7"/>
      <c r="BJ3" s="7"/>
      <c r="BK3" s="7"/>
      <c r="BL3" s="7">
        <v>1209977</v>
      </c>
      <c r="BM3" s="7"/>
      <c r="BN3" s="7"/>
      <c r="BO3" s="7"/>
      <c r="BP3" s="7"/>
      <c r="BQ3" s="7"/>
      <c r="BR3" s="7"/>
      <c r="BS3" s="7"/>
      <c r="BT3" s="7">
        <v>1064185</v>
      </c>
      <c r="BU3" s="7"/>
      <c r="BV3" s="7"/>
      <c r="BW3" s="7"/>
      <c r="BX3" s="7">
        <v>4021382</v>
      </c>
      <c r="BY3" s="7"/>
      <c r="BZ3" s="7"/>
      <c r="CA3" s="7"/>
      <c r="CB3" s="7"/>
      <c r="CC3" s="7"/>
      <c r="CD3" s="7">
        <v>2099313</v>
      </c>
      <c r="CE3" s="7"/>
      <c r="CF3" s="7"/>
      <c r="CG3" s="7">
        <v>1098814</v>
      </c>
      <c r="CH3" s="7"/>
      <c r="CI3" s="7"/>
      <c r="CJ3" s="7"/>
      <c r="CK3" s="7"/>
      <c r="CL3" s="7"/>
      <c r="CM3" s="7"/>
      <c r="CN3" s="7"/>
      <c r="CO3" s="7"/>
      <c r="CP3" s="7"/>
      <c r="CQ3" s="7"/>
      <c r="CR3" s="7">
        <v>1115348</v>
      </c>
      <c r="CS3" s="7"/>
      <c r="CT3" s="7">
        <v>7299107</v>
      </c>
      <c r="CU3" s="7"/>
      <c r="CV3" s="7"/>
      <c r="CW3" s="7"/>
      <c r="CX3" s="7"/>
      <c r="CY3" s="7"/>
      <c r="CZ3" s="7"/>
      <c r="DA3" s="7"/>
      <c r="DB3" s="7"/>
      <c r="DC3" s="7">
        <v>27606870</v>
      </c>
      <c r="DD3" s="7"/>
      <c r="DE3" s="7"/>
      <c r="DF3" s="7">
        <v>50850409</v>
      </c>
      <c r="DG3" s="7"/>
      <c r="DH3" s="7"/>
      <c r="DI3" s="7"/>
      <c r="DJ3" s="7"/>
      <c r="DK3" s="7"/>
      <c r="DL3" s="7"/>
      <c r="DM3" s="7"/>
      <c r="DN3" s="7"/>
      <c r="DO3" s="7"/>
      <c r="DP3" s="7">
        <v>2114866</v>
      </c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>
        <v>1047275</v>
      </c>
      <c r="EK3" s="7"/>
      <c r="EL3" s="7"/>
      <c r="EM3" s="7"/>
      <c r="EN3" s="7"/>
      <c r="EO3" s="7">
        <v>2114795</v>
      </c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>
        <v>2798116</v>
      </c>
      <c r="GD3" s="7"/>
      <c r="GE3" s="7"/>
      <c r="GF3" s="7"/>
      <c r="GG3" s="7"/>
      <c r="GH3" s="7"/>
      <c r="GI3" s="7"/>
      <c r="GJ3" s="7"/>
      <c r="GK3" s="7"/>
      <c r="GL3" s="7">
        <v>1581438</v>
      </c>
      <c r="GM3" s="7">
        <v>50196305</v>
      </c>
      <c r="GN3" s="7"/>
      <c r="GO3" s="7"/>
      <c r="GP3" s="7"/>
      <c r="GQ3" s="7"/>
      <c r="GR3" s="7"/>
      <c r="GS3" s="7"/>
      <c r="GT3" s="7"/>
      <c r="GU3" s="7">
        <v>10039301</v>
      </c>
      <c r="GV3" s="7"/>
      <c r="GW3" s="7"/>
      <c r="GX3" s="7"/>
      <c r="GY3" s="7"/>
      <c r="GZ3" s="7"/>
      <c r="HA3" s="7"/>
      <c r="HB3" s="7"/>
      <c r="HC3" s="7"/>
      <c r="HD3" s="7">
        <v>1291803</v>
      </c>
      <c r="HE3" s="7"/>
      <c r="HF3" s="7"/>
      <c r="HG3" s="7">
        <v>1450253</v>
      </c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>
        <v>3701125</v>
      </c>
      <c r="HY3" s="7"/>
      <c r="HZ3" s="7"/>
      <c r="IA3" s="7"/>
      <c r="IB3" s="7">
        <v>1749381</v>
      </c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>
        <v>4472816</v>
      </c>
      <c r="IS3" s="7"/>
      <c r="IT3" s="7"/>
      <c r="IU3" s="7"/>
      <c r="IV3" s="7">
        <v>1365799</v>
      </c>
      <c r="IW3" s="7"/>
      <c r="IX3" s="7"/>
      <c r="IY3" s="7">
        <v>3474030</v>
      </c>
      <c r="IZ3" s="7"/>
      <c r="JA3" s="7"/>
      <c r="JB3" s="7">
        <v>2209025</v>
      </c>
      <c r="JC3" s="7"/>
      <c r="JD3" s="7"/>
      <c r="JE3" s="7"/>
      <c r="JF3" s="7">
        <v>1013511</v>
      </c>
      <c r="JG3" s="7"/>
      <c r="JH3" s="7"/>
      <c r="JI3" s="7">
        <v>8708004</v>
      </c>
      <c r="JJ3" s="7"/>
      <c r="JK3" s="7"/>
      <c r="JL3" s="7"/>
      <c r="JM3" s="7"/>
      <c r="JN3" s="7"/>
      <c r="JO3" s="7">
        <v>5624773</v>
      </c>
      <c r="JP3" s="7"/>
      <c r="JQ3" s="7">
        <v>5396693</v>
      </c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>
        <v>105022285</v>
      </c>
      <c r="KE3" s="7"/>
      <c r="KF3" s="7"/>
      <c r="KG3" s="7"/>
      <c r="KH3" s="7"/>
      <c r="KI3" s="7"/>
      <c r="KJ3" s="7"/>
      <c r="KK3" s="7"/>
      <c r="KL3" s="7"/>
      <c r="KM3" s="7"/>
      <c r="KN3" s="7"/>
      <c r="KO3" s="7">
        <v>21033370</v>
      </c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>
        <v>1737139</v>
      </c>
      <c r="LB3" s="7"/>
      <c r="LC3" s="7"/>
      <c r="LD3" s="7"/>
      <c r="LE3" s="7">
        <v>1923604</v>
      </c>
      <c r="LF3" s="7"/>
      <c r="LG3" s="7"/>
      <c r="LH3" s="7">
        <v>1094583</v>
      </c>
      <c r="LI3" s="7"/>
      <c r="LJ3" s="7"/>
      <c r="LK3" s="7">
        <v>1131700</v>
      </c>
      <c r="LL3" s="7"/>
      <c r="LM3" s="7">
        <v>1661490</v>
      </c>
      <c r="LN3" s="7"/>
      <c r="LO3" s="7"/>
      <c r="LP3" s="7"/>
      <c r="LQ3" s="7"/>
      <c r="LR3" s="7"/>
      <c r="LS3" s="7">
        <v>2702807</v>
      </c>
      <c r="LT3" s="7"/>
      <c r="LU3" s="7"/>
      <c r="LV3" s="7"/>
      <c r="LW3" s="7">
        <v>1091391</v>
      </c>
      <c r="LX3" s="7"/>
      <c r="LY3" s="7"/>
      <c r="LZ3" s="7"/>
      <c r="MA3" s="7">
        <v>1022831</v>
      </c>
      <c r="MB3" s="7"/>
      <c r="MC3" s="7">
        <v>3356154</v>
      </c>
      <c r="MD3" s="7"/>
      <c r="ME3" s="9">
        <v>5142710</v>
      </c>
      <c r="MF3" s="9"/>
      <c r="MG3" s="9">
        <v>5142710</v>
      </c>
      <c r="MH3" s="7"/>
      <c r="MI3" s="7">
        <v>1525879</v>
      </c>
      <c r="MJ3" s="7"/>
      <c r="MK3" s="7"/>
      <c r="ML3" s="7"/>
      <c r="MM3" s="7"/>
      <c r="MN3" s="7">
        <v>4719482</v>
      </c>
      <c r="MO3" s="7"/>
      <c r="MP3" s="7"/>
      <c r="MQ3" s="7"/>
      <c r="MR3" s="7"/>
      <c r="MS3" s="7"/>
      <c r="MT3" s="7"/>
      <c r="MU3" s="7"/>
      <c r="MV3" s="7"/>
      <c r="MW3" s="7"/>
      <c r="MX3" s="7">
        <v>2235392</v>
      </c>
      <c r="MY3" s="7"/>
      <c r="MZ3" s="7"/>
      <c r="NA3" s="7"/>
      <c r="NB3" s="7">
        <v>1664378</v>
      </c>
      <c r="NC3" s="7"/>
      <c r="ND3" s="7"/>
      <c r="NE3" s="7"/>
      <c r="NF3" s="7"/>
      <c r="NG3" s="7"/>
      <c r="NH3" s="7"/>
      <c r="NI3" s="7"/>
      <c r="NJ3" s="7">
        <v>3925572</v>
      </c>
      <c r="NK3" s="7"/>
      <c r="NL3" s="7">
        <v>1660695</v>
      </c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>
        <v>1281918</v>
      </c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>
        <v>1294721</v>
      </c>
      <c r="OM3" s="7">
        <v>2649072</v>
      </c>
      <c r="ON3" s="7"/>
      <c r="OO3" s="7"/>
      <c r="OP3" s="7">
        <v>1017971</v>
      </c>
      <c r="OQ3" s="7"/>
      <c r="OR3" s="7">
        <v>52221337</v>
      </c>
      <c r="OS3" s="7"/>
      <c r="OT3" s="7"/>
      <c r="OU3" s="7"/>
      <c r="OV3" s="7">
        <v>2654118</v>
      </c>
      <c r="OW3" s="7"/>
      <c r="OX3" s="7"/>
      <c r="OY3" s="7">
        <v>1744020</v>
      </c>
      <c r="OZ3" s="7"/>
      <c r="PA3" s="7">
        <v>6371028</v>
      </c>
      <c r="PB3" s="7">
        <v>17342162</v>
      </c>
      <c r="PC3" s="7"/>
      <c r="PD3" s="7">
        <v>145233841</v>
      </c>
      <c r="PE3" s="7"/>
      <c r="PF3" s="7"/>
      <c r="PG3" s="7"/>
      <c r="PH3" s="7">
        <v>3196754</v>
      </c>
      <c r="PI3" s="7"/>
      <c r="PJ3" s="7">
        <v>2530587</v>
      </c>
      <c r="PK3" s="7"/>
      <c r="PL3" s="7"/>
      <c r="PM3" s="7">
        <v>1858092</v>
      </c>
      <c r="PN3" s="7"/>
      <c r="PO3" s="7"/>
      <c r="PP3" s="7">
        <v>2035845</v>
      </c>
      <c r="PQ3" s="7"/>
      <c r="PR3" s="7">
        <v>1583498</v>
      </c>
      <c r="PS3" s="7"/>
      <c r="PT3" s="7"/>
      <c r="PU3" s="7"/>
      <c r="PV3" s="7">
        <v>11278032</v>
      </c>
      <c r="PW3" s="7"/>
      <c r="PX3" s="7"/>
      <c r="PY3" s="7"/>
      <c r="PZ3" s="7">
        <v>2004903</v>
      </c>
      <c r="QA3" s="7"/>
      <c r="QB3" s="7"/>
      <c r="QC3" s="7"/>
      <c r="QD3" s="7">
        <v>2877171</v>
      </c>
      <c r="QE3" s="7"/>
      <c r="QF3" s="7"/>
      <c r="QG3" s="7"/>
      <c r="QH3" s="7"/>
      <c r="QI3" s="7"/>
      <c r="QJ3" s="7">
        <v>1380331</v>
      </c>
      <c r="QK3" s="7"/>
      <c r="QL3" s="7"/>
      <c r="QM3" s="7"/>
      <c r="QN3" s="7">
        <v>2028152</v>
      </c>
      <c r="QO3" s="7"/>
      <c r="QP3" s="7">
        <v>1030887</v>
      </c>
      <c r="QQ3" s="7"/>
      <c r="QR3" s="7"/>
      <c r="QS3" s="7"/>
      <c r="QT3" s="7"/>
      <c r="QU3" s="7"/>
      <c r="QV3" s="7">
        <v>1317280</v>
      </c>
      <c r="QW3" s="7"/>
      <c r="QX3" s="7"/>
      <c r="QY3" s="7"/>
      <c r="QZ3" s="7"/>
      <c r="RA3" s="7"/>
      <c r="RB3" s="7"/>
      <c r="RC3" s="7">
        <v>1117548</v>
      </c>
      <c r="RD3" s="7"/>
      <c r="RE3" s="7"/>
      <c r="RF3" s="7"/>
      <c r="RG3" s="7"/>
      <c r="RH3" s="7"/>
      <c r="RI3" s="7"/>
      <c r="RJ3" s="7"/>
      <c r="RK3" s="7">
        <v>1447665</v>
      </c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>
        <v>7854176</v>
      </c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>
        <v>2414713</v>
      </c>
      <c r="SZ3" s="7"/>
      <c r="TA3" s="7"/>
      <c r="TB3" s="7">
        <v>10461171</v>
      </c>
      <c r="TC3" s="7"/>
      <c r="TD3" s="7"/>
      <c r="TE3" s="7"/>
      <c r="TF3" s="7"/>
      <c r="TG3" s="7"/>
      <c r="TH3" s="7">
        <v>5452221</v>
      </c>
      <c r="TI3" s="7"/>
      <c r="TJ3" s="7"/>
      <c r="TK3" s="7"/>
      <c r="TL3" s="7">
        <v>1035289</v>
      </c>
      <c r="TM3" s="7"/>
      <c r="TN3" s="7">
        <v>2551254</v>
      </c>
      <c r="TO3" s="7"/>
    </row>
    <row r="4" spans="1:535" x14ac:dyDescent="0.25">
      <c r="A4" s="5" t="s">
        <v>1412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>
        <v>9890864</v>
      </c>
      <c r="Q4" s="7"/>
      <c r="R4" s="7"/>
      <c r="S4" s="7"/>
      <c r="T4" s="7"/>
      <c r="U4" s="7"/>
      <c r="V4" s="7"/>
      <c r="W4" s="7"/>
      <c r="X4" s="7"/>
      <c r="Y4" s="7">
        <v>32809442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>
        <v>2736685</v>
      </c>
      <c r="AO4" s="7"/>
      <c r="AP4" s="7"/>
      <c r="AQ4" s="7"/>
      <c r="AR4" s="7"/>
      <c r="AS4" s="7">
        <v>1253389</v>
      </c>
      <c r="AT4" s="7"/>
      <c r="AU4" s="7"/>
      <c r="AV4" s="7"/>
      <c r="AW4" s="7">
        <v>1788781</v>
      </c>
      <c r="AX4" s="7"/>
      <c r="AY4" s="7"/>
      <c r="AZ4" s="7"/>
      <c r="BA4" s="7">
        <v>1325874</v>
      </c>
      <c r="BB4" s="7"/>
      <c r="BC4" s="7"/>
      <c r="BD4" s="7"/>
      <c r="BE4" s="7"/>
      <c r="BF4" s="7">
        <v>7610182</v>
      </c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>
        <v>2453426</v>
      </c>
      <c r="BS4" s="7"/>
      <c r="BT4" s="7"/>
      <c r="BU4" s="7"/>
      <c r="BV4" s="7"/>
      <c r="BW4" s="7"/>
      <c r="BX4" s="7">
        <v>4241410</v>
      </c>
      <c r="BY4" s="7"/>
      <c r="BZ4" s="7"/>
      <c r="CA4" s="7"/>
      <c r="CB4" s="7"/>
      <c r="CC4" s="7"/>
      <c r="CD4" s="7"/>
      <c r="CE4" s="7"/>
      <c r="CF4" s="7"/>
      <c r="CG4" s="7"/>
      <c r="CH4" s="7">
        <v>1834488</v>
      </c>
      <c r="CI4" s="7"/>
      <c r="CJ4" s="7"/>
      <c r="CK4" s="7"/>
      <c r="CL4" s="7"/>
      <c r="CM4" s="7"/>
      <c r="CN4" s="7"/>
      <c r="CO4" s="7"/>
      <c r="CP4" s="7"/>
      <c r="CQ4" s="7"/>
      <c r="CR4" s="7">
        <v>3925931</v>
      </c>
      <c r="CS4" s="7"/>
      <c r="CT4" s="7"/>
      <c r="CU4" s="7">
        <v>3592990</v>
      </c>
      <c r="CV4" s="7"/>
      <c r="CW4" s="7"/>
      <c r="CX4" s="7"/>
      <c r="CY4" s="7"/>
      <c r="CZ4" s="7">
        <v>1017883</v>
      </c>
      <c r="DA4" s="7"/>
      <c r="DB4" s="7"/>
      <c r="DC4" s="7">
        <v>27058358</v>
      </c>
      <c r="DD4" s="7"/>
      <c r="DE4" s="7"/>
      <c r="DF4" s="7"/>
      <c r="DG4" s="7">
        <v>6318712</v>
      </c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>
        <v>3383621</v>
      </c>
      <c r="EI4" s="7"/>
      <c r="EJ4" s="7"/>
      <c r="EK4" s="7"/>
      <c r="EL4" s="7"/>
      <c r="EM4" s="7"/>
      <c r="EN4" s="7"/>
      <c r="EO4" s="7"/>
      <c r="EP4" s="7">
        <v>2578771</v>
      </c>
      <c r="EQ4" s="7"/>
      <c r="ER4" s="7"/>
      <c r="ES4" s="7"/>
      <c r="ET4" s="7"/>
      <c r="EU4" s="7">
        <v>2174272</v>
      </c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>
        <v>9077035</v>
      </c>
      <c r="GL4" s="7"/>
      <c r="GM4" s="7">
        <v>49236458</v>
      </c>
      <c r="GN4" s="7"/>
      <c r="GO4" s="7"/>
      <c r="GP4" s="7"/>
      <c r="GQ4" s="7"/>
      <c r="GR4" s="7"/>
      <c r="GS4" s="7"/>
      <c r="GT4" s="7"/>
      <c r="GU4" s="7">
        <v>11447029</v>
      </c>
      <c r="GV4" s="7"/>
      <c r="GW4" s="7"/>
      <c r="GX4" s="7"/>
      <c r="GY4" s="7"/>
      <c r="GZ4" s="7"/>
      <c r="HA4" s="7"/>
      <c r="HB4" s="7"/>
      <c r="HC4" s="7"/>
      <c r="HD4" s="7">
        <v>1134582</v>
      </c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>
        <v>6587276</v>
      </c>
      <c r="HY4" s="7"/>
      <c r="HZ4" s="7"/>
      <c r="IA4" s="7"/>
      <c r="IB4" s="7"/>
      <c r="IC4" s="7"/>
      <c r="ID4" s="7"/>
      <c r="IE4" s="7"/>
      <c r="IF4" s="7"/>
      <c r="IG4" s="7"/>
      <c r="IH4" s="7">
        <v>1049763</v>
      </c>
      <c r="II4" s="7"/>
      <c r="IJ4" s="7"/>
      <c r="IK4" s="7"/>
      <c r="IL4" s="7"/>
      <c r="IM4" s="7"/>
      <c r="IN4" s="7"/>
      <c r="IO4" s="7"/>
      <c r="IP4" s="7"/>
      <c r="IQ4" s="7"/>
      <c r="IR4" s="7">
        <v>2377848</v>
      </c>
      <c r="IS4" s="7"/>
      <c r="IT4" s="7"/>
      <c r="IU4" s="7"/>
      <c r="IV4" s="7"/>
      <c r="IW4" s="7">
        <v>1053088</v>
      </c>
      <c r="IX4" s="7"/>
      <c r="IY4" s="7"/>
      <c r="IZ4" s="7"/>
      <c r="JA4" s="7"/>
      <c r="JB4" s="7"/>
      <c r="JC4" s="7">
        <v>1601280</v>
      </c>
      <c r="JD4" s="7"/>
      <c r="JE4" s="7"/>
      <c r="JF4" s="7">
        <v>1764861</v>
      </c>
      <c r="JG4" s="7"/>
      <c r="JH4" s="7"/>
      <c r="JI4" s="7">
        <v>13241098</v>
      </c>
      <c r="JJ4" s="7"/>
      <c r="JK4" s="7"/>
      <c r="JL4" s="7"/>
      <c r="JM4" s="7"/>
      <c r="JN4" s="7"/>
      <c r="JO4" s="7">
        <v>4097699</v>
      </c>
      <c r="JP4" s="7"/>
      <c r="JQ4" s="7"/>
      <c r="JR4" s="7">
        <v>7621459</v>
      </c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>
        <v>134746235</v>
      </c>
      <c r="KF4" s="7"/>
      <c r="KG4" s="7"/>
      <c r="KH4" s="7"/>
      <c r="KI4" s="7"/>
      <c r="KJ4" s="7"/>
      <c r="KK4" s="7"/>
      <c r="KL4" s="7"/>
      <c r="KM4" s="7"/>
      <c r="KN4" s="7"/>
      <c r="KO4" s="7">
        <v>23228494</v>
      </c>
      <c r="KP4" s="7"/>
      <c r="KQ4" s="7"/>
      <c r="KR4" s="7"/>
      <c r="KS4" s="7"/>
      <c r="KT4" s="7"/>
      <c r="KU4" s="7"/>
      <c r="KV4" s="7"/>
      <c r="KW4" s="7">
        <v>2357625</v>
      </c>
      <c r="KX4" s="7"/>
      <c r="KY4" s="7"/>
      <c r="KZ4" s="7">
        <v>1527475</v>
      </c>
      <c r="LA4" s="7"/>
      <c r="LB4" s="7"/>
      <c r="LC4" s="7"/>
      <c r="LD4" s="7"/>
      <c r="LE4" s="7">
        <v>1630707</v>
      </c>
      <c r="LF4" s="7"/>
      <c r="LG4" s="7"/>
      <c r="LH4" s="7">
        <v>1500673</v>
      </c>
      <c r="LI4" s="7"/>
      <c r="LJ4" s="7"/>
      <c r="LK4" s="7"/>
      <c r="LL4" s="7"/>
      <c r="LM4" s="7"/>
      <c r="LN4" s="7">
        <v>2750672</v>
      </c>
      <c r="LO4" s="7"/>
      <c r="LP4" s="7"/>
      <c r="LQ4" s="7"/>
      <c r="LR4" s="7"/>
      <c r="LS4" s="7">
        <v>3140498</v>
      </c>
      <c r="LT4" s="7"/>
      <c r="LU4" s="7"/>
      <c r="LV4" s="7"/>
      <c r="LW4" s="7"/>
      <c r="LX4" s="7"/>
      <c r="LY4" s="7"/>
      <c r="LZ4" s="7"/>
      <c r="MA4" s="7">
        <v>3061842</v>
      </c>
      <c r="MB4" s="7"/>
      <c r="MC4" s="7">
        <v>2524943</v>
      </c>
      <c r="MD4" s="7"/>
      <c r="ME4" s="9"/>
      <c r="MF4" s="9">
        <v>4629208</v>
      </c>
      <c r="MG4" s="9">
        <v>4629208</v>
      </c>
      <c r="MH4" s="7"/>
      <c r="MI4" s="7"/>
      <c r="MJ4" s="7"/>
      <c r="MK4" s="7"/>
      <c r="ML4" s="7"/>
      <c r="MM4" s="7"/>
      <c r="MN4" s="7">
        <v>7170781</v>
      </c>
      <c r="MO4" s="7"/>
      <c r="MP4" s="7"/>
      <c r="MQ4" s="7"/>
      <c r="MR4" s="7"/>
      <c r="MS4" s="7"/>
      <c r="MT4" s="7"/>
      <c r="MU4" s="7"/>
      <c r="MV4" s="7"/>
      <c r="MW4" s="7"/>
      <c r="MX4" s="7">
        <v>2417664</v>
      </c>
      <c r="MY4" s="7"/>
      <c r="MZ4" s="7">
        <v>1692853</v>
      </c>
      <c r="NA4" s="7"/>
      <c r="NB4" s="7">
        <v>2089561</v>
      </c>
      <c r="NC4" s="7"/>
      <c r="ND4" s="7"/>
      <c r="NE4" s="7"/>
      <c r="NF4" s="7">
        <v>1856842</v>
      </c>
      <c r="NG4" s="7"/>
      <c r="NH4" s="7"/>
      <c r="NI4" s="7"/>
      <c r="NJ4" s="7">
        <v>4685500</v>
      </c>
      <c r="NK4" s="7">
        <v>3903683</v>
      </c>
      <c r="NL4" s="7"/>
      <c r="NM4" s="7"/>
      <c r="NN4" s="7"/>
      <c r="NO4" s="7">
        <v>1458422</v>
      </c>
      <c r="NP4" s="7"/>
      <c r="NQ4" s="7"/>
      <c r="NR4" s="7"/>
      <c r="NS4" s="7"/>
      <c r="NT4" s="7"/>
      <c r="NU4" s="7"/>
      <c r="NV4" s="7">
        <v>1552544</v>
      </c>
      <c r="NW4" s="7"/>
      <c r="NX4" s="7"/>
      <c r="NY4" s="7"/>
      <c r="NZ4" s="7">
        <v>1548889</v>
      </c>
      <c r="OA4" s="7"/>
      <c r="OB4" s="7"/>
      <c r="OC4" s="7"/>
      <c r="OD4" s="7">
        <v>1631401</v>
      </c>
      <c r="OE4" s="7"/>
      <c r="OF4" s="7"/>
      <c r="OG4" s="7"/>
      <c r="OH4" s="7"/>
      <c r="OI4" s="7"/>
      <c r="OJ4" s="7"/>
      <c r="OK4" s="7">
        <v>1292942</v>
      </c>
      <c r="OL4" s="7">
        <v>1341263</v>
      </c>
      <c r="OM4" s="7">
        <v>2673056</v>
      </c>
      <c r="ON4" s="7"/>
      <c r="OO4" s="7">
        <v>1237290</v>
      </c>
      <c r="OP4" s="7"/>
      <c r="OQ4" s="7"/>
      <c r="OR4" s="7">
        <v>13993050</v>
      </c>
      <c r="OS4" s="7"/>
      <c r="OT4" s="7"/>
      <c r="OU4" s="7"/>
      <c r="OV4" s="7"/>
      <c r="OW4" s="7"/>
      <c r="OX4" s="7">
        <v>1632560</v>
      </c>
      <c r="OY4" s="7"/>
      <c r="OZ4" s="7"/>
      <c r="PA4" s="7">
        <v>4309745</v>
      </c>
      <c r="PB4" s="7">
        <v>6100635</v>
      </c>
      <c r="PC4" s="7"/>
      <c r="PD4" s="7">
        <v>38158399</v>
      </c>
      <c r="PE4" s="7">
        <v>1300256</v>
      </c>
      <c r="PF4" s="7"/>
      <c r="PG4" s="7"/>
      <c r="PH4" s="7">
        <v>3581651</v>
      </c>
      <c r="PI4" s="7"/>
      <c r="PJ4" s="7"/>
      <c r="PK4" s="7">
        <v>1657537</v>
      </c>
      <c r="PL4" s="7"/>
      <c r="PM4" s="7"/>
      <c r="PN4" s="7">
        <v>2162854</v>
      </c>
      <c r="PO4" s="7"/>
      <c r="PP4" s="7">
        <v>2313906</v>
      </c>
      <c r="PQ4" s="7">
        <v>1552898</v>
      </c>
      <c r="PR4" s="7"/>
      <c r="PS4" s="7">
        <v>1220753</v>
      </c>
      <c r="PT4" s="7"/>
      <c r="PU4" s="7"/>
      <c r="PV4" s="7">
        <v>5350080</v>
      </c>
      <c r="PW4" s="7"/>
      <c r="PX4" s="7">
        <v>2313081</v>
      </c>
      <c r="PY4" s="7"/>
      <c r="PZ4" s="7"/>
      <c r="QA4" s="7"/>
      <c r="QB4" s="7"/>
      <c r="QC4" s="7"/>
      <c r="QD4" s="7"/>
      <c r="QE4" s="7"/>
      <c r="QF4" s="7"/>
      <c r="QG4" s="7"/>
      <c r="QH4" s="7">
        <v>2379034</v>
      </c>
      <c r="QI4" s="7"/>
      <c r="QJ4" s="7"/>
      <c r="QK4" s="7"/>
      <c r="QL4" s="7"/>
      <c r="QM4" s="7"/>
      <c r="QN4" s="7">
        <v>1093303</v>
      </c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>
        <v>4730593</v>
      </c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>
        <v>1555722</v>
      </c>
      <c r="SZ4" s="7"/>
      <c r="TA4" s="7">
        <v>1034438</v>
      </c>
      <c r="TB4" s="7">
        <v>22415987</v>
      </c>
      <c r="TC4" s="7"/>
      <c r="TD4" s="7"/>
      <c r="TE4" s="7">
        <v>1228987</v>
      </c>
      <c r="TF4" s="7"/>
      <c r="TG4" s="7"/>
      <c r="TH4" s="7"/>
      <c r="TI4" s="7"/>
      <c r="TJ4" s="7"/>
      <c r="TK4" s="7"/>
      <c r="TL4" s="7"/>
      <c r="TM4" s="7"/>
      <c r="TN4" s="7"/>
      <c r="TO4" s="7"/>
    </row>
    <row r="5" spans="1:535" x14ac:dyDescent="0.25">
      <c r="A5" s="5" t="s">
        <v>1413</v>
      </c>
      <c r="B5" s="7"/>
      <c r="C5" s="7"/>
      <c r="D5" s="7">
        <v>1344222</v>
      </c>
      <c r="E5" s="7"/>
      <c r="F5" s="7"/>
      <c r="G5" s="7"/>
      <c r="H5" s="7"/>
      <c r="I5" s="7"/>
      <c r="J5" s="7"/>
      <c r="K5" s="7"/>
      <c r="L5" s="7">
        <v>1176304</v>
      </c>
      <c r="M5" s="7"/>
      <c r="N5" s="7"/>
      <c r="O5" s="7"/>
      <c r="P5" s="7">
        <v>22599620</v>
      </c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>
        <v>2916285</v>
      </c>
      <c r="AX5" s="7"/>
      <c r="AY5" s="7"/>
      <c r="AZ5" s="7"/>
      <c r="BA5" s="7">
        <v>1307013</v>
      </c>
      <c r="BB5" s="7"/>
      <c r="BC5" s="7"/>
      <c r="BD5" s="7">
        <v>1802467</v>
      </c>
      <c r="BE5" s="7"/>
      <c r="BF5" s="7">
        <v>6664131</v>
      </c>
      <c r="BG5" s="7"/>
      <c r="BH5" s="7"/>
      <c r="BI5" s="7"/>
      <c r="BJ5" s="7">
        <v>1077181</v>
      </c>
      <c r="BK5" s="7"/>
      <c r="BL5" s="7"/>
      <c r="BM5" s="7">
        <v>2154215</v>
      </c>
      <c r="BN5" s="7"/>
      <c r="BO5" s="7"/>
      <c r="BP5" s="7">
        <v>1156677</v>
      </c>
      <c r="BQ5" s="7"/>
      <c r="BR5" s="7"/>
      <c r="BS5" s="7"/>
      <c r="BT5" s="7">
        <v>2277503</v>
      </c>
      <c r="BU5" s="7"/>
      <c r="BV5" s="7"/>
      <c r="BW5" s="7"/>
      <c r="BX5" s="7">
        <v>4127842</v>
      </c>
      <c r="BY5" s="7"/>
      <c r="BZ5" s="7"/>
      <c r="CA5" s="7"/>
      <c r="CB5" s="7"/>
      <c r="CC5" s="7"/>
      <c r="CD5" s="7"/>
      <c r="CE5" s="7">
        <v>3923370</v>
      </c>
      <c r="CF5" s="7"/>
      <c r="CG5" s="7"/>
      <c r="CH5" s="7">
        <v>2380356</v>
      </c>
      <c r="CI5" s="7"/>
      <c r="CJ5" s="7"/>
      <c r="CK5" s="7"/>
      <c r="CL5" s="7"/>
      <c r="CM5" s="7"/>
      <c r="CN5" s="7"/>
      <c r="CO5" s="7"/>
      <c r="CP5" s="7"/>
      <c r="CQ5" s="7"/>
      <c r="CR5" s="7">
        <v>1923011</v>
      </c>
      <c r="CS5" s="7"/>
      <c r="CT5" s="7"/>
      <c r="CU5" s="7">
        <v>9307965</v>
      </c>
      <c r="CV5" s="7"/>
      <c r="CW5" s="7"/>
      <c r="CX5" s="7"/>
      <c r="CY5" s="7"/>
      <c r="CZ5" s="7"/>
      <c r="DA5" s="7">
        <v>2254882</v>
      </c>
      <c r="DB5" s="7"/>
      <c r="DC5" s="7"/>
      <c r="DD5" s="7">
        <v>23680082</v>
      </c>
      <c r="DE5" s="7"/>
      <c r="DF5" s="7"/>
      <c r="DG5" s="7">
        <v>1683552</v>
      </c>
      <c r="DH5" s="7"/>
      <c r="DI5" s="7"/>
      <c r="DJ5" s="7"/>
      <c r="DK5" s="7"/>
      <c r="DL5" s="7"/>
      <c r="DM5" s="7"/>
      <c r="DN5" s="7">
        <v>6923290</v>
      </c>
      <c r="DO5" s="7"/>
      <c r="DP5" s="7">
        <v>6351326</v>
      </c>
      <c r="DQ5" s="7"/>
      <c r="DR5" s="7">
        <v>1776590</v>
      </c>
      <c r="DS5" s="7"/>
      <c r="DT5" s="7"/>
      <c r="DU5" s="7"/>
      <c r="DV5" s="7">
        <v>3407874</v>
      </c>
      <c r="DW5" s="7"/>
      <c r="DX5" s="7"/>
      <c r="DY5" s="7"/>
      <c r="DZ5" s="7"/>
      <c r="EA5" s="7">
        <v>1070583</v>
      </c>
      <c r="EB5" s="7"/>
      <c r="EC5" s="7"/>
      <c r="ED5" s="7"/>
      <c r="EE5" s="7"/>
      <c r="EF5" s="7"/>
      <c r="EG5" s="7"/>
      <c r="EH5" s="7"/>
      <c r="EI5" s="7"/>
      <c r="EJ5" s="7"/>
      <c r="EK5" s="7">
        <v>1040827</v>
      </c>
      <c r="EL5" s="7"/>
      <c r="EM5" s="7"/>
      <c r="EN5" s="7">
        <v>4772498</v>
      </c>
      <c r="EO5" s="7"/>
      <c r="EP5" s="7"/>
      <c r="EQ5" s="7"/>
      <c r="ER5" s="7"/>
      <c r="ES5" s="7"/>
      <c r="ET5" s="7"/>
      <c r="EU5" s="7">
        <v>1077474</v>
      </c>
      <c r="EV5" s="7"/>
      <c r="EW5" s="7"/>
      <c r="EX5" s="7"/>
      <c r="EY5" s="7">
        <v>2621285</v>
      </c>
      <c r="EZ5" s="7"/>
      <c r="FA5" s="7"/>
      <c r="FB5" s="7"/>
      <c r="FC5" s="7"/>
      <c r="FD5" s="7">
        <v>2596578</v>
      </c>
      <c r="FE5" s="7"/>
      <c r="FF5" s="7"/>
      <c r="FG5" s="7">
        <v>1225822</v>
      </c>
      <c r="FH5" s="7"/>
      <c r="FI5" s="7">
        <v>2256467</v>
      </c>
      <c r="FJ5" s="7"/>
      <c r="FK5" s="7"/>
      <c r="FL5" s="7"/>
      <c r="FM5" s="7"/>
      <c r="FN5" s="7"/>
      <c r="FO5" s="7"/>
      <c r="FP5" s="7"/>
      <c r="FQ5" s="7">
        <v>1048601</v>
      </c>
      <c r="FR5" s="7"/>
      <c r="FS5" s="7">
        <v>2723802</v>
      </c>
      <c r="FT5" s="7">
        <v>2133784</v>
      </c>
      <c r="FU5" s="7"/>
      <c r="FV5" s="7"/>
      <c r="FW5" s="7"/>
      <c r="FX5" s="7"/>
      <c r="FY5" s="7"/>
      <c r="FZ5" s="7"/>
      <c r="GA5" s="7">
        <v>3023683</v>
      </c>
      <c r="GB5" s="7"/>
      <c r="GC5" s="7"/>
      <c r="GD5" s="7"/>
      <c r="GE5" s="7"/>
      <c r="GF5" s="7">
        <v>2138404</v>
      </c>
      <c r="GG5" s="7"/>
      <c r="GH5" s="7">
        <v>2528347</v>
      </c>
      <c r="GI5" s="7"/>
      <c r="GJ5" s="7"/>
      <c r="GK5" s="7">
        <v>3622133</v>
      </c>
      <c r="GL5" s="7"/>
      <c r="GM5" s="7">
        <v>45395300</v>
      </c>
      <c r="GN5" s="7"/>
      <c r="GO5" s="7"/>
      <c r="GP5" s="7"/>
      <c r="GQ5" s="7"/>
      <c r="GR5" s="7"/>
      <c r="GS5" s="7">
        <v>1341741</v>
      </c>
      <c r="GT5" s="7"/>
      <c r="GU5" s="7">
        <v>3235939</v>
      </c>
      <c r="GV5" s="7"/>
      <c r="GW5" s="7"/>
      <c r="GX5" s="7"/>
      <c r="GY5" s="7"/>
      <c r="GZ5" s="7"/>
      <c r="HA5" s="7"/>
      <c r="HB5" s="7">
        <v>1849123</v>
      </c>
      <c r="HC5" s="7"/>
      <c r="HD5" s="7"/>
      <c r="HE5" s="7">
        <v>1796526</v>
      </c>
      <c r="HF5" s="7"/>
      <c r="HG5" s="7"/>
      <c r="HH5" s="7"/>
      <c r="HI5" s="7">
        <v>1045817</v>
      </c>
      <c r="HJ5" s="7"/>
      <c r="HK5" s="7">
        <v>1101206</v>
      </c>
      <c r="HL5" s="7"/>
      <c r="HM5" s="7"/>
      <c r="HN5" s="7"/>
      <c r="HO5" s="7"/>
      <c r="HP5" s="7"/>
      <c r="HQ5" s="7"/>
      <c r="HR5" s="7"/>
      <c r="HS5" s="7"/>
      <c r="HT5" s="7"/>
      <c r="HU5" s="7">
        <v>1813352</v>
      </c>
      <c r="HV5" s="7"/>
      <c r="HW5" s="7"/>
      <c r="HX5" s="7">
        <v>3727729</v>
      </c>
      <c r="HY5" s="7"/>
      <c r="HZ5" s="7"/>
      <c r="IA5" s="7"/>
      <c r="IB5" s="7">
        <v>1209527</v>
      </c>
      <c r="IC5" s="7"/>
      <c r="ID5" s="7"/>
      <c r="IE5" s="7"/>
      <c r="IF5" s="7"/>
      <c r="IG5" s="7"/>
      <c r="IH5" s="7">
        <v>1390436</v>
      </c>
      <c r="II5" s="7"/>
      <c r="IJ5" s="7"/>
      <c r="IK5" s="7"/>
      <c r="IL5" s="7"/>
      <c r="IM5" s="7"/>
      <c r="IN5" s="7"/>
      <c r="IO5" s="7"/>
      <c r="IP5" s="7"/>
      <c r="IQ5" s="7"/>
      <c r="IR5" s="7"/>
      <c r="IS5" s="7">
        <v>1306438</v>
      </c>
      <c r="IT5" s="7"/>
      <c r="IU5" s="7"/>
      <c r="IV5" s="7">
        <v>2502917</v>
      </c>
      <c r="IW5" s="7">
        <v>2804530</v>
      </c>
      <c r="IX5" s="7"/>
      <c r="IY5" s="7"/>
      <c r="IZ5" s="7"/>
      <c r="JA5" s="7"/>
      <c r="JB5" s="7">
        <v>1612645</v>
      </c>
      <c r="JC5" s="7"/>
      <c r="JD5" s="7"/>
      <c r="JE5" s="7"/>
      <c r="JF5" s="7">
        <v>3333479</v>
      </c>
      <c r="JG5" s="7"/>
      <c r="JH5" s="7"/>
      <c r="JI5" s="7">
        <v>10762449</v>
      </c>
      <c r="JJ5" s="7"/>
      <c r="JK5" s="7">
        <v>1125008</v>
      </c>
      <c r="JL5" s="7"/>
      <c r="JM5" s="7"/>
      <c r="JN5" s="7"/>
      <c r="JO5" s="7">
        <v>5543986</v>
      </c>
      <c r="JP5" s="7"/>
      <c r="JQ5" s="7"/>
      <c r="JR5" s="7">
        <v>2590737</v>
      </c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>
        <v>237312184</v>
      </c>
      <c r="KI5" s="7"/>
      <c r="KJ5" s="7">
        <v>1756701</v>
      </c>
      <c r="KK5" s="7"/>
      <c r="KL5" s="7"/>
      <c r="KM5" s="7"/>
      <c r="KN5" s="7">
        <v>2016912</v>
      </c>
      <c r="KO5" s="7"/>
      <c r="KP5" s="7">
        <v>18632261</v>
      </c>
      <c r="KQ5" s="7"/>
      <c r="KR5" s="7"/>
      <c r="KS5" s="7"/>
      <c r="KT5" s="7"/>
      <c r="KU5" s="7"/>
      <c r="KV5" s="7">
        <v>2292558</v>
      </c>
      <c r="KW5" s="7"/>
      <c r="KX5" s="7"/>
      <c r="KY5" s="7"/>
      <c r="KZ5" s="7"/>
      <c r="LA5" s="7"/>
      <c r="LB5" s="7"/>
      <c r="LC5" s="7">
        <v>1429312</v>
      </c>
      <c r="LD5" s="7"/>
      <c r="LE5" s="7"/>
      <c r="LF5" s="7">
        <v>2561231</v>
      </c>
      <c r="LG5" s="7"/>
      <c r="LH5" s="7"/>
      <c r="LI5" s="7">
        <v>1925594</v>
      </c>
      <c r="LJ5" s="7"/>
      <c r="LK5" s="7"/>
      <c r="LL5" s="7"/>
      <c r="LM5" s="7"/>
      <c r="LN5" s="7"/>
      <c r="LO5" s="7">
        <v>2274533</v>
      </c>
      <c r="LP5" s="7"/>
      <c r="LQ5" s="7"/>
      <c r="LR5" s="7"/>
      <c r="LS5" s="7">
        <v>4030649</v>
      </c>
      <c r="LT5" s="7"/>
      <c r="LU5" s="7"/>
      <c r="LV5" s="7"/>
      <c r="LW5" s="7"/>
      <c r="LX5" s="7"/>
      <c r="LY5" s="7">
        <v>1646309</v>
      </c>
      <c r="LZ5" s="7"/>
      <c r="MA5" s="7">
        <v>1447764</v>
      </c>
      <c r="MB5" s="7"/>
      <c r="MC5" s="7">
        <v>2385219</v>
      </c>
      <c r="MD5" s="7"/>
      <c r="ME5" s="9"/>
      <c r="MF5" s="9">
        <v>4610424</v>
      </c>
      <c r="MG5" s="9">
        <v>4610424</v>
      </c>
      <c r="MH5" s="7"/>
      <c r="MI5" s="7"/>
      <c r="MJ5" s="7"/>
      <c r="MK5" s="7"/>
      <c r="ML5" s="7"/>
      <c r="MM5" s="7"/>
      <c r="MN5" s="7"/>
      <c r="MO5" s="7">
        <v>4740192</v>
      </c>
      <c r="MP5" s="7"/>
      <c r="MQ5" s="7"/>
      <c r="MR5" s="7"/>
      <c r="MS5" s="7">
        <v>2783990</v>
      </c>
      <c r="MT5" s="7"/>
      <c r="MU5" s="7">
        <v>1038370</v>
      </c>
      <c r="MV5" s="7"/>
      <c r="MW5" s="7"/>
      <c r="MX5" s="7">
        <v>3858208</v>
      </c>
      <c r="MY5" s="7"/>
      <c r="MZ5" s="7">
        <v>2465074</v>
      </c>
      <c r="NA5" s="7"/>
      <c r="NB5" s="7">
        <v>1759113</v>
      </c>
      <c r="NC5" s="7"/>
      <c r="ND5" s="7"/>
      <c r="NE5" s="7"/>
      <c r="NF5" s="7">
        <v>1111859</v>
      </c>
      <c r="NG5" s="7"/>
      <c r="NH5" s="7"/>
      <c r="NI5" s="7"/>
      <c r="NJ5" s="7">
        <v>6630082</v>
      </c>
      <c r="NK5" s="7"/>
      <c r="NL5" s="7">
        <v>2517975</v>
      </c>
      <c r="NM5" s="7"/>
      <c r="NN5" s="7">
        <v>1280001</v>
      </c>
      <c r="NO5" s="7"/>
      <c r="NP5" s="7">
        <v>1086846</v>
      </c>
      <c r="NQ5" s="7">
        <v>1721989</v>
      </c>
      <c r="NR5" s="7">
        <v>1463149</v>
      </c>
      <c r="NS5" s="7"/>
      <c r="NT5" s="7"/>
      <c r="NU5" s="7"/>
      <c r="NV5" s="7"/>
      <c r="NW5" s="7"/>
      <c r="NX5" s="7"/>
      <c r="NY5" s="7"/>
      <c r="NZ5" s="7">
        <v>2021832</v>
      </c>
      <c r="OA5" s="7"/>
      <c r="OB5" s="7"/>
      <c r="OC5" s="7"/>
      <c r="OD5" s="7">
        <v>1622146</v>
      </c>
      <c r="OE5" s="7"/>
      <c r="OF5" s="7"/>
      <c r="OG5" s="7"/>
      <c r="OH5" s="7"/>
      <c r="OI5" s="7"/>
      <c r="OJ5" s="7">
        <v>1523592</v>
      </c>
      <c r="OK5" s="7"/>
      <c r="OL5" s="7">
        <v>1779291</v>
      </c>
      <c r="OM5" s="7">
        <v>2639102</v>
      </c>
      <c r="ON5" s="7"/>
      <c r="OO5" s="7">
        <v>1393387</v>
      </c>
      <c r="OP5" s="7"/>
      <c r="OQ5" s="7"/>
      <c r="OR5" s="7">
        <v>25468097</v>
      </c>
      <c r="OS5" s="7"/>
      <c r="OT5" s="7"/>
      <c r="OU5" s="7"/>
      <c r="OV5" s="7"/>
      <c r="OW5" s="7">
        <v>1486855</v>
      </c>
      <c r="OX5" s="7"/>
      <c r="OY5" s="7">
        <v>1264447</v>
      </c>
      <c r="OZ5" s="7"/>
      <c r="PA5" s="7">
        <v>6999299</v>
      </c>
      <c r="PB5" s="7">
        <v>9414112</v>
      </c>
      <c r="PC5" s="7"/>
      <c r="PD5" s="7">
        <v>74545064</v>
      </c>
      <c r="PE5" s="7">
        <v>1329507</v>
      </c>
      <c r="PF5" s="7"/>
      <c r="PG5" s="7">
        <v>1111020</v>
      </c>
      <c r="PH5" s="7">
        <v>1637582</v>
      </c>
      <c r="PI5" s="7"/>
      <c r="PJ5" s="7"/>
      <c r="PK5" s="7">
        <v>1099144</v>
      </c>
      <c r="PL5" s="7">
        <v>1269362</v>
      </c>
      <c r="PM5" s="7"/>
      <c r="PN5" s="7"/>
      <c r="PO5" s="7"/>
      <c r="PP5" s="7"/>
      <c r="PQ5" s="7"/>
      <c r="PR5" s="7">
        <v>1517820</v>
      </c>
      <c r="PS5" s="7"/>
      <c r="PT5" s="7"/>
      <c r="PU5" s="7"/>
      <c r="PV5" s="7">
        <v>12339714</v>
      </c>
      <c r="PW5" s="7"/>
      <c r="PX5" s="7"/>
      <c r="PY5" s="7">
        <v>8030728</v>
      </c>
      <c r="PZ5" s="7"/>
      <c r="QA5" s="7"/>
      <c r="QB5" s="7"/>
      <c r="QC5" s="7"/>
      <c r="QD5" s="7"/>
      <c r="QE5" s="7"/>
      <c r="QF5" s="7"/>
      <c r="QG5" s="7"/>
      <c r="QH5" s="7">
        <v>1021629</v>
      </c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>
        <v>4612693</v>
      </c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>
        <v>1092805</v>
      </c>
      <c r="SZ5" s="7"/>
      <c r="TA5" s="7"/>
      <c r="TB5" s="7"/>
      <c r="TC5" s="7">
        <v>5968957</v>
      </c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</row>
    <row r="6" spans="1:535" x14ac:dyDescent="0.25">
      <c r="A6" s="5" t="s">
        <v>1414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>
        <v>18493037</v>
      </c>
      <c r="Q6" s="7"/>
      <c r="R6" s="7"/>
      <c r="S6" s="7"/>
      <c r="T6" s="7"/>
      <c r="U6" s="7"/>
      <c r="V6" s="7"/>
      <c r="W6" s="7"/>
      <c r="X6" s="7"/>
      <c r="Y6" s="7">
        <v>8262102</v>
      </c>
      <c r="Z6" s="7"/>
      <c r="AA6" s="7"/>
      <c r="AB6" s="7"/>
      <c r="AC6" s="7"/>
      <c r="AD6" s="7">
        <v>2535878</v>
      </c>
      <c r="AE6" s="7"/>
      <c r="AF6" s="7"/>
      <c r="AG6" s="7"/>
      <c r="AH6" s="7">
        <v>3287827</v>
      </c>
      <c r="AI6" s="7"/>
      <c r="AJ6" s="7"/>
      <c r="AK6" s="7"/>
      <c r="AL6" s="7"/>
      <c r="AM6" s="7"/>
      <c r="AN6" s="7"/>
      <c r="AO6" s="7"/>
      <c r="AP6" s="7"/>
      <c r="AQ6" s="7"/>
      <c r="AR6" s="7"/>
      <c r="AS6" s="7">
        <v>1200393</v>
      </c>
      <c r="AT6" s="7"/>
      <c r="AU6" s="7"/>
      <c r="AV6" s="7"/>
      <c r="AW6" s="7">
        <v>1628644</v>
      </c>
      <c r="AX6" s="7"/>
      <c r="AY6" s="7"/>
      <c r="AZ6" s="7"/>
      <c r="BA6" s="7">
        <v>1621202</v>
      </c>
      <c r="BB6" s="7"/>
      <c r="BC6" s="7">
        <v>1635913</v>
      </c>
      <c r="BD6" s="7"/>
      <c r="BE6" s="7"/>
      <c r="BF6" s="7">
        <v>8843522</v>
      </c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>
        <v>1177254</v>
      </c>
      <c r="BS6" s="7"/>
      <c r="BT6" s="7"/>
      <c r="BU6" s="7"/>
      <c r="BV6" s="7"/>
      <c r="BW6" s="7"/>
      <c r="BX6" s="7"/>
      <c r="BY6" s="7">
        <v>2904427</v>
      </c>
      <c r="BZ6" s="7"/>
      <c r="CA6" s="7"/>
      <c r="CB6" s="7"/>
      <c r="CC6" s="7"/>
      <c r="CD6" s="7">
        <v>1079961</v>
      </c>
      <c r="CE6" s="7"/>
      <c r="CF6" s="7"/>
      <c r="CG6" s="7"/>
      <c r="CH6" s="7"/>
      <c r="CI6" s="7"/>
      <c r="CJ6" s="7"/>
      <c r="CK6" s="7"/>
      <c r="CL6" s="7">
        <v>3065129</v>
      </c>
      <c r="CM6" s="7"/>
      <c r="CN6" s="7"/>
      <c r="CO6" s="7"/>
      <c r="CP6" s="7"/>
      <c r="CQ6" s="7">
        <v>4729599</v>
      </c>
      <c r="CR6" s="7"/>
      <c r="CS6" s="7"/>
      <c r="CT6" s="7">
        <v>3912138</v>
      </c>
      <c r="CU6" s="7"/>
      <c r="CV6" s="7"/>
      <c r="CW6" s="7"/>
      <c r="CX6" s="7"/>
      <c r="CY6" s="7"/>
      <c r="CZ6" s="7"/>
      <c r="DA6" s="7"/>
      <c r="DB6" s="7"/>
      <c r="DC6" s="7">
        <v>31931978</v>
      </c>
      <c r="DD6" s="7"/>
      <c r="DE6" s="7"/>
      <c r="DF6" s="7">
        <v>22384131</v>
      </c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>
        <v>1128606</v>
      </c>
      <c r="EJ6" s="7"/>
      <c r="EK6" s="7"/>
      <c r="EL6" s="7"/>
      <c r="EM6" s="7"/>
      <c r="EN6" s="7"/>
      <c r="EO6" s="7"/>
      <c r="EP6" s="7"/>
      <c r="EQ6" s="7">
        <v>1574514</v>
      </c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>
        <v>1293153</v>
      </c>
      <c r="GM6" s="7">
        <v>68301997</v>
      </c>
      <c r="GN6" s="7"/>
      <c r="GO6" s="7"/>
      <c r="GP6" s="7"/>
      <c r="GQ6" s="7"/>
      <c r="GR6" s="7"/>
      <c r="GS6" s="7"/>
      <c r="GT6" s="7"/>
      <c r="GU6" s="7">
        <v>3134225</v>
      </c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>
        <v>3860551</v>
      </c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>
        <v>5293208</v>
      </c>
      <c r="HY6" s="7"/>
      <c r="HZ6" s="7"/>
      <c r="IA6" s="7"/>
      <c r="IB6" s="7"/>
      <c r="IC6" s="7"/>
      <c r="ID6" s="7"/>
      <c r="IE6" s="7"/>
      <c r="IF6" s="7"/>
      <c r="IG6" s="7">
        <v>1352275</v>
      </c>
      <c r="IH6" s="7"/>
      <c r="II6" s="7"/>
      <c r="IJ6" s="7"/>
      <c r="IK6" s="7"/>
      <c r="IL6" s="7"/>
      <c r="IM6" s="7"/>
      <c r="IN6" s="7"/>
      <c r="IO6" s="7"/>
      <c r="IP6" s="7"/>
      <c r="IQ6" s="7"/>
      <c r="IR6" s="7">
        <v>2600524</v>
      </c>
      <c r="IS6" s="7"/>
      <c r="IT6" s="7"/>
      <c r="IU6" s="7">
        <v>3388912</v>
      </c>
      <c r="IV6" s="7"/>
      <c r="IW6" s="7"/>
      <c r="IX6" s="7"/>
      <c r="IY6" s="7"/>
      <c r="IZ6" s="7"/>
      <c r="JA6" s="7"/>
      <c r="JB6" s="7"/>
      <c r="JC6" s="7">
        <v>1915687</v>
      </c>
      <c r="JD6" s="7"/>
      <c r="JE6" s="7"/>
      <c r="JF6" s="7">
        <v>1150532</v>
      </c>
      <c r="JG6" s="7"/>
      <c r="JH6" s="7"/>
      <c r="JI6" s="7">
        <v>17763123</v>
      </c>
      <c r="JJ6" s="7"/>
      <c r="JK6" s="7"/>
      <c r="JL6" s="7"/>
      <c r="JM6" s="7"/>
      <c r="JN6" s="7"/>
      <c r="JO6" s="7">
        <v>4278531</v>
      </c>
      <c r="JP6" s="7"/>
      <c r="JQ6" s="7"/>
      <c r="JR6" s="7">
        <v>2505366</v>
      </c>
      <c r="JS6" s="7"/>
      <c r="JT6" s="7"/>
      <c r="JU6" s="7">
        <v>25695075</v>
      </c>
      <c r="JV6" s="7"/>
      <c r="JW6" s="7"/>
      <c r="JX6" s="7"/>
      <c r="JY6" s="7"/>
      <c r="JZ6" s="7"/>
      <c r="KA6" s="7"/>
      <c r="KB6" s="7"/>
      <c r="KC6" s="7"/>
      <c r="KD6" s="7">
        <v>2691713</v>
      </c>
      <c r="KE6" s="7"/>
      <c r="KF6" s="7"/>
      <c r="KG6" s="7"/>
      <c r="KH6" s="7"/>
      <c r="KI6" s="7"/>
      <c r="KJ6" s="7"/>
      <c r="KK6" s="7"/>
      <c r="KL6" s="7"/>
      <c r="KM6" s="7"/>
      <c r="KN6" s="7"/>
      <c r="KO6" s="7">
        <v>18472534</v>
      </c>
      <c r="KP6" s="7"/>
      <c r="KQ6" s="7"/>
      <c r="KR6" s="7"/>
      <c r="KS6" s="7"/>
      <c r="KT6" s="7"/>
      <c r="KU6" s="7"/>
      <c r="KV6" s="7"/>
      <c r="KW6" s="7"/>
      <c r="KX6" s="7"/>
      <c r="KY6" s="7">
        <v>1445416</v>
      </c>
      <c r="KZ6" s="7"/>
      <c r="LA6" s="7"/>
      <c r="LB6" s="7"/>
      <c r="LC6" s="7"/>
      <c r="LD6" s="7"/>
      <c r="LE6" s="7">
        <v>2893826</v>
      </c>
      <c r="LF6" s="7"/>
      <c r="LG6" s="7"/>
      <c r="LH6" s="7">
        <v>1537729</v>
      </c>
      <c r="LI6" s="7"/>
      <c r="LJ6" s="7"/>
      <c r="LK6" s="7"/>
      <c r="LL6" s="7"/>
      <c r="LM6" s="7"/>
      <c r="LN6" s="7"/>
      <c r="LO6" s="7"/>
      <c r="LP6" s="7">
        <v>1104369</v>
      </c>
      <c r="LQ6" s="7"/>
      <c r="LR6" s="7"/>
      <c r="LS6" s="7">
        <v>1281935</v>
      </c>
      <c r="LT6" s="7"/>
      <c r="LU6" s="7"/>
      <c r="LV6" s="7"/>
      <c r="LW6" s="7"/>
      <c r="LX6" s="7"/>
      <c r="LY6" s="7"/>
      <c r="LZ6" s="7"/>
      <c r="MA6" s="7"/>
      <c r="MB6" s="7">
        <v>2270308</v>
      </c>
      <c r="MC6" s="7"/>
      <c r="MD6" s="7"/>
      <c r="ME6" s="9">
        <v>6880746</v>
      </c>
      <c r="MF6" s="9"/>
      <c r="MG6" s="9">
        <v>6880746</v>
      </c>
      <c r="MH6" s="7"/>
      <c r="MI6" s="7"/>
      <c r="MJ6" s="7"/>
      <c r="MK6" s="7"/>
      <c r="ML6" s="7"/>
      <c r="MM6" s="7"/>
      <c r="MN6" s="7"/>
      <c r="MO6" s="7">
        <v>4663705</v>
      </c>
      <c r="MP6" s="7"/>
      <c r="MQ6" s="7"/>
      <c r="MR6" s="7"/>
      <c r="MS6" s="7"/>
      <c r="MT6" s="7"/>
      <c r="MU6" s="7"/>
      <c r="MV6" s="7"/>
      <c r="MW6" s="7">
        <v>1075939</v>
      </c>
      <c r="MX6" s="7"/>
      <c r="MY6" s="7">
        <v>1145206</v>
      </c>
      <c r="MZ6" s="7"/>
      <c r="NA6" s="7"/>
      <c r="NB6" s="7">
        <v>1858231</v>
      </c>
      <c r="NC6" s="7"/>
      <c r="ND6" s="7"/>
      <c r="NE6" s="7">
        <v>1256711</v>
      </c>
      <c r="NF6" s="7">
        <v>2183830</v>
      </c>
      <c r="NG6" s="7"/>
      <c r="NH6" s="7"/>
      <c r="NI6" s="7">
        <v>2052935</v>
      </c>
      <c r="NJ6" s="7"/>
      <c r="NK6" s="7">
        <v>1777750</v>
      </c>
      <c r="NL6" s="7"/>
      <c r="NM6" s="7"/>
      <c r="NN6" s="7"/>
      <c r="NO6" s="7">
        <v>1468808</v>
      </c>
      <c r="NP6" s="7"/>
      <c r="NQ6" s="7"/>
      <c r="NR6" s="7"/>
      <c r="NS6" s="7"/>
      <c r="NT6" s="7"/>
      <c r="NU6" s="7"/>
      <c r="NV6" s="7"/>
      <c r="NW6" s="7"/>
      <c r="NX6" s="7"/>
      <c r="NY6" s="7">
        <v>2918651</v>
      </c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>
        <v>1192204</v>
      </c>
      <c r="OM6" s="7">
        <v>3377740</v>
      </c>
      <c r="ON6" s="7"/>
      <c r="OO6" s="7">
        <v>1215876</v>
      </c>
      <c r="OP6" s="7">
        <v>10524562</v>
      </c>
      <c r="OQ6" s="7"/>
      <c r="OR6" s="7">
        <v>45968559</v>
      </c>
      <c r="OS6" s="7"/>
      <c r="OT6" s="7">
        <v>2673085</v>
      </c>
      <c r="OU6" s="7">
        <v>3000589</v>
      </c>
      <c r="OV6" s="7">
        <v>5039270</v>
      </c>
      <c r="OW6" s="7"/>
      <c r="OX6" s="7"/>
      <c r="OY6" s="7"/>
      <c r="OZ6" s="7"/>
      <c r="PA6" s="7">
        <v>5069554</v>
      </c>
      <c r="PB6" s="7">
        <v>13701380</v>
      </c>
      <c r="PC6" s="7"/>
      <c r="PD6" s="7">
        <v>138532263</v>
      </c>
      <c r="PE6" s="7">
        <v>1947421</v>
      </c>
      <c r="PF6" s="7"/>
      <c r="PG6" s="7"/>
      <c r="PH6" s="7">
        <v>2291521</v>
      </c>
      <c r="PI6" s="7"/>
      <c r="PJ6" s="7"/>
      <c r="PK6" s="7">
        <v>1237598</v>
      </c>
      <c r="PL6" s="7"/>
      <c r="PM6" s="7"/>
      <c r="PN6" s="7">
        <v>5242757</v>
      </c>
      <c r="PO6" s="7">
        <v>3423778</v>
      </c>
      <c r="PP6" s="7"/>
      <c r="PQ6" s="7">
        <v>3284386</v>
      </c>
      <c r="PR6" s="7"/>
      <c r="PS6" s="7">
        <v>1178431</v>
      </c>
      <c r="PT6" s="7">
        <v>1330769</v>
      </c>
      <c r="PU6" s="7"/>
      <c r="PV6" s="7">
        <v>28870610</v>
      </c>
      <c r="PW6" s="7"/>
      <c r="PX6" s="7"/>
      <c r="PY6" s="7"/>
      <c r="PZ6" s="7">
        <v>24083610</v>
      </c>
      <c r="QA6" s="7"/>
      <c r="QB6" s="7"/>
      <c r="QC6" s="7"/>
      <c r="QD6" s="7"/>
      <c r="QE6" s="7"/>
      <c r="QF6" s="7"/>
      <c r="QG6" s="7"/>
      <c r="QH6" s="7">
        <v>1193816</v>
      </c>
      <c r="QI6" s="7"/>
      <c r="QJ6" s="7">
        <v>4791848</v>
      </c>
      <c r="QK6" s="7"/>
      <c r="QL6" s="7"/>
      <c r="QM6" s="7"/>
      <c r="QN6" s="7">
        <v>6690754</v>
      </c>
      <c r="QO6" s="7"/>
      <c r="QP6" s="7"/>
      <c r="QQ6" s="7"/>
      <c r="QR6" s="7"/>
      <c r="QS6" s="7"/>
      <c r="QT6" s="7"/>
      <c r="QU6" s="7">
        <v>12529126</v>
      </c>
      <c r="QV6" s="7"/>
      <c r="QW6" s="7"/>
      <c r="QX6" s="7"/>
      <c r="QY6" s="7"/>
      <c r="QZ6" s="7"/>
      <c r="RA6" s="7">
        <v>7991928</v>
      </c>
      <c r="RB6" s="7"/>
      <c r="RC6" s="7"/>
      <c r="RD6" s="7"/>
      <c r="RE6" s="7"/>
      <c r="RF6" s="7"/>
      <c r="RG6" s="7"/>
      <c r="RH6" s="7">
        <v>1739066</v>
      </c>
      <c r="RI6" s="7"/>
      <c r="RJ6" s="7"/>
      <c r="RK6" s="7"/>
      <c r="RL6" s="7">
        <v>2290537</v>
      </c>
      <c r="RM6" s="7"/>
      <c r="RN6" s="7"/>
      <c r="RO6" s="7"/>
      <c r="RP6" s="7"/>
      <c r="RQ6" s="7"/>
      <c r="RR6" s="7"/>
      <c r="RS6" s="7"/>
      <c r="RT6" s="7"/>
      <c r="RU6" s="7">
        <v>4482738</v>
      </c>
      <c r="RV6" s="7"/>
      <c r="RW6" s="7"/>
      <c r="RX6" s="7"/>
      <c r="RY6" s="7">
        <v>2151171</v>
      </c>
      <c r="RZ6" s="7"/>
      <c r="SA6" s="7"/>
      <c r="SB6" s="7"/>
      <c r="SC6" s="7"/>
      <c r="SD6" s="7">
        <v>2037064</v>
      </c>
      <c r="SE6" s="7"/>
      <c r="SF6" s="7"/>
      <c r="SG6" s="7"/>
      <c r="SH6" s="7"/>
      <c r="SI6" s="7"/>
      <c r="SJ6" s="7"/>
      <c r="SK6" s="7">
        <v>1918939</v>
      </c>
      <c r="SL6" s="7">
        <v>31794300</v>
      </c>
      <c r="SM6" s="7">
        <v>2061069</v>
      </c>
      <c r="SN6" s="7">
        <v>1155542</v>
      </c>
      <c r="SO6" s="7"/>
      <c r="SP6" s="7"/>
      <c r="SQ6" s="7"/>
      <c r="SR6" s="7">
        <v>2690691</v>
      </c>
      <c r="SS6" s="7"/>
      <c r="ST6" s="7"/>
      <c r="SU6" s="7"/>
      <c r="SV6" s="7">
        <v>10708678</v>
      </c>
      <c r="SW6" s="7"/>
      <c r="SX6" s="7">
        <v>137338480</v>
      </c>
      <c r="SY6" s="7"/>
      <c r="SZ6" s="7"/>
      <c r="TA6" s="7"/>
      <c r="TB6" s="7">
        <v>19068927</v>
      </c>
      <c r="TC6" s="7"/>
      <c r="TD6" s="7"/>
      <c r="TE6" s="7"/>
      <c r="TF6" s="7"/>
      <c r="TG6" s="7">
        <v>106454000</v>
      </c>
      <c r="TH6" s="7"/>
      <c r="TI6" s="7"/>
      <c r="TJ6" s="7"/>
      <c r="TK6" s="7"/>
      <c r="TL6" s="7"/>
      <c r="TM6" s="7">
        <v>26273326</v>
      </c>
      <c r="TN6" s="7">
        <v>81208873</v>
      </c>
      <c r="TO6" s="7"/>
    </row>
    <row r="7" spans="1:535" x14ac:dyDescent="0.25">
      <c r="A7" s="5" t="s">
        <v>1415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>
        <v>12555303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>
        <v>1541356</v>
      </c>
      <c r="AX7" s="7"/>
      <c r="AY7" s="7"/>
      <c r="AZ7" s="7"/>
      <c r="BA7" s="7"/>
      <c r="BB7" s="7"/>
      <c r="BC7" s="7"/>
      <c r="BD7" s="7"/>
      <c r="BE7" s="7"/>
      <c r="BF7" s="7">
        <v>5671116</v>
      </c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>
        <v>1877053</v>
      </c>
      <c r="BS7" s="7"/>
      <c r="BT7" s="7"/>
      <c r="BU7" s="7"/>
      <c r="BV7" s="7"/>
      <c r="BW7" s="7"/>
      <c r="BX7" s="7">
        <v>2332035</v>
      </c>
      <c r="BY7" s="7"/>
      <c r="BZ7" s="7"/>
      <c r="CA7" s="7"/>
      <c r="CB7" s="7"/>
      <c r="CC7" s="7"/>
      <c r="CD7" s="7"/>
      <c r="CE7" s="7"/>
      <c r="CF7" s="7"/>
      <c r="CG7" s="7"/>
      <c r="CH7" s="7"/>
      <c r="CI7" s="7">
        <v>1506009</v>
      </c>
      <c r="CJ7" s="7"/>
      <c r="CK7" s="7"/>
      <c r="CL7" s="7"/>
      <c r="CM7" s="7"/>
      <c r="CN7" s="7"/>
      <c r="CO7" s="7"/>
      <c r="CP7" s="7"/>
      <c r="CQ7" s="7"/>
      <c r="CR7" s="7">
        <v>2888296</v>
      </c>
      <c r="CS7" s="7"/>
      <c r="CT7" s="7"/>
      <c r="CU7" s="7"/>
      <c r="CV7" s="7"/>
      <c r="CW7" s="7"/>
      <c r="CX7" s="7"/>
      <c r="CY7" s="7"/>
      <c r="CZ7" s="7">
        <v>1194339</v>
      </c>
      <c r="DA7" s="7"/>
      <c r="DB7" s="7"/>
      <c r="DC7" s="7">
        <v>19299536</v>
      </c>
      <c r="DD7" s="7"/>
      <c r="DE7" s="7"/>
      <c r="DF7" s="7"/>
      <c r="DG7" s="7"/>
      <c r="DH7" s="7"/>
      <c r="DI7" s="7"/>
      <c r="DJ7" s="7"/>
      <c r="DK7" s="7"/>
      <c r="DL7" s="7"/>
      <c r="DM7" s="7"/>
      <c r="DN7" s="7">
        <v>1214526</v>
      </c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>
        <v>1137900</v>
      </c>
      <c r="EJ7" s="7"/>
      <c r="EK7" s="7"/>
      <c r="EL7" s="7"/>
      <c r="EM7" s="7"/>
      <c r="EN7" s="7"/>
      <c r="EO7" s="7"/>
      <c r="EP7" s="7">
        <v>1208399</v>
      </c>
      <c r="EQ7" s="7"/>
      <c r="ER7" s="7"/>
      <c r="ES7" s="7"/>
      <c r="ET7" s="7"/>
      <c r="EU7" s="7">
        <v>1830566</v>
      </c>
      <c r="EV7" s="7"/>
      <c r="EW7" s="7"/>
      <c r="EX7" s="7"/>
      <c r="EY7" s="7"/>
      <c r="EZ7" s="7"/>
      <c r="FA7" s="7"/>
      <c r="FB7" s="7"/>
      <c r="FC7" s="7"/>
      <c r="FD7" s="7"/>
      <c r="FE7" s="7"/>
      <c r="FF7" s="7">
        <v>1060583</v>
      </c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>
        <v>37951515</v>
      </c>
      <c r="GN7" s="7"/>
      <c r="GO7" s="7"/>
      <c r="GP7" s="7"/>
      <c r="GQ7" s="7">
        <v>1727880</v>
      </c>
      <c r="GR7" s="7"/>
      <c r="GS7" s="7"/>
      <c r="GT7" s="7">
        <v>2088153</v>
      </c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>
        <v>4871818</v>
      </c>
      <c r="HY7" s="7"/>
      <c r="HZ7" s="7"/>
      <c r="IA7" s="7"/>
      <c r="IB7" s="7"/>
      <c r="IC7" s="7"/>
      <c r="ID7" s="7"/>
      <c r="IE7" s="7"/>
      <c r="IF7" s="7"/>
      <c r="IG7" s="7"/>
      <c r="IH7" s="7">
        <v>1534402</v>
      </c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>
        <v>1698269</v>
      </c>
      <c r="JD7" s="7"/>
      <c r="JE7" s="7"/>
      <c r="JF7" s="7">
        <v>1293914</v>
      </c>
      <c r="JG7" s="7"/>
      <c r="JH7" s="7">
        <v>20533459</v>
      </c>
      <c r="JI7" s="7"/>
      <c r="JJ7" s="7"/>
      <c r="JK7" s="7"/>
      <c r="JL7" s="7"/>
      <c r="JM7" s="7"/>
      <c r="JN7" s="7"/>
      <c r="JO7" s="7">
        <v>1983668</v>
      </c>
      <c r="JP7" s="7"/>
      <c r="JQ7" s="7">
        <v>1280100</v>
      </c>
      <c r="JR7" s="7"/>
      <c r="JS7" s="7"/>
      <c r="JT7" s="7"/>
      <c r="JU7" s="7"/>
      <c r="JV7" s="7"/>
      <c r="JW7" s="7"/>
      <c r="JX7" s="7"/>
      <c r="JY7" s="7"/>
      <c r="JZ7" s="7"/>
      <c r="KA7" s="7">
        <v>81880628</v>
      </c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>
        <v>19296781</v>
      </c>
      <c r="KQ7" s="7"/>
      <c r="KR7" s="7"/>
      <c r="KS7" s="7"/>
      <c r="KT7" s="7"/>
      <c r="KU7" s="7"/>
      <c r="KV7" s="7"/>
      <c r="KW7" s="7">
        <v>3029456</v>
      </c>
      <c r="KX7" s="7"/>
      <c r="KY7" s="7"/>
      <c r="KZ7" s="7"/>
      <c r="LA7" s="7">
        <v>1495460</v>
      </c>
      <c r="LB7" s="7"/>
      <c r="LC7" s="7"/>
      <c r="LD7" s="7"/>
      <c r="LE7" s="7">
        <v>1865540</v>
      </c>
      <c r="LF7" s="7"/>
      <c r="LG7" s="7"/>
      <c r="LH7" s="7">
        <v>1990222</v>
      </c>
      <c r="LI7" s="7"/>
      <c r="LJ7" s="7"/>
      <c r="LK7" s="7"/>
      <c r="LL7" s="7">
        <v>1203650</v>
      </c>
      <c r="LM7" s="7"/>
      <c r="LN7" s="7"/>
      <c r="LO7" s="7">
        <v>1334653</v>
      </c>
      <c r="LP7" s="7"/>
      <c r="LQ7" s="7"/>
      <c r="LR7" s="7"/>
      <c r="LS7" s="7">
        <v>1471387</v>
      </c>
      <c r="LT7" s="7"/>
      <c r="LU7" s="7"/>
      <c r="LV7" s="7">
        <v>1147474</v>
      </c>
      <c r="LW7" s="7"/>
      <c r="LX7" s="7"/>
      <c r="LY7" s="7"/>
      <c r="LZ7" s="7"/>
      <c r="MA7" s="7"/>
      <c r="MB7" s="7"/>
      <c r="MC7" s="7">
        <v>3700642</v>
      </c>
      <c r="MD7" s="7"/>
      <c r="ME7" s="9">
        <v>5178365</v>
      </c>
      <c r="MF7" s="9"/>
      <c r="MG7" s="9">
        <v>5178365</v>
      </c>
      <c r="MH7" s="7"/>
      <c r="MI7" s="7"/>
      <c r="MJ7" s="7">
        <v>1367998</v>
      </c>
      <c r="MK7" s="7"/>
      <c r="ML7" s="7">
        <v>1068688</v>
      </c>
      <c r="MM7" s="7"/>
      <c r="MN7" s="7">
        <v>7576095</v>
      </c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>
        <v>1906404</v>
      </c>
      <c r="NA7" s="7"/>
      <c r="NB7" s="7">
        <v>2355989</v>
      </c>
      <c r="NC7" s="7"/>
      <c r="ND7" s="7"/>
      <c r="NE7" s="7"/>
      <c r="NF7" s="7">
        <v>1518804</v>
      </c>
      <c r="NG7" s="7"/>
      <c r="NH7" s="7"/>
      <c r="NI7" s="7"/>
      <c r="NJ7" s="7">
        <v>1394061</v>
      </c>
      <c r="NK7" s="7"/>
      <c r="NL7" s="7">
        <v>1323631</v>
      </c>
      <c r="NM7" s="7"/>
      <c r="NN7" s="7"/>
      <c r="NO7" s="7">
        <v>1682411</v>
      </c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>
        <v>1261467</v>
      </c>
      <c r="OE7" s="7"/>
      <c r="OF7" s="7"/>
      <c r="OG7" s="7"/>
      <c r="OH7" s="7"/>
      <c r="OI7" s="7"/>
      <c r="OJ7" s="7"/>
      <c r="OK7" s="7"/>
      <c r="OL7" s="7"/>
      <c r="OM7" s="7">
        <v>1070530</v>
      </c>
      <c r="ON7" s="7"/>
      <c r="OO7" s="7">
        <v>1189443</v>
      </c>
      <c r="OP7" s="7"/>
      <c r="OQ7" s="7"/>
      <c r="OR7" s="7">
        <v>33165459</v>
      </c>
      <c r="OS7" s="7"/>
      <c r="OT7" s="7"/>
      <c r="OU7" s="7"/>
      <c r="OV7" s="7">
        <v>2582114</v>
      </c>
      <c r="OW7" s="7"/>
      <c r="OX7" s="7"/>
      <c r="OY7" s="7"/>
      <c r="OZ7" s="7"/>
      <c r="PA7" s="7">
        <v>5840233</v>
      </c>
      <c r="PB7" s="7">
        <v>10235273</v>
      </c>
      <c r="PC7" s="7"/>
      <c r="PD7" s="7">
        <v>88591139</v>
      </c>
      <c r="PE7" s="7">
        <v>1162353</v>
      </c>
      <c r="PF7" s="7"/>
      <c r="PG7" s="7"/>
      <c r="PH7" s="7">
        <v>1396730</v>
      </c>
      <c r="PI7" s="7"/>
      <c r="PJ7" s="7"/>
      <c r="PK7" s="7"/>
      <c r="PL7" s="7"/>
      <c r="PM7" s="7"/>
      <c r="PN7" s="7">
        <v>1095100</v>
      </c>
      <c r="PO7" s="7"/>
      <c r="PP7" s="7">
        <v>1347986</v>
      </c>
      <c r="PQ7" s="7"/>
      <c r="PR7" s="7"/>
      <c r="PS7" s="7"/>
      <c r="PT7" s="7"/>
      <c r="PU7" s="7"/>
      <c r="PV7" s="7">
        <v>8727880</v>
      </c>
      <c r="PW7" s="7"/>
      <c r="PX7" s="7"/>
      <c r="PY7" s="7">
        <v>5598108</v>
      </c>
      <c r="PZ7" s="7"/>
      <c r="QA7" s="7"/>
      <c r="QB7" s="7"/>
      <c r="QC7" s="7">
        <v>1521154</v>
      </c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>
        <v>3465061</v>
      </c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>
        <v>27124802</v>
      </c>
      <c r="RG7" s="7"/>
      <c r="RH7" s="7"/>
      <c r="RI7" s="7"/>
      <c r="RJ7" s="7"/>
      <c r="RK7" s="7"/>
      <c r="RL7" s="7"/>
      <c r="RM7" s="7"/>
      <c r="RN7" s="7">
        <v>2717534</v>
      </c>
      <c r="RO7" s="7"/>
      <c r="RP7" s="7"/>
      <c r="RQ7" s="7">
        <v>1160399</v>
      </c>
      <c r="RR7" s="7"/>
      <c r="RS7" s="7"/>
      <c r="RT7" s="7"/>
      <c r="RU7" s="7">
        <v>2064338</v>
      </c>
      <c r="RV7" s="7"/>
      <c r="RW7" s="7"/>
      <c r="RX7" s="7">
        <v>1061746</v>
      </c>
      <c r="RY7" s="7"/>
      <c r="RZ7" s="7"/>
      <c r="SA7" s="7"/>
      <c r="SB7" s="7"/>
      <c r="SC7" s="7">
        <v>1053183</v>
      </c>
      <c r="SD7" s="7"/>
      <c r="SE7" s="7"/>
      <c r="SF7" s="7"/>
      <c r="SG7" s="7"/>
      <c r="SH7" s="7">
        <v>2711531</v>
      </c>
      <c r="SI7" s="7"/>
      <c r="SJ7" s="7"/>
      <c r="SK7" s="7"/>
      <c r="SL7" s="7">
        <v>4842807</v>
      </c>
      <c r="SM7" s="7"/>
      <c r="SN7" s="7"/>
      <c r="SO7" s="7">
        <v>3177210</v>
      </c>
      <c r="SP7" s="7"/>
      <c r="SQ7" s="7"/>
      <c r="SR7" s="7"/>
      <c r="SS7" s="7"/>
      <c r="ST7" s="7"/>
      <c r="SU7" s="7"/>
      <c r="SV7" s="7"/>
      <c r="SW7" s="7"/>
      <c r="SX7" s="7"/>
      <c r="SY7" s="7">
        <v>1798987</v>
      </c>
      <c r="SZ7" s="7"/>
      <c r="TA7" s="7"/>
      <c r="TB7" s="7">
        <v>4157751</v>
      </c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>
        <v>1430889</v>
      </c>
    </row>
    <row r="8" spans="1:535" x14ac:dyDescent="0.25">
      <c r="A8" s="5" t="s">
        <v>1416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>
        <v>21748622</v>
      </c>
      <c r="Q8" s="7"/>
      <c r="R8" s="7"/>
      <c r="S8" s="7"/>
      <c r="T8" s="7"/>
      <c r="U8" s="7"/>
      <c r="V8" s="7"/>
      <c r="W8" s="7"/>
      <c r="X8" s="7"/>
      <c r="Y8" s="7"/>
      <c r="Z8" s="7"/>
      <c r="AA8" s="7">
        <v>2638687</v>
      </c>
      <c r="AB8" s="7"/>
      <c r="AC8" s="7"/>
      <c r="AD8" s="7"/>
      <c r="AE8" s="7"/>
      <c r="AF8" s="7">
        <v>1221381</v>
      </c>
      <c r="AG8" s="7"/>
      <c r="AH8" s="7"/>
      <c r="AI8" s="7">
        <v>1268175</v>
      </c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>
        <v>1002829</v>
      </c>
      <c r="AX8" s="7"/>
      <c r="AY8" s="7"/>
      <c r="AZ8" s="7"/>
      <c r="BA8" s="7"/>
      <c r="BB8" s="7"/>
      <c r="BC8" s="7"/>
      <c r="BD8" s="7"/>
      <c r="BE8" s="7"/>
      <c r="BF8" s="7">
        <v>4473856</v>
      </c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>
        <v>3928087</v>
      </c>
      <c r="BY8" s="7"/>
      <c r="BZ8" s="7"/>
      <c r="CA8" s="7"/>
      <c r="CB8" s="7"/>
      <c r="CC8" s="7"/>
      <c r="CD8" s="7"/>
      <c r="CE8" s="7"/>
      <c r="CF8" s="7"/>
      <c r="CG8" s="7"/>
      <c r="CH8" s="7"/>
      <c r="CI8" s="7">
        <v>1678559</v>
      </c>
      <c r="CJ8" s="7"/>
      <c r="CK8" s="7"/>
      <c r="CL8" s="7"/>
      <c r="CM8" s="7"/>
      <c r="CN8" s="7"/>
      <c r="CO8" s="7"/>
      <c r="CP8" s="7"/>
      <c r="CQ8" s="7"/>
      <c r="CR8" s="7">
        <v>2412684</v>
      </c>
      <c r="CS8" s="7"/>
      <c r="CT8" s="7"/>
      <c r="CU8" s="7">
        <v>2930853</v>
      </c>
      <c r="CV8" s="7"/>
      <c r="CW8" s="7"/>
      <c r="CX8" s="7"/>
      <c r="CY8" s="7"/>
      <c r="CZ8" s="7">
        <v>1337002</v>
      </c>
      <c r="DA8" s="7"/>
      <c r="DB8" s="7"/>
      <c r="DC8" s="7"/>
      <c r="DD8" s="7">
        <v>16295903</v>
      </c>
      <c r="DE8" s="7"/>
      <c r="DF8" s="7"/>
      <c r="DG8" s="7">
        <v>10445741</v>
      </c>
      <c r="DH8" s="7"/>
      <c r="DI8" s="7"/>
      <c r="DJ8" s="7"/>
      <c r="DK8" s="7"/>
      <c r="DL8" s="7"/>
      <c r="DM8" s="7"/>
      <c r="DN8" s="7"/>
      <c r="DO8" s="7">
        <v>1223854</v>
      </c>
      <c r="DP8" s="7"/>
      <c r="DQ8" s="7"/>
      <c r="DR8" s="7"/>
      <c r="DS8" s="7"/>
      <c r="DT8" s="7"/>
      <c r="DU8" s="7">
        <v>1416036</v>
      </c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>
        <v>1437042</v>
      </c>
      <c r="EI8" s="7"/>
      <c r="EJ8" s="7"/>
      <c r="EK8" s="7"/>
      <c r="EL8" s="7"/>
      <c r="EM8" s="7"/>
      <c r="EN8" s="7"/>
      <c r="EO8" s="7">
        <v>1491403</v>
      </c>
      <c r="EP8" s="7"/>
      <c r="EQ8" s="7"/>
      <c r="ER8" s="7">
        <v>1396631</v>
      </c>
      <c r="ES8" s="7"/>
      <c r="ET8" s="7"/>
      <c r="EU8" s="7">
        <v>1014121</v>
      </c>
      <c r="EV8" s="7"/>
      <c r="EW8" s="7"/>
      <c r="EX8" s="7"/>
      <c r="EY8" s="7"/>
      <c r="EZ8" s="7"/>
      <c r="FA8" s="7"/>
      <c r="FB8" s="7"/>
      <c r="FC8" s="7"/>
      <c r="FD8" s="7">
        <v>1854165</v>
      </c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>
        <v>1083257</v>
      </c>
      <c r="GM8" s="7">
        <v>33201203</v>
      </c>
      <c r="GN8" s="7"/>
      <c r="GO8" s="7"/>
      <c r="GP8" s="7"/>
      <c r="GQ8" s="7"/>
      <c r="GR8" s="7"/>
      <c r="GS8" s="7"/>
      <c r="GT8" s="7"/>
      <c r="GU8" s="7">
        <v>1274368</v>
      </c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>
        <v>2442523</v>
      </c>
      <c r="HZ8" s="7"/>
      <c r="IA8" s="7">
        <v>3726279</v>
      </c>
      <c r="IB8" s="7"/>
      <c r="IC8" s="7"/>
      <c r="ID8" s="7"/>
      <c r="IE8" s="7"/>
      <c r="IF8" s="7"/>
      <c r="IG8" s="7"/>
      <c r="IH8" s="7"/>
      <c r="II8" s="7"/>
      <c r="IJ8" s="7"/>
      <c r="IK8" s="7"/>
      <c r="IL8" s="7">
        <v>1724334</v>
      </c>
      <c r="IM8" s="7"/>
      <c r="IN8" s="7"/>
      <c r="IO8" s="7"/>
      <c r="IP8" s="7">
        <v>1040288</v>
      </c>
      <c r="IQ8" s="7"/>
      <c r="IR8" s="7">
        <v>3491790</v>
      </c>
      <c r="IS8" s="7"/>
      <c r="IT8" s="7"/>
      <c r="IU8" s="7"/>
      <c r="IV8" s="7"/>
      <c r="IW8" s="7">
        <v>1268014</v>
      </c>
      <c r="IX8" s="7"/>
      <c r="IY8" s="7"/>
      <c r="IZ8" s="7"/>
      <c r="JA8" s="7"/>
      <c r="JB8" s="7"/>
      <c r="JC8" s="7"/>
      <c r="JD8" s="7"/>
      <c r="JE8" s="7"/>
      <c r="JF8" s="7">
        <v>2061737</v>
      </c>
      <c r="JG8" s="7"/>
      <c r="JH8" s="7"/>
      <c r="JI8" s="7">
        <v>9633324</v>
      </c>
      <c r="JJ8" s="7"/>
      <c r="JK8" s="7"/>
      <c r="JL8" s="7"/>
      <c r="JM8" s="7"/>
      <c r="JN8" s="7"/>
      <c r="JO8" s="7">
        <v>6907776</v>
      </c>
      <c r="JP8" s="7"/>
      <c r="JQ8" s="7"/>
      <c r="JR8" s="7">
        <v>3919734</v>
      </c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>
        <v>163277385</v>
      </c>
      <c r="KH8" s="7"/>
      <c r="KI8" s="7"/>
      <c r="KJ8" s="7"/>
      <c r="KK8" s="7"/>
      <c r="KL8" s="7"/>
      <c r="KM8" s="7"/>
      <c r="KN8" s="7"/>
      <c r="KO8" s="7"/>
      <c r="KP8" s="7">
        <v>13275449</v>
      </c>
      <c r="KQ8" s="7"/>
      <c r="KR8" s="7"/>
      <c r="KS8" s="7"/>
      <c r="KT8" s="7"/>
      <c r="KU8" s="7"/>
      <c r="KV8" s="7"/>
      <c r="KW8" s="7"/>
      <c r="KX8" s="7"/>
      <c r="KY8" s="7"/>
      <c r="KZ8" s="7"/>
      <c r="LA8" s="7">
        <v>1187467</v>
      </c>
      <c r="LB8" s="7"/>
      <c r="LC8" s="7"/>
      <c r="LD8" s="7"/>
      <c r="LE8" s="7">
        <v>2105218</v>
      </c>
      <c r="LF8" s="7"/>
      <c r="LG8" s="7"/>
      <c r="LH8" s="7"/>
      <c r="LI8" s="7"/>
      <c r="LJ8" s="7"/>
      <c r="LK8" s="7"/>
      <c r="LL8" s="7"/>
      <c r="LM8" s="7"/>
      <c r="LN8" s="7"/>
      <c r="LO8" s="7">
        <v>3831391</v>
      </c>
      <c r="LP8" s="7"/>
      <c r="LQ8" s="7"/>
      <c r="LR8" s="7"/>
      <c r="LS8" s="7">
        <v>2281552</v>
      </c>
      <c r="LT8" s="7"/>
      <c r="LU8" s="7"/>
      <c r="LV8" s="7"/>
      <c r="LW8" s="7"/>
      <c r="LX8" s="7"/>
      <c r="LY8" s="7"/>
      <c r="LZ8" s="7"/>
      <c r="MA8" s="7"/>
      <c r="MB8" s="7"/>
      <c r="MC8" s="7">
        <v>1842583</v>
      </c>
      <c r="MD8" s="7"/>
      <c r="ME8" s="9">
        <v>4402272</v>
      </c>
      <c r="MF8" s="9"/>
      <c r="MG8" s="9">
        <v>4402272</v>
      </c>
      <c r="MH8" s="7"/>
      <c r="MI8" s="7"/>
      <c r="MJ8" s="7"/>
      <c r="MK8" s="7"/>
      <c r="ML8" s="7"/>
      <c r="MM8" s="7"/>
      <c r="MN8" s="7"/>
      <c r="MO8" s="7">
        <v>2848831</v>
      </c>
      <c r="MP8" s="7"/>
      <c r="MQ8" s="7"/>
      <c r="MR8" s="7"/>
      <c r="MS8" s="7"/>
      <c r="MT8" s="7"/>
      <c r="MU8" s="7">
        <v>1087277</v>
      </c>
      <c r="MV8" s="7"/>
      <c r="MW8" s="7"/>
      <c r="MX8" s="7">
        <v>2151807</v>
      </c>
      <c r="MY8" s="7">
        <v>1524032</v>
      </c>
      <c r="MZ8" s="7"/>
      <c r="NA8" s="7"/>
      <c r="NB8" s="7">
        <v>2134778</v>
      </c>
      <c r="NC8" s="7"/>
      <c r="ND8" s="7"/>
      <c r="NE8" s="7"/>
      <c r="NF8" s="7">
        <v>1071739</v>
      </c>
      <c r="NG8" s="7"/>
      <c r="NH8" s="7"/>
      <c r="NI8" s="7"/>
      <c r="NJ8" s="7">
        <v>3817384</v>
      </c>
      <c r="NK8" s="7"/>
      <c r="NL8" s="7">
        <v>2256598</v>
      </c>
      <c r="NM8" s="7"/>
      <c r="NN8" s="7"/>
      <c r="NO8" s="7">
        <v>1430232</v>
      </c>
      <c r="NP8" s="7"/>
      <c r="NQ8" s="7">
        <v>1897469</v>
      </c>
      <c r="NR8" s="7">
        <v>1433603</v>
      </c>
      <c r="NS8" s="7"/>
      <c r="NT8" s="7"/>
      <c r="NU8" s="7"/>
      <c r="NV8" s="7">
        <v>1906658</v>
      </c>
      <c r="NW8" s="7"/>
      <c r="NX8" s="7"/>
      <c r="NY8" s="7"/>
      <c r="NZ8" s="7">
        <v>1786353</v>
      </c>
      <c r="OA8" s="7"/>
      <c r="OB8" s="7"/>
      <c r="OC8" s="7"/>
      <c r="OD8" s="7">
        <v>1400797</v>
      </c>
      <c r="OE8" s="7"/>
      <c r="OF8" s="7">
        <v>1339848</v>
      </c>
      <c r="OG8" s="7"/>
      <c r="OH8" s="7"/>
      <c r="OI8" s="7"/>
      <c r="OJ8" s="7">
        <v>1136333</v>
      </c>
      <c r="OK8" s="7"/>
      <c r="OL8" s="7">
        <v>1252852</v>
      </c>
      <c r="OM8" s="7">
        <v>3314135</v>
      </c>
      <c r="ON8" s="7">
        <v>1874737</v>
      </c>
      <c r="OO8" s="7"/>
      <c r="OP8" s="7"/>
      <c r="OQ8" s="7"/>
      <c r="OR8" s="7">
        <v>37369962</v>
      </c>
      <c r="OS8" s="7"/>
      <c r="OT8" s="7"/>
      <c r="OU8" s="7"/>
      <c r="OV8" s="7"/>
      <c r="OW8" s="7">
        <v>2919541</v>
      </c>
      <c r="OX8" s="7"/>
      <c r="OY8" s="7"/>
      <c r="OZ8" s="7"/>
      <c r="PA8" s="7">
        <v>7754463</v>
      </c>
      <c r="PB8" s="7">
        <v>13361797</v>
      </c>
      <c r="PC8" s="7"/>
      <c r="PD8" s="7">
        <v>109356804</v>
      </c>
      <c r="PE8" s="7">
        <v>2160015</v>
      </c>
      <c r="PF8" s="7"/>
      <c r="PG8" s="7"/>
      <c r="PH8" s="7">
        <v>4704586</v>
      </c>
      <c r="PI8" s="7"/>
      <c r="PJ8" s="7"/>
      <c r="PK8" s="7"/>
      <c r="PL8" s="7"/>
      <c r="PM8" s="7">
        <v>2028273</v>
      </c>
      <c r="PN8" s="7"/>
      <c r="PO8" s="7">
        <v>2543900</v>
      </c>
      <c r="PP8" s="7"/>
      <c r="PQ8" s="7"/>
      <c r="PR8" s="7"/>
      <c r="PS8" s="7">
        <v>1400370</v>
      </c>
      <c r="PT8" s="7"/>
      <c r="PU8" s="7"/>
      <c r="PV8" s="7">
        <v>13538089</v>
      </c>
      <c r="PW8" s="7"/>
      <c r="PX8" s="7"/>
      <c r="PY8" s="7">
        <v>14072041</v>
      </c>
      <c r="PZ8" s="7"/>
      <c r="QA8" s="7"/>
      <c r="QB8" s="7">
        <v>3334296</v>
      </c>
      <c r="QC8" s="7"/>
      <c r="QD8" s="7"/>
      <c r="QE8" s="7"/>
      <c r="QF8" s="7"/>
      <c r="QG8" s="7">
        <v>1197255</v>
      </c>
      <c r="QH8" s="7"/>
      <c r="QI8" s="7"/>
      <c r="QJ8" s="7"/>
      <c r="QK8" s="7">
        <v>1244290</v>
      </c>
      <c r="QL8" s="7">
        <v>1376249</v>
      </c>
      <c r="QM8" s="7"/>
      <c r="QN8" s="7">
        <v>1658275</v>
      </c>
      <c r="QO8" s="7"/>
      <c r="QP8" s="7"/>
      <c r="QQ8" s="7"/>
      <c r="QR8" s="7">
        <v>1189159</v>
      </c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>
        <v>4276339</v>
      </c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>
        <v>2633379</v>
      </c>
      <c r="SY8" s="7"/>
      <c r="SZ8" s="7"/>
      <c r="TA8" s="7"/>
      <c r="TB8" s="7">
        <v>9638832</v>
      </c>
      <c r="TC8" s="7"/>
      <c r="TD8" s="7"/>
      <c r="TE8" s="7"/>
      <c r="TF8" s="7"/>
      <c r="TG8" s="7"/>
      <c r="TH8" s="7"/>
      <c r="TI8" s="7">
        <v>1591861</v>
      </c>
      <c r="TJ8" s="7"/>
      <c r="TK8" s="7"/>
      <c r="TL8" s="7"/>
      <c r="TM8" s="7"/>
      <c r="TN8" s="7">
        <v>2108103</v>
      </c>
      <c r="TO8" s="7"/>
    </row>
    <row r="9" spans="1:535" x14ac:dyDescent="0.25">
      <c r="A9" s="5" t="s">
        <v>1417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>
        <v>9808696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>
        <v>2764599</v>
      </c>
      <c r="AV9" s="7">
        <v>1460202</v>
      </c>
      <c r="AW9" s="7"/>
      <c r="AX9" s="7"/>
      <c r="AY9" s="7"/>
      <c r="AZ9" s="7"/>
      <c r="BA9" s="7">
        <v>1154742</v>
      </c>
      <c r="BB9" s="7"/>
      <c r="BC9" s="7"/>
      <c r="BD9" s="7"/>
      <c r="BE9" s="7"/>
      <c r="BF9" s="7"/>
      <c r="BG9" s="7">
        <v>4013294</v>
      </c>
      <c r="BH9" s="7"/>
      <c r="BI9" s="7"/>
      <c r="BJ9" s="7">
        <v>1292976</v>
      </c>
      <c r="BK9" s="7"/>
      <c r="BL9" s="7"/>
      <c r="BM9" s="7"/>
      <c r="BN9" s="7"/>
      <c r="BO9" s="7"/>
      <c r="BP9" s="7"/>
      <c r="BQ9" s="7">
        <v>4079905</v>
      </c>
      <c r="BR9" s="7"/>
      <c r="BS9" s="7"/>
      <c r="BT9" s="7"/>
      <c r="BU9" s="7">
        <v>9308401</v>
      </c>
      <c r="BV9" s="7"/>
      <c r="BW9" s="7"/>
      <c r="BX9" s="7"/>
      <c r="BY9" s="7"/>
      <c r="BZ9" s="7"/>
      <c r="CA9" s="7"/>
      <c r="CB9" s="7"/>
      <c r="CC9" s="7"/>
      <c r="CD9" s="7">
        <v>3986774</v>
      </c>
      <c r="CE9" s="7"/>
      <c r="CF9" s="7">
        <v>2340638</v>
      </c>
      <c r="CG9" s="7"/>
      <c r="CH9" s="7">
        <v>5696975</v>
      </c>
      <c r="CI9" s="7"/>
      <c r="CJ9" s="7"/>
      <c r="CK9" s="7"/>
      <c r="CL9" s="7"/>
      <c r="CM9" s="7"/>
      <c r="CN9" s="7"/>
      <c r="CO9" s="7"/>
      <c r="CP9" s="7"/>
      <c r="CQ9" s="7"/>
      <c r="CR9" s="7"/>
      <c r="CS9" s="7">
        <v>24702201</v>
      </c>
      <c r="CT9" s="7"/>
      <c r="CU9" s="7"/>
      <c r="CV9" s="7"/>
      <c r="CW9" s="7">
        <v>7565477</v>
      </c>
      <c r="CX9" s="7"/>
      <c r="CY9" s="7"/>
      <c r="CZ9" s="7">
        <v>5727207</v>
      </c>
      <c r="DA9" s="7"/>
      <c r="DB9" s="7">
        <v>2741039</v>
      </c>
      <c r="DC9" s="7"/>
      <c r="DD9" s="7">
        <v>16195795</v>
      </c>
      <c r="DE9" s="7"/>
      <c r="DF9" s="7"/>
      <c r="DG9" s="7"/>
      <c r="DH9" s="7">
        <v>5953767</v>
      </c>
      <c r="DI9" s="7">
        <v>3031035</v>
      </c>
      <c r="DJ9" s="7"/>
      <c r="DK9" s="7">
        <v>4210143</v>
      </c>
      <c r="DL9" s="7">
        <v>6075028</v>
      </c>
      <c r="DM9" s="7"/>
      <c r="DN9" s="7">
        <v>23621018</v>
      </c>
      <c r="DO9" s="7"/>
      <c r="DP9" s="7"/>
      <c r="DQ9" s="7">
        <v>3059305</v>
      </c>
      <c r="DR9" s="7"/>
      <c r="DS9" s="7"/>
      <c r="DT9" s="7"/>
      <c r="DU9" s="7"/>
      <c r="DV9" s="7">
        <v>98510925</v>
      </c>
      <c r="DW9" s="7"/>
      <c r="DX9" s="7"/>
      <c r="DY9" s="7"/>
      <c r="DZ9" s="7">
        <v>52994703</v>
      </c>
      <c r="EA9" s="7"/>
      <c r="EB9" s="7"/>
      <c r="EC9" s="7"/>
      <c r="ED9" s="7"/>
      <c r="EE9" s="7">
        <v>14805883</v>
      </c>
      <c r="EF9" s="7"/>
      <c r="EG9" s="7">
        <v>8581362</v>
      </c>
      <c r="EH9" s="7"/>
      <c r="EI9" s="7"/>
      <c r="EJ9" s="7"/>
      <c r="EK9" s="7"/>
      <c r="EL9" s="7">
        <v>14458387</v>
      </c>
      <c r="EM9" s="7"/>
      <c r="EN9" s="7">
        <v>45114114</v>
      </c>
      <c r="EO9" s="7"/>
      <c r="EP9" s="7"/>
      <c r="EQ9" s="7"/>
      <c r="ER9" s="7"/>
      <c r="ES9" s="7"/>
      <c r="ET9" s="7">
        <v>15053968</v>
      </c>
      <c r="EU9" s="7"/>
      <c r="EV9" s="7"/>
      <c r="EW9" s="7">
        <v>10572167</v>
      </c>
      <c r="EX9" s="7"/>
      <c r="EY9" s="7">
        <v>24190097</v>
      </c>
      <c r="EZ9" s="7"/>
      <c r="FA9" s="7">
        <v>31936566</v>
      </c>
      <c r="FB9" s="7"/>
      <c r="FC9" s="7"/>
      <c r="FD9" s="7"/>
      <c r="FE9" s="7"/>
      <c r="FF9" s="7"/>
      <c r="FG9" s="7">
        <v>15187565</v>
      </c>
      <c r="FH9" s="7"/>
      <c r="FI9" s="7">
        <v>21351735</v>
      </c>
      <c r="FJ9" s="7"/>
      <c r="FK9" s="7">
        <v>9567509</v>
      </c>
      <c r="FL9" s="7"/>
      <c r="FM9" s="7"/>
      <c r="FN9" s="7">
        <v>8820767</v>
      </c>
      <c r="FO9" s="7">
        <v>10634254</v>
      </c>
      <c r="FP9" s="7"/>
      <c r="FQ9" s="7"/>
      <c r="FR9" s="7">
        <v>89019188</v>
      </c>
      <c r="FS9" s="7"/>
      <c r="FT9" s="7"/>
      <c r="FU9" s="7"/>
      <c r="FV9" s="7"/>
      <c r="FW9" s="7"/>
      <c r="FX9" s="7"/>
      <c r="FY9" s="7">
        <v>5024395</v>
      </c>
      <c r="FZ9" s="7"/>
      <c r="GA9" s="7"/>
      <c r="GB9" s="7">
        <v>7202024</v>
      </c>
      <c r="GC9" s="7"/>
      <c r="GD9" s="7"/>
      <c r="GE9" s="7">
        <v>1630905</v>
      </c>
      <c r="GF9" s="7"/>
      <c r="GG9" s="7"/>
      <c r="GH9" s="7"/>
      <c r="GI9" s="7">
        <v>7531588</v>
      </c>
      <c r="GJ9" s="7"/>
      <c r="GK9" s="7">
        <v>18959192</v>
      </c>
      <c r="GL9" s="7"/>
      <c r="GM9" s="7"/>
      <c r="GN9" s="7">
        <v>109425591</v>
      </c>
      <c r="GO9" s="7"/>
      <c r="GP9" s="7"/>
      <c r="GQ9" s="7"/>
      <c r="GR9" s="7"/>
      <c r="GS9" s="7">
        <v>8088901</v>
      </c>
      <c r="GT9" s="7"/>
      <c r="GU9" s="7"/>
      <c r="GV9" s="7">
        <v>8176468</v>
      </c>
      <c r="GW9" s="7">
        <v>4561111</v>
      </c>
      <c r="GX9" s="7"/>
      <c r="GY9" s="7"/>
      <c r="GZ9" s="7">
        <v>11243542</v>
      </c>
      <c r="HA9" s="7">
        <v>7250399</v>
      </c>
      <c r="HB9" s="7"/>
      <c r="HC9" s="7">
        <v>7650097</v>
      </c>
      <c r="HD9" s="7"/>
      <c r="HE9" s="7"/>
      <c r="HF9" s="7"/>
      <c r="HG9" s="7"/>
      <c r="HH9" s="7">
        <v>4010569</v>
      </c>
      <c r="HI9" s="7"/>
      <c r="HJ9" s="7">
        <v>8014462</v>
      </c>
      <c r="HK9" s="7"/>
      <c r="HL9" s="7">
        <v>4100164</v>
      </c>
      <c r="HM9" s="7"/>
      <c r="HN9" s="7">
        <v>3786525</v>
      </c>
      <c r="HO9" s="7"/>
      <c r="HP9" s="7">
        <v>5796981</v>
      </c>
      <c r="HQ9" s="7"/>
      <c r="HR9" s="7"/>
      <c r="HS9" s="7">
        <v>4889079</v>
      </c>
      <c r="HT9" s="7"/>
      <c r="HU9" s="7">
        <v>11199745</v>
      </c>
      <c r="HV9" s="7"/>
      <c r="HW9" s="7"/>
      <c r="HX9" s="7"/>
      <c r="HY9" s="7">
        <v>7054169</v>
      </c>
      <c r="HZ9" s="7"/>
      <c r="IA9" s="7">
        <v>2025713</v>
      </c>
      <c r="IB9" s="7"/>
      <c r="IC9" s="7"/>
      <c r="ID9" s="7"/>
      <c r="IE9" s="7">
        <v>11815956</v>
      </c>
      <c r="IF9" s="7"/>
      <c r="IG9" s="7"/>
      <c r="IH9" s="7">
        <v>10117596</v>
      </c>
      <c r="II9" s="7"/>
      <c r="IJ9" s="7"/>
      <c r="IK9" s="7"/>
      <c r="IL9" s="7">
        <v>4555339</v>
      </c>
      <c r="IM9" s="7">
        <v>1272986</v>
      </c>
      <c r="IN9" s="7">
        <v>1381987</v>
      </c>
      <c r="IO9" s="7">
        <v>1615974</v>
      </c>
      <c r="IP9" s="7"/>
      <c r="IQ9" s="7">
        <v>4728395</v>
      </c>
      <c r="IR9" s="7"/>
      <c r="IS9" s="7"/>
      <c r="IT9" s="7">
        <v>2459585</v>
      </c>
      <c r="IU9" s="7"/>
      <c r="IV9" s="7"/>
      <c r="IW9" s="7"/>
      <c r="IX9" s="7"/>
      <c r="IY9" s="7"/>
      <c r="IZ9" s="7"/>
      <c r="JA9" s="7">
        <v>4769018</v>
      </c>
      <c r="JB9" s="7"/>
      <c r="JC9" s="7"/>
      <c r="JD9" s="7"/>
      <c r="JE9" s="7"/>
      <c r="JF9" s="7">
        <v>7959181</v>
      </c>
      <c r="JG9" s="7"/>
      <c r="JH9" s="7"/>
      <c r="JI9" s="7">
        <v>15952091</v>
      </c>
      <c r="JJ9" s="7"/>
      <c r="JK9" s="7">
        <v>4856335</v>
      </c>
      <c r="JL9" s="7">
        <v>1030352</v>
      </c>
      <c r="JM9" s="7">
        <v>1303463</v>
      </c>
      <c r="JN9" s="7"/>
      <c r="JO9" s="7"/>
      <c r="JP9" s="7">
        <v>2355062</v>
      </c>
      <c r="JQ9" s="7"/>
      <c r="JR9" s="7"/>
      <c r="JS9" s="7">
        <v>17437156</v>
      </c>
      <c r="JT9" s="7"/>
      <c r="JU9" s="7"/>
      <c r="JV9" s="7"/>
      <c r="JW9" s="7"/>
      <c r="JX9" s="7"/>
      <c r="JY9" s="7">
        <v>35997031</v>
      </c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>
        <v>3841419</v>
      </c>
      <c r="KL9" s="7"/>
      <c r="KM9" s="7"/>
      <c r="KN9" s="7"/>
      <c r="KO9" s="7"/>
      <c r="KP9" s="7">
        <v>4254522</v>
      </c>
      <c r="KQ9" s="7"/>
      <c r="KR9" s="7"/>
      <c r="KS9" s="7"/>
      <c r="KT9" s="7"/>
      <c r="KU9" s="7"/>
      <c r="KV9" s="7"/>
      <c r="KW9" s="7"/>
      <c r="KX9" s="7">
        <v>2171602</v>
      </c>
      <c r="KY9" s="7"/>
      <c r="KZ9" s="7"/>
      <c r="LA9" s="7"/>
      <c r="LB9" s="7"/>
      <c r="LC9" s="7"/>
      <c r="LD9" s="7"/>
      <c r="LE9" s="7">
        <v>16157985</v>
      </c>
      <c r="LF9" s="7"/>
      <c r="LG9" s="7"/>
      <c r="LH9" s="7">
        <v>1296357</v>
      </c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>
        <v>5144336</v>
      </c>
      <c r="MA9" s="7"/>
      <c r="MB9" s="7"/>
      <c r="MC9" s="7">
        <v>2593392</v>
      </c>
      <c r="MD9" s="7"/>
      <c r="ME9" s="9">
        <v>4485213</v>
      </c>
      <c r="MF9" s="9"/>
      <c r="MG9" s="9">
        <v>4485213</v>
      </c>
      <c r="MH9" s="7"/>
      <c r="MI9" s="7"/>
      <c r="MJ9" s="7"/>
      <c r="MK9" s="7">
        <v>1148860</v>
      </c>
      <c r="ML9" s="7"/>
      <c r="MM9" s="7"/>
      <c r="MN9" s="7"/>
      <c r="MO9" s="7">
        <v>1391298</v>
      </c>
      <c r="MP9" s="7"/>
      <c r="MQ9" s="7"/>
      <c r="MR9" s="7"/>
      <c r="MS9" s="7"/>
      <c r="MT9" s="7">
        <v>3844968</v>
      </c>
      <c r="MU9" s="7"/>
      <c r="MV9" s="7"/>
      <c r="MW9" s="7"/>
      <c r="MX9" s="7"/>
      <c r="MY9" s="7"/>
      <c r="MZ9" s="7"/>
      <c r="NA9" s="7"/>
      <c r="NB9" s="7"/>
      <c r="NC9" s="7">
        <v>2005188</v>
      </c>
      <c r="ND9" s="7"/>
      <c r="NE9" s="7"/>
      <c r="NF9" s="7"/>
      <c r="NG9" s="7"/>
      <c r="NH9" s="7"/>
      <c r="NI9" s="7"/>
      <c r="NJ9" s="7"/>
      <c r="NK9" s="7"/>
      <c r="NL9" s="7"/>
      <c r="NM9" s="7"/>
      <c r="NN9" s="7">
        <v>3423148</v>
      </c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>
        <v>8022212</v>
      </c>
      <c r="OS9" s="7"/>
      <c r="OT9" s="7"/>
      <c r="OU9" s="7"/>
      <c r="OV9" s="7"/>
      <c r="OW9" s="7"/>
      <c r="OX9" s="7"/>
      <c r="OY9" s="7"/>
      <c r="OZ9" s="7"/>
      <c r="PA9" s="7">
        <v>2138065</v>
      </c>
      <c r="PB9" s="7">
        <v>3159471</v>
      </c>
      <c r="PC9" s="7"/>
      <c r="PD9" s="7">
        <v>29675665</v>
      </c>
      <c r="PE9" s="7"/>
      <c r="PF9" s="7"/>
      <c r="PG9" s="7"/>
      <c r="PH9" s="7"/>
      <c r="PI9" s="7"/>
      <c r="PJ9" s="7"/>
      <c r="PK9" s="7"/>
      <c r="PL9" s="7"/>
      <c r="PM9" s="7">
        <v>1613100</v>
      </c>
      <c r="PN9" s="7"/>
      <c r="PO9" s="7"/>
      <c r="PP9" s="7">
        <v>1612427</v>
      </c>
      <c r="PQ9" s="7"/>
      <c r="PR9" s="7"/>
      <c r="PS9" s="7"/>
      <c r="PT9" s="7"/>
      <c r="PU9" s="7"/>
      <c r="PV9" s="7">
        <v>5993714</v>
      </c>
      <c r="PW9" s="7"/>
      <c r="PX9" s="7"/>
      <c r="PY9" s="7">
        <v>4774548</v>
      </c>
      <c r="PZ9" s="7"/>
      <c r="QA9" s="7"/>
      <c r="QB9" s="7"/>
      <c r="QC9" s="7"/>
      <c r="QD9" s="7">
        <v>2923145</v>
      </c>
      <c r="QE9" s="7"/>
      <c r="QF9" s="7"/>
      <c r="QG9" s="7"/>
      <c r="QH9" s="7"/>
      <c r="QI9" s="7"/>
      <c r="QJ9" s="7"/>
      <c r="QK9" s="7"/>
      <c r="QL9" s="7"/>
      <c r="QM9" s="7"/>
      <c r="QN9" s="7">
        <v>1033540</v>
      </c>
      <c r="QO9" s="7"/>
      <c r="QP9" s="7"/>
      <c r="QQ9" s="7"/>
      <c r="QR9" s="7">
        <v>1501396</v>
      </c>
      <c r="QS9" s="7"/>
      <c r="QT9" s="7"/>
      <c r="QU9" s="7"/>
      <c r="QV9" s="7"/>
      <c r="QW9" s="7"/>
      <c r="QX9" s="7"/>
      <c r="QY9" s="7"/>
      <c r="QZ9" s="7"/>
      <c r="RA9" s="7">
        <v>1385966</v>
      </c>
      <c r="RB9" s="7">
        <v>1114189</v>
      </c>
      <c r="RC9" s="7"/>
      <c r="RD9" s="7"/>
      <c r="RE9" s="7"/>
      <c r="RF9" s="7">
        <v>1299449</v>
      </c>
      <c r="RG9" s="7"/>
      <c r="RH9" s="7"/>
      <c r="RI9" s="7"/>
      <c r="RJ9" s="7"/>
      <c r="RK9" s="7"/>
      <c r="RL9" s="7"/>
      <c r="RM9" s="7">
        <v>1068570</v>
      </c>
      <c r="RN9" s="7"/>
      <c r="RO9" s="7"/>
      <c r="RP9" s="7">
        <v>1116816</v>
      </c>
      <c r="RQ9" s="7"/>
      <c r="RR9" s="7"/>
      <c r="RS9" s="7">
        <v>1361678</v>
      </c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>
        <v>43861696</v>
      </c>
      <c r="SK9" s="7"/>
      <c r="SL9" s="7">
        <v>4445419</v>
      </c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>
        <v>2801281</v>
      </c>
      <c r="SY9" s="7"/>
      <c r="SZ9" s="7"/>
      <c r="TA9" s="7"/>
      <c r="TB9" s="7">
        <v>8080966</v>
      </c>
      <c r="TC9" s="7"/>
      <c r="TD9" s="7"/>
      <c r="TE9" s="7"/>
      <c r="TF9" s="7"/>
      <c r="TG9" s="7"/>
      <c r="TH9" s="7"/>
      <c r="TI9" s="7"/>
      <c r="TJ9" s="7"/>
      <c r="TK9" s="7"/>
      <c r="TL9" s="7"/>
      <c r="TM9" s="7"/>
      <c r="TN9" s="7"/>
      <c r="TO9" s="7"/>
    </row>
    <row r="10" spans="1:535" x14ac:dyDescent="0.25">
      <c r="A10" s="5" t="s">
        <v>1418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>
        <v>3004995</v>
      </c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>
        <v>1832158</v>
      </c>
      <c r="BB10" s="7"/>
      <c r="BC10" s="7"/>
      <c r="BD10" s="7"/>
      <c r="BE10" s="7"/>
      <c r="BF10" s="7"/>
      <c r="BG10" s="7">
        <v>1734733</v>
      </c>
      <c r="BH10" s="7"/>
      <c r="BI10" s="7"/>
      <c r="BJ10" s="7"/>
      <c r="BK10" s="7"/>
      <c r="BL10" s="7"/>
      <c r="BM10" s="7"/>
      <c r="BN10" s="7"/>
      <c r="BO10" s="7"/>
      <c r="BP10" s="7"/>
      <c r="BQ10" s="7">
        <v>2494739</v>
      </c>
      <c r="BR10" s="7"/>
      <c r="BS10" s="7"/>
      <c r="BT10" s="7"/>
      <c r="BU10" s="7"/>
      <c r="BV10" s="7">
        <v>1834875</v>
      </c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>
        <v>1811111</v>
      </c>
      <c r="CM10" s="7"/>
      <c r="CN10" s="7"/>
      <c r="CO10" s="7"/>
      <c r="CP10" s="7"/>
      <c r="CQ10" s="7"/>
      <c r="CR10" s="7">
        <v>1319244</v>
      </c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>
        <v>3646881</v>
      </c>
      <c r="DF10" s="7"/>
      <c r="DG10" s="7"/>
      <c r="DH10" s="7"/>
      <c r="DI10" s="7"/>
      <c r="DJ10" s="7"/>
      <c r="DK10" s="7"/>
      <c r="DL10" s="7"/>
      <c r="DM10" s="7"/>
      <c r="DN10" s="7">
        <v>1407031</v>
      </c>
      <c r="DO10" s="7"/>
      <c r="DP10" s="7"/>
      <c r="DQ10" s="7"/>
      <c r="DR10" s="7"/>
      <c r="DS10" s="7"/>
      <c r="DT10" s="7"/>
      <c r="DU10" s="7"/>
      <c r="DV10" s="7">
        <v>12924272</v>
      </c>
      <c r="DW10" s="7"/>
      <c r="DX10" s="7"/>
      <c r="DY10" s="7"/>
      <c r="DZ10" s="7"/>
      <c r="EA10" s="7">
        <v>4350058</v>
      </c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>
        <v>2024621</v>
      </c>
      <c r="EN10" s="7">
        <v>5660523</v>
      </c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>
        <v>2694392</v>
      </c>
      <c r="FA10" s="7"/>
      <c r="FB10" s="7"/>
      <c r="FC10" s="7"/>
      <c r="FD10" s="7"/>
      <c r="FE10" s="7">
        <v>2872840</v>
      </c>
      <c r="FF10" s="7"/>
      <c r="FG10" s="7"/>
      <c r="FH10" s="7">
        <v>1528692</v>
      </c>
      <c r="FI10" s="7"/>
      <c r="FJ10" s="7">
        <v>2301657</v>
      </c>
      <c r="FK10" s="7"/>
      <c r="FL10" s="7">
        <v>1029749</v>
      </c>
      <c r="FM10" s="7"/>
      <c r="FN10" s="7"/>
      <c r="FO10" s="7"/>
      <c r="FP10" s="7">
        <v>1536326</v>
      </c>
      <c r="FQ10" s="7"/>
      <c r="FR10" s="7"/>
      <c r="FS10" s="7">
        <v>3534803</v>
      </c>
      <c r="FT10" s="7">
        <v>1480443</v>
      </c>
      <c r="FU10" s="7"/>
      <c r="FV10" s="7"/>
      <c r="FW10" s="7"/>
      <c r="FX10" s="7"/>
      <c r="FY10" s="7"/>
      <c r="FZ10" s="7"/>
      <c r="GA10" s="7"/>
      <c r="GB10" s="7">
        <v>2397203</v>
      </c>
      <c r="GC10" s="7"/>
      <c r="GD10" s="7"/>
      <c r="GE10" s="7"/>
      <c r="GF10" s="7"/>
      <c r="GG10" s="7"/>
      <c r="GH10" s="7"/>
      <c r="GI10" s="7"/>
      <c r="GJ10" s="7"/>
      <c r="GK10" s="7">
        <v>1229038</v>
      </c>
      <c r="GL10" s="7"/>
      <c r="GM10" s="7"/>
      <c r="GN10" s="7">
        <v>26454325</v>
      </c>
      <c r="GO10" s="7"/>
      <c r="GP10" s="7"/>
      <c r="GQ10" s="7"/>
      <c r="GR10" s="7"/>
      <c r="GS10" s="7"/>
      <c r="GT10" s="7"/>
      <c r="GU10" s="7"/>
      <c r="GV10" s="7"/>
      <c r="GW10" s="7">
        <v>1370193</v>
      </c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>
        <v>1038265</v>
      </c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>
        <v>5945962</v>
      </c>
      <c r="JJ10" s="7"/>
      <c r="JK10" s="7"/>
      <c r="JL10" s="7"/>
      <c r="JM10" s="7"/>
      <c r="JN10" s="7"/>
      <c r="JO10" s="7"/>
      <c r="JP10" s="7"/>
      <c r="JQ10" s="7"/>
      <c r="JR10" s="7"/>
      <c r="JS10" s="7">
        <v>6292058</v>
      </c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>
        <v>1582349</v>
      </c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9">
        <v>4279151</v>
      </c>
      <c r="MF10" s="9"/>
      <c r="MG10" s="9">
        <v>4279151</v>
      </c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>
        <v>9798585</v>
      </c>
      <c r="OS10" s="7"/>
      <c r="OT10" s="7"/>
      <c r="OU10" s="7"/>
      <c r="OV10" s="7"/>
      <c r="OW10" s="7"/>
      <c r="OX10" s="7"/>
      <c r="OY10" s="7"/>
      <c r="OZ10" s="7"/>
      <c r="PA10" s="7"/>
      <c r="PB10" s="7">
        <v>4026929</v>
      </c>
      <c r="PC10" s="7"/>
      <c r="PD10" s="7">
        <v>36247986</v>
      </c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>
        <v>1998210</v>
      </c>
      <c r="PX10" s="7"/>
      <c r="PY10" s="7"/>
      <c r="PZ10" s="7"/>
      <c r="QA10" s="7"/>
      <c r="QB10" s="7"/>
      <c r="QC10" s="7"/>
      <c r="QD10" s="7"/>
      <c r="QE10" s="7"/>
      <c r="QF10" s="7">
        <v>2507407</v>
      </c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>
        <v>1364446</v>
      </c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  <c r="SG10" s="7"/>
      <c r="SH10" s="7"/>
      <c r="SI10" s="7"/>
      <c r="SJ10" s="7"/>
      <c r="SK10" s="7"/>
      <c r="SL10" s="7">
        <v>7367617</v>
      </c>
      <c r="SM10" s="7"/>
      <c r="SN10" s="7"/>
      <c r="SO10" s="7"/>
      <c r="SP10" s="7"/>
      <c r="SQ10" s="7"/>
      <c r="SR10" s="7"/>
      <c r="SS10" s="7"/>
      <c r="ST10" s="7"/>
      <c r="SU10" s="7"/>
      <c r="SV10" s="7"/>
      <c r="SW10" s="7"/>
      <c r="SX10" s="7"/>
      <c r="SY10" s="7">
        <v>2223973</v>
      </c>
      <c r="SZ10" s="7"/>
      <c r="TA10" s="7"/>
      <c r="TB10" s="7">
        <v>5770184</v>
      </c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/>
      <c r="TO10" s="7"/>
    </row>
    <row r="11" spans="1:535" x14ac:dyDescent="0.25">
      <c r="A11" s="5" t="s">
        <v>1419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>
        <v>7047598</v>
      </c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>
        <v>1559285</v>
      </c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>
        <v>1043328</v>
      </c>
      <c r="DB11" s="7"/>
      <c r="DC11" s="7"/>
      <c r="DD11" s="7"/>
      <c r="DE11" s="7">
        <v>4661004</v>
      </c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>
        <v>1084759</v>
      </c>
      <c r="GL11" s="7"/>
      <c r="GM11" s="7"/>
      <c r="GN11" s="7">
        <v>20731257</v>
      </c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>
        <v>6619924</v>
      </c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>
        <v>1779976</v>
      </c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>
        <v>1010000</v>
      </c>
      <c r="ME11" s="9">
        <v>3561213</v>
      </c>
      <c r="MF11" s="9"/>
      <c r="MG11" s="9">
        <v>3561213</v>
      </c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>
        <v>5582543</v>
      </c>
      <c r="OT11" s="7"/>
      <c r="OU11" s="7"/>
      <c r="OV11" s="7"/>
      <c r="OW11" s="7"/>
      <c r="OX11" s="7"/>
      <c r="OY11" s="7"/>
      <c r="OZ11" s="7"/>
      <c r="PA11" s="7"/>
      <c r="PB11" s="7">
        <v>2964555</v>
      </c>
      <c r="PC11" s="7"/>
      <c r="PD11" s="7">
        <v>22497914</v>
      </c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>
        <v>2871689</v>
      </c>
      <c r="PX11" s="7">
        <v>1002051</v>
      </c>
      <c r="PY11" s="7"/>
      <c r="PZ11" s="7"/>
      <c r="QA11" s="7"/>
      <c r="QB11" s="7"/>
      <c r="QC11" s="7"/>
      <c r="QD11" s="7"/>
      <c r="QE11" s="7"/>
      <c r="QF11" s="7"/>
      <c r="QG11" s="7"/>
      <c r="QH11" s="7">
        <v>1128992</v>
      </c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>
        <v>2055998</v>
      </c>
      <c r="RC11" s="7"/>
      <c r="RD11" s="7"/>
      <c r="RE11" s="7"/>
      <c r="RF11" s="7"/>
      <c r="RG11" s="7"/>
      <c r="RH11" s="7">
        <v>1023175</v>
      </c>
      <c r="RI11" s="7"/>
      <c r="RJ11" s="7"/>
      <c r="RK11" s="7">
        <v>1007100</v>
      </c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>
        <v>1098476</v>
      </c>
      <c r="SC11" s="7"/>
      <c r="SD11" s="7"/>
      <c r="SE11" s="7"/>
      <c r="SF11" s="7"/>
      <c r="SG11" s="7"/>
      <c r="SH11" s="7">
        <v>2006508</v>
      </c>
      <c r="SI11" s="7"/>
      <c r="SJ11" s="7"/>
      <c r="SK11" s="7"/>
      <c r="SL11" s="7">
        <v>14727175</v>
      </c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>
        <v>2795537</v>
      </c>
      <c r="SY11" s="7"/>
      <c r="SZ11" s="7"/>
      <c r="TA11" s="7"/>
      <c r="TB11" s="7">
        <v>12863688</v>
      </c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</row>
    <row r="12" spans="1:535" x14ac:dyDescent="0.25">
      <c r="A12" s="5" t="s">
        <v>1420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5366273</v>
      </c>
      <c r="R12" s="7"/>
      <c r="S12" s="7"/>
      <c r="T12" s="7"/>
      <c r="U12" s="7"/>
      <c r="V12" s="7"/>
      <c r="W12" s="7"/>
      <c r="X12" s="7"/>
      <c r="Y12" s="7"/>
      <c r="Z12" s="7">
        <v>3850718</v>
      </c>
      <c r="AA12" s="7"/>
      <c r="AB12" s="7"/>
      <c r="AC12" s="7"/>
      <c r="AD12" s="7"/>
      <c r="AE12" s="7"/>
      <c r="AF12" s="7"/>
      <c r="AG12" s="7">
        <v>1510222</v>
      </c>
      <c r="AH12" s="7"/>
      <c r="AI12" s="7"/>
      <c r="AJ12" s="7"/>
      <c r="AK12" s="7">
        <v>2101442</v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>
        <v>1834523</v>
      </c>
      <c r="BB12" s="7"/>
      <c r="BC12" s="7"/>
      <c r="BD12" s="7"/>
      <c r="BE12" s="7"/>
      <c r="BF12" s="7"/>
      <c r="BG12" s="7">
        <v>4232287</v>
      </c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>
        <v>1419690</v>
      </c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>
        <v>4199094</v>
      </c>
      <c r="CS12" s="7"/>
      <c r="CT12" s="7">
        <v>1223840</v>
      </c>
      <c r="CU12" s="7"/>
      <c r="CV12" s="7"/>
      <c r="CW12" s="7"/>
      <c r="CX12" s="7"/>
      <c r="CY12" s="7"/>
      <c r="CZ12" s="7"/>
      <c r="DA12" s="7"/>
      <c r="DB12" s="7"/>
      <c r="DC12" s="7"/>
      <c r="DD12" s="7">
        <v>15815459</v>
      </c>
      <c r="DE12" s="7"/>
      <c r="DF12" s="7"/>
      <c r="DG12" s="7">
        <v>3953817</v>
      </c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>
        <v>1294624</v>
      </c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>
        <v>1072341</v>
      </c>
      <c r="GE12" s="7"/>
      <c r="GF12" s="7"/>
      <c r="GG12" s="7"/>
      <c r="GH12" s="7"/>
      <c r="GI12" s="7"/>
      <c r="GJ12" s="7"/>
      <c r="GK12" s="7"/>
      <c r="GL12" s="7"/>
      <c r="GM12" s="7">
        <v>53842673</v>
      </c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>
        <v>2954121</v>
      </c>
      <c r="HZ12" s="7"/>
      <c r="IA12" s="7"/>
      <c r="IB12" s="7"/>
      <c r="IC12" s="7"/>
      <c r="ID12" s="7"/>
      <c r="IE12" s="7"/>
      <c r="IF12" s="7"/>
      <c r="IG12" s="7"/>
      <c r="IH12" s="7">
        <v>1420668</v>
      </c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>
        <v>2104823</v>
      </c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>
        <v>2129899</v>
      </c>
      <c r="JE12" s="7"/>
      <c r="JF12" s="7"/>
      <c r="JG12" s="7"/>
      <c r="JH12" s="7"/>
      <c r="JI12" s="7">
        <v>18460343</v>
      </c>
      <c r="JJ12" s="7"/>
      <c r="JK12" s="7"/>
      <c r="JL12" s="7"/>
      <c r="JM12" s="7"/>
      <c r="JN12" s="7"/>
      <c r="JO12" s="7"/>
      <c r="JP12" s="7">
        <v>1934504</v>
      </c>
      <c r="JQ12" s="7"/>
      <c r="JR12" s="7">
        <v>4987538</v>
      </c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>
        <v>133335793</v>
      </c>
      <c r="KF12" s="7"/>
      <c r="KG12" s="7"/>
      <c r="KH12" s="7"/>
      <c r="KI12" s="7">
        <v>1182295</v>
      </c>
      <c r="KJ12" s="7"/>
      <c r="KK12" s="7"/>
      <c r="KL12" s="7"/>
      <c r="KM12" s="7"/>
      <c r="KN12" s="7"/>
      <c r="KO12" s="7"/>
      <c r="KP12" s="7">
        <v>8184546</v>
      </c>
      <c r="KQ12" s="7"/>
      <c r="KR12" s="7"/>
      <c r="KS12" s="7"/>
      <c r="KT12" s="7"/>
      <c r="KU12" s="7"/>
      <c r="KV12" s="7"/>
      <c r="KW12" s="7">
        <v>1319384</v>
      </c>
      <c r="KX12" s="7"/>
      <c r="KY12" s="7"/>
      <c r="KZ12" s="7"/>
      <c r="LA12" s="7">
        <v>1462696</v>
      </c>
      <c r="LB12" s="7"/>
      <c r="LC12" s="7"/>
      <c r="LD12" s="7"/>
      <c r="LE12" s="7">
        <v>1183566</v>
      </c>
      <c r="LF12" s="7"/>
      <c r="LG12" s="7"/>
      <c r="LH12" s="7">
        <v>1606632</v>
      </c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>
        <v>1947284</v>
      </c>
      <c r="MD12" s="7"/>
      <c r="ME12" s="9">
        <v>5222152</v>
      </c>
      <c r="MF12" s="9"/>
      <c r="MG12" s="9">
        <v>5222152</v>
      </c>
      <c r="MH12" s="7"/>
      <c r="MI12" s="7"/>
      <c r="MJ12" s="7"/>
      <c r="MK12" s="7"/>
      <c r="ML12" s="7"/>
      <c r="MM12" s="7"/>
      <c r="MN12" s="7"/>
      <c r="MO12" s="7">
        <v>1864884</v>
      </c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>
        <v>1154930</v>
      </c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>
        <v>7580048</v>
      </c>
      <c r="OT12" s="7"/>
      <c r="OU12" s="7"/>
      <c r="OV12" s="7"/>
      <c r="OW12" s="7"/>
      <c r="OX12" s="7"/>
      <c r="OY12" s="7"/>
      <c r="OZ12" s="7"/>
      <c r="PA12" s="7">
        <v>1081433</v>
      </c>
      <c r="PB12" s="7">
        <v>3360673</v>
      </c>
      <c r="PC12" s="7"/>
      <c r="PD12" s="7">
        <v>21696367</v>
      </c>
      <c r="PE12" s="7"/>
      <c r="PF12" s="7"/>
      <c r="PG12" s="7"/>
      <c r="PH12" s="7">
        <v>1041916</v>
      </c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>
        <v>3699154</v>
      </c>
      <c r="PX12" s="7"/>
      <c r="PY12" s="7"/>
      <c r="PZ12" s="7"/>
      <c r="QA12" s="7"/>
      <c r="QB12" s="7"/>
      <c r="QC12" s="7"/>
      <c r="QD12" s="7"/>
      <c r="QE12" s="7">
        <v>2153030</v>
      </c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>
        <v>1557145</v>
      </c>
      <c r="RE12" s="7"/>
      <c r="RF12" s="7"/>
      <c r="RG12" s="7"/>
      <c r="RH12" s="7"/>
      <c r="RI12" s="7"/>
      <c r="RJ12" s="7">
        <v>1677300</v>
      </c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>
        <v>1426111</v>
      </c>
      <c r="RX12" s="7"/>
      <c r="RY12" s="7"/>
      <c r="RZ12" s="7"/>
      <c r="SA12" s="7"/>
      <c r="SB12" s="7"/>
      <c r="SC12" s="7"/>
      <c r="SD12" s="7">
        <v>1257312</v>
      </c>
      <c r="SE12" s="7"/>
      <c r="SF12" s="7"/>
      <c r="SG12" s="7"/>
      <c r="SH12" s="7"/>
      <c r="SI12" s="7"/>
      <c r="SJ12" s="7"/>
      <c r="SK12" s="7"/>
      <c r="SL12" s="7">
        <v>6396949</v>
      </c>
      <c r="SM12" s="7"/>
      <c r="SN12" s="7">
        <v>1300305</v>
      </c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>
        <v>1841776</v>
      </c>
      <c r="SZ12" s="7"/>
      <c r="TA12" s="7"/>
      <c r="TB12" s="7">
        <v>6203942</v>
      </c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</row>
    <row r="13" spans="1:535" x14ac:dyDescent="0.25">
      <c r="A13" s="5" t="s">
        <v>1421</v>
      </c>
      <c r="B13" s="7"/>
      <c r="C13" s="7"/>
      <c r="D13" s="7"/>
      <c r="E13" s="7">
        <v>4034238</v>
      </c>
      <c r="F13" s="7"/>
      <c r="G13" s="7"/>
      <c r="H13" s="7"/>
      <c r="I13" s="7">
        <v>2169372</v>
      </c>
      <c r="J13" s="7"/>
      <c r="K13" s="7"/>
      <c r="L13" s="7"/>
      <c r="M13" s="7">
        <v>2767943</v>
      </c>
      <c r="N13" s="7"/>
      <c r="O13" s="7"/>
      <c r="P13" s="7"/>
      <c r="Q13" s="7">
        <v>19926340</v>
      </c>
      <c r="R13" s="7"/>
      <c r="S13" s="7"/>
      <c r="T13" s="7"/>
      <c r="U13" s="7">
        <v>4751910</v>
      </c>
      <c r="V13" s="7"/>
      <c r="W13" s="7"/>
      <c r="X13" s="7"/>
      <c r="Y13" s="7"/>
      <c r="Z13" s="7">
        <v>90529643</v>
      </c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>
        <v>5555579</v>
      </c>
      <c r="AQ13" s="7"/>
      <c r="AR13" s="7"/>
      <c r="AS13" s="7"/>
      <c r="AT13" s="7"/>
      <c r="AU13" s="7"/>
      <c r="AV13" s="7"/>
      <c r="AW13" s="7"/>
      <c r="AX13" s="7">
        <v>3472363</v>
      </c>
      <c r="AY13" s="7"/>
      <c r="AZ13" s="7">
        <v>4428540</v>
      </c>
      <c r="BA13" s="7"/>
      <c r="BB13" s="7"/>
      <c r="BC13" s="7"/>
      <c r="BD13" s="7"/>
      <c r="BE13" s="7">
        <v>2210570</v>
      </c>
      <c r="BF13" s="7">
        <v>9265206</v>
      </c>
      <c r="BG13" s="7"/>
      <c r="BH13" s="7"/>
      <c r="BI13" s="7">
        <v>1190419</v>
      </c>
      <c r="BJ13" s="7"/>
      <c r="BK13" s="7">
        <v>1815564</v>
      </c>
      <c r="BL13" s="7"/>
      <c r="BM13" s="7"/>
      <c r="BN13" s="7">
        <v>1138311</v>
      </c>
      <c r="BO13" s="7"/>
      <c r="BP13" s="7"/>
      <c r="BQ13" s="7">
        <v>9184156</v>
      </c>
      <c r="BR13" s="7"/>
      <c r="BS13" s="7"/>
      <c r="BT13" s="7"/>
      <c r="BU13" s="7"/>
      <c r="BV13" s="7"/>
      <c r="BW13" s="7">
        <v>11632470</v>
      </c>
      <c r="BX13" s="7"/>
      <c r="BY13" s="7"/>
      <c r="BZ13" s="7"/>
      <c r="CA13" s="7">
        <v>5589124</v>
      </c>
      <c r="CB13" s="7"/>
      <c r="CC13" s="7"/>
      <c r="CD13" s="7">
        <v>3400062</v>
      </c>
      <c r="CE13" s="7"/>
      <c r="CF13" s="7"/>
      <c r="CG13" s="7"/>
      <c r="CH13" s="7"/>
      <c r="CI13" s="7"/>
      <c r="CJ13" s="7">
        <v>3579154</v>
      </c>
      <c r="CK13" s="7"/>
      <c r="CL13" s="7"/>
      <c r="CM13" s="7"/>
      <c r="CN13" s="7">
        <v>8253762</v>
      </c>
      <c r="CO13" s="7"/>
      <c r="CP13" s="7"/>
      <c r="CQ13" s="7"/>
      <c r="CR13" s="7">
        <v>5480267</v>
      </c>
      <c r="CS13" s="7"/>
      <c r="CT13" s="7"/>
      <c r="CU13" s="7">
        <v>9821943</v>
      </c>
      <c r="CV13" s="7"/>
      <c r="CW13" s="7"/>
      <c r="CX13" s="7"/>
      <c r="CY13" s="7"/>
      <c r="CZ13" s="7">
        <v>2647538</v>
      </c>
      <c r="DA13" s="7"/>
      <c r="DB13" s="7"/>
      <c r="DC13" s="7"/>
      <c r="DD13" s="7">
        <v>18421918</v>
      </c>
      <c r="DE13" s="7"/>
      <c r="DF13" s="7">
        <v>50936000</v>
      </c>
      <c r="DG13" s="7"/>
      <c r="DH13" s="7"/>
      <c r="DI13" s="7"/>
      <c r="DJ13" s="7"/>
      <c r="DK13" s="7"/>
      <c r="DL13" s="7"/>
      <c r="DM13" s="7"/>
      <c r="DN13" s="7">
        <v>6320625</v>
      </c>
      <c r="DO13" s="7"/>
      <c r="DP13" s="7">
        <v>2754700</v>
      </c>
      <c r="DQ13" s="7"/>
      <c r="DR13" s="7"/>
      <c r="DS13" s="7"/>
      <c r="DT13" s="7">
        <v>36542927</v>
      </c>
      <c r="DU13" s="7"/>
      <c r="DV13" s="7"/>
      <c r="DW13" s="7"/>
      <c r="DX13" s="7">
        <v>141384389</v>
      </c>
      <c r="DY13" s="7"/>
      <c r="DZ13" s="7"/>
      <c r="EA13" s="7"/>
      <c r="EB13" s="7"/>
      <c r="EC13" s="7"/>
      <c r="ED13" s="7">
        <v>13925411</v>
      </c>
      <c r="EE13" s="7"/>
      <c r="EF13" s="7">
        <v>2071064</v>
      </c>
      <c r="EG13" s="7"/>
      <c r="EH13" s="7">
        <v>10456944</v>
      </c>
      <c r="EI13" s="7"/>
      <c r="EJ13" s="7"/>
      <c r="EK13" s="7"/>
      <c r="EL13" s="7"/>
      <c r="EM13" s="7">
        <v>4811364</v>
      </c>
      <c r="EN13" s="7"/>
      <c r="EO13" s="7">
        <v>21314175</v>
      </c>
      <c r="EP13" s="7"/>
      <c r="EQ13" s="7"/>
      <c r="ER13" s="7"/>
      <c r="ES13" s="7"/>
      <c r="ET13" s="7"/>
      <c r="EU13" s="7"/>
      <c r="EV13" s="7"/>
      <c r="EW13" s="7"/>
      <c r="EX13" s="7"/>
      <c r="EY13" s="7">
        <v>6117469</v>
      </c>
      <c r="EZ13" s="7"/>
      <c r="FA13" s="7"/>
      <c r="FB13" s="7">
        <v>14159713</v>
      </c>
      <c r="FC13" s="7"/>
      <c r="FD13" s="7"/>
      <c r="FE13" s="7"/>
      <c r="FF13" s="7">
        <v>7173668</v>
      </c>
      <c r="FG13" s="7"/>
      <c r="FH13" s="7"/>
      <c r="FI13" s="7">
        <v>7969526</v>
      </c>
      <c r="FJ13" s="7"/>
      <c r="FK13" s="7"/>
      <c r="FL13" s="7">
        <v>6399032</v>
      </c>
      <c r="FM13" s="7"/>
      <c r="FN13" s="7"/>
      <c r="FO13" s="7"/>
      <c r="FP13" s="7">
        <v>4924824</v>
      </c>
      <c r="FQ13" s="7"/>
      <c r="FR13" s="7"/>
      <c r="FS13" s="7">
        <v>14491341</v>
      </c>
      <c r="FT13" s="7"/>
      <c r="FU13" s="7"/>
      <c r="FV13" s="7">
        <v>6379321</v>
      </c>
      <c r="FW13" s="7"/>
      <c r="FX13" s="7"/>
      <c r="FY13" s="7"/>
      <c r="FZ13" s="7"/>
      <c r="GA13" s="7"/>
      <c r="GB13" s="7">
        <v>9944781</v>
      </c>
      <c r="GC13" s="7"/>
      <c r="GD13" s="7"/>
      <c r="GE13" s="7"/>
      <c r="GF13" s="7"/>
      <c r="GG13" s="7">
        <v>2533792</v>
      </c>
      <c r="GH13" s="7"/>
      <c r="GI13" s="7"/>
      <c r="GJ13" s="7"/>
      <c r="GK13" s="7">
        <v>4586662</v>
      </c>
      <c r="GL13" s="7"/>
      <c r="GM13" s="7"/>
      <c r="GN13" s="7">
        <v>117122497</v>
      </c>
      <c r="GO13" s="7"/>
      <c r="GP13" s="7"/>
      <c r="GQ13" s="7"/>
      <c r="GR13" s="7">
        <v>1736734</v>
      </c>
      <c r="GS13" s="7"/>
      <c r="GT13" s="7"/>
      <c r="GU13" s="7">
        <v>13908801</v>
      </c>
      <c r="GV13" s="7"/>
      <c r="GW13" s="7"/>
      <c r="GX13" s="7"/>
      <c r="GY13" s="7">
        <v>2281715</v>
      </c>
      <c r="GZ13" s="7"/>
      <c r="HA13" s="7">
        <v>1993241</v>
      </c>
      <c r="HB13" s="7"/>
      <c r="HC13" s="7"/>
      <c r="HD13" s="7">
        <v>2016834</v>
      </c>
      <c r="HE13" s="7"/>
      <c r="HF13" s="7">
        <v>1385670</v>
      </c>
      <c r="HG13" s="7"/>
      <c r="HH13" s="7"/>
      <c r="HI13" s="7"/>
      <c r="HJ13" s="7"/>
      <c r="HK13" s="7">
        <v>1709554</v>
      </c>
      <c r="HL13" s="7"/>
      <c r="HM13" s="7">
        <v>1169250</v>
      </c>
      <c r="HN13" s="7"/>
      <c r="HO13" s="7"/>
      <c r="HP13" s="7"/>
      <c r="HQ13" s="7">
        <v>4300977</v>
      </c>
      <c r="HR13" s="7"/>
      <c r="HS13" s="7"/>
      <c r="HT13" s="7"/>
      <c r="HU13" s="7"/>
      <c r="HV13" s="7">
        <v>3083369</v>
      </c>
      <c r="HW13" s="7"/>
      <c r="HX13" s="7"/>
      <c r="HY13" s="7"/>
      <c r="HZ13" s="7">
        <v>4636546</v>
      </c>
      <c r="IA13" s="7"/>
      <c r="IB13" s="7"/>
      <c r="IC13" s="7"/>
      <c r="ID13" s="7"/>
      <c r="IE13" s="7">
        <v>2476297</v>
      </c>
      <c r="IF13" s="7"/>
      <c r="IG13" s="7"/>
      <c r="IH13" s="7">
        <v>3830060</v>
      </c>
      <c r="II13" s="7"/>
      <c r="IJ13" s="7">
        <v>1552937</v>
      </c>
      <c r="IK13" s="7"/>
      <c r="IL13" s="7"/>
      <c r="IM13" s="7"/>
      <c r="IN13" s="7">
        <v>1623878</v>
      </c>
      <c r="IO13" s="7"/>
      <c r="IP13" s="7">
        <v>1401296</v>
      </c>
      <c r="IQ13" s="7"/>
      <c r="IR13" s="7">
        <v>5167071</v>
      </c>
      <c r="IS13" s="7"/>
      <c r="IT13" s="7"/>
      <c r="IU13" s="7"/>
      <c r="IV13" s="7">
        <v>1351467</v>
      </c>
      <c r="IW13" s="7"/>
      <c r="IX13" s="7">
        <v>9099165</v>
      </c>
      <c r="IY13" s="7"/>
      <c r="IZ13" s="7"/>
      <c r="JA13" s="7"/>
      <c r="JB13" s="7"/>
      <c r="JC13" s="7"/>
      <c r="JD13" s="7"/>
      <c r="JE13" s="7"/>
      <c r="JF13" s="7">
        <v>2236827</v>
      </c>
      <c r="JG13" s="7"/>
      <c r="JH13" s="7"/>
      <c r="JI13" s="7">
        <v>12432583</v>
      </c>
      <c r="JJ13" s="7">
        <v>1232909</v>
      </c>
      <c r="JK13" s="7"/>
      <c r="JL13" s="7"/>
      <c r="JM13" s="7"/>
      <c r="JN13" s="7"/>
      <c r="JO13" s="7">
        <v>4032844</v>
      </c>
      <c r="JP13" s="7"/>
      <c r="JQ13" s="7">
        <v>20197785</v>
      </c>
      <c r="JR13" s="7"/>
      <c r="JS13" s="7"/>
      <c r="JT13" s="7"/>
      <c r="JU13" s="7"/>
      <c r="JV13" s="7"/>
      <c r="JW13" s="7"/>
      <c r="JX13" s="7"/>
      <c r="JY13" s="7"/>
      <c r="JZ13" s="7"/>
      <c r="KA13" s="7">
        <v>86174175</v>
      </c>
      <c r="KB13" s="7"/>
      <c r="KC13" s="7"/>
      <c r="KD13" s="7"/>
      <c r="KE13" s="7"/>
      <c r="KF13" s="7"/>
      <c r="KG13" s="7"/>
      <c r="KH13" s="7"/>
      <c r="KI13" s="7"/>
      <c r="KJ13" s="7"/>
      <c r="KK13" s="7">
        <v>1874063</v>
      </c>
      <c r="KL13" s="7"/>
      <c r="KM13" s="7">
        <v>1203143</v>
      </c>
      <c r="KN13" s="7"/>
      <c r="KO13" s="7"/>
      <c r="KP13" s="7">
        <v>6491908</v>
      </c>
      <c r="KQ13" s="7"/>
      <c r="KR13" s="7"/>
      <c r="KS13" s="7"/>
      <c r="KT13" s="7"/>
      <c r="KU13" s="7"/>
      <c r="KV13" s="7">
        <v>1504857</v>
      </c>
      <c r="KW13" s="7"/>
      <c r="KX13" s="7"/>
      <c r="KY13" s="7"/>
      <c r="KZ13" s="7"/>
      <c r="LA13" s="7"/>
      <c r="LB13" s="7">
        <v>2159221</v>
      </c>
      <c r="LC13" s="7"/>
      <c r="LD13" s="7"/>
      <c r="LE13" s="7">
        <v>1293469</v>
      </c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>
        <v>1525160</v>
      </c>
      <c r="LT13" s="7"/>
      <c r="LU13" s="7"/>
      <c r="LV13" s="7"/>
      <c r="LW13" s="7"/>
      <c r="LX13" s="7"/>
      <c r="LY13" s="7"/>
      <c r="LZ13" s="7">
        <v>1379752</v>
      </c>
      <c r="MA13" s="7"/>
      <c r="MB13" s="7"/>
      <c r="MC13" s="7"/>
      <c r="MD13" s="7">
        <v>2553126</v>
      </c>
      <c r="ME13" s="9">
        <v>5244805</v>
      </c>
      <c r="MF13" s="9"/>
      <c r="MG13" s="9">
        <v>5244805</v>
      </c>
      <c r="MH13" s="7"/>
      <c r="MI13" s="7">
        <v>1583714</v>
      </c>
      <c r="MJ13" s="7"/>
      <c r="MK13" s="7"/>
      <c r="ML13" s="7"/>
      <c r="MM13" s="7"/>
      <c r="MN13" s="7"/>
      <c r="MO13" s="7">
        <v>1656926</v>
      </c>
      <c r="MP13" s="7"/>
      <c r="MQ13" s="7"/>
      <c r="MR13" s="7"/>
      <c r="MS13" s="7"/>
      <c r="MT13" s="7"/>
      <c r="MU13" s="7"/>
      <c r="MV13" s="7"/>
      <c r="MW13" s="7"/>
      <c r="MX13" s="7">
        <v>2182582</v>
      </c>
      <c r="MY13" s="7">
        <v>1141088</v>
      </c>
      <c r="MZ13" s="7"/>
      <c r="NA13" s="7"/>
      <c r="NB13" s="7">
        <v>1158788</v>
      </c>
      <c r="NC13" s="7"/>
      <c r="ND13" s="7">
        <v>4263251</v>
      </c>
      <c r="NE13" s="7"/>
      <c r="NF13" s="7">
        <v>1150223</v>
      </c>
      <c r="NG13" s="7"/>
      <c r="NH13" s="7"/>
      <c r="NI13" s="7"/>
      <c r="NJ13" s="7">
        <v>2961592</v>
      </c>
      <c r="NK13" s="7">
        <v>1621362</v>
      </c>
      <c r="NL13" s="7"/>
      <c r="NM13" s="7"/>
      <c r="NN13" s="7"/>
      <c r="NO13" s="7"/>
      <c r="NP13" s="7">
        <v>1303632</v>
      </c>
      <c r="NQ13" s="7">
        <v>1530975</v>
      </c>
      <c r="NR13" s="7">
        <v>1720705</v>
      </c>
      <c r="NS13" s="7"/>
      <c r="NT13" s="7"/>
      <c r="NU13" s="7"/>
      <c r="NV13" s="7"/>
      <c r="NW13" s="7"/>
      <c r="NX13" s="7"/>
      <c r="NY13" s="7">
        <v>1629273</v>
      </c>
      <c r="NZ13" s="7"/>
      <c r="OA13" s="7"/>
      <c r="OB13" s="7">
        <v>1210558</v>
      </c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>
        <v>1537667</v>
      </c>
      <c r="ON13" s="7">
        <v>1108942</v>
      </c>
      <c r="OO13" s="7"/>
      <c r="OP13" s="7">
        <v>4954557</v>
      </c>
      <c r="OQ13" s="7"/>
      <c r="OR13" s="7">
        <v>35066613</v>
      </c>
      <c r="OS13" s="7"/>
      <c r="OT13" s="7">
        <v>5226222</v>
      </c>
      <c r="OU13" s="7"/>
      <c r="OV13" s="7">
        <v>3588478</v>
      </c>
      <c r="OW13" s="7"/>
      <c r="OX13" s="7"/>
      <c r="OY13" s="7"/>
      <c r="OZ13" s="7"/>
      <c r="PA13" s="7">
        <v>4515438</v>
      </c>
      <c r="PB13" s="7">
        <v>12088077</v>
      </c>
      <c r="PC13" s="7"/>
      <c r="PD13" s="7">
        <v>116759253</v>
      </c>
      <c r="PE13" s="7"/>
      <c r="PF13" s="7"/>
      <c r="PG13" s="7"/>
      <c r="PH13" s="7">
        <v>2299273</v>
      </c>
      <c r="PI13" s="7"/>
      <c r="PJ13" s="7"/>
      <c r="PK13" s="7"/>
      <c r="PL13" s="7"/>
      <c r="PM13" s="7">
        <v>3100563</v>
      </c>
      <c r="PN13" s="7"/>
      <c r="PO13" s="7">
        <v>3054939</v>
      </c>
      <c r="PP13" s="7"/>
      <c r="PQ13" s="7">
        <v>1521883</v>
      </c>
      <c r="PR13" s="7"/>
      <c r="PS13" s="7"/>
      <c r="PT13" s="7"/>
      <c r="PU13" s="7"/>
      <c r="PV13" s="7">
        <v>16923277</v>
      </c>
      <c r="PW13" s="7"/>
      <c r="PX13" s="7"/>
      <c r="PY13" s="7"/>
      <c r="PZ13" s="7">
        <v>12228153</v>
      </c>
      <c r="QA13" s="7">
        <v>5878166</v>
      </c>
      <c r="QB13" s="7"/>
      <c r="QC13" s="7"/>
      <c r="QD13" s="7"/>
      <c r="QE13" s="7"/>
      <c r="QF13" s="7"/>
      <c r="QG13" s="7"/>
      <c r="QH13" s="7"/>
      <c r="QI13" s="7"/>
      <c r="QJ13" s="7">
        <v>2048011</v>
      </c>
      <c r="QK13" s="7"/>
      <c r="QL13" s="7"/>
      <c r="QM13" s="7"/>
      <c r="QN13" s="7">
        <v>3884930</v>
      </c>
      <c r="QO13" s="7"/>
      <c r="QP13" s="7"/>
      <c r="QQ13" s="7">
        <v>1181550</v>
      </c>
      <c r="QR13" s="7"/>
      <c r="QS13" s="7"/>
      <c r="QT13" s="7"/>
      <c r="QU13" s="7">
        <v>6410194</v>
      </c>
      <c r="QV13" s="7">
        <v>1037948</v>
      </c>
      <c r="QW13" s="7"/>
      <c r="QX13" s="7"/>
      <c r="QY13" s="7">
        <v>1241646</v>
      </c>
      <c r="QZ13" s="7"/>
      <c r="RA13" s="7">
        <v>4404804</v>
      </c>
      <c r="RB13" s="7">
        <v>2846457</v>
      </c>
      <c r="RC13" s="7"/>
      <c r="RD13" s="7"/>
      <c r="RE13" s="7"/>
      <c r="RF13" s="7"/>
      <c r="RG13" s="7">
        <v>1423943</v>
      </c>
      <c r="RH13" s="7"/>
      <c r="RI13" s="7"/>
      <c r="RJ13" s="7"/>
      <c r="RK13" s="7"/>
      <c r="RL13" s="7">
        <v>1276998</v>
      </c>
      <c r="RM13" s="7"/>
      <c r="RN13" s="7"/>
      <c r="RO13" s="7">
        <v>1476441</v>
      </c>
      <c r="RP13" s="7"/>
      <c r="RQ13" s="7"/>
      <c r="RR13" s="7"/>
      <c r="RS13" s="7"/>
      <c r="RT13" s="7"/>
      <c r="RU13" s="7"/>
      <c r="RV13" s="7">
        <v>3168553</v>
      </c>
      <c r="RW13" s="7"/>
      <c r="RX13" s="7"/>
      <c r="RY13" s="7"/>
      <c r="RZ13" s="7">
        <v>2084179</v>
      </c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>
        <v>7856068</v>
      </c>
      <c r="SM13" s="7"/>
      <c r="SN13" s="7">
        <v>1522936</v>
      </c>
      <c r="SO13" s="7"/>
      <c r="SP13" s="7"/>
      <c r="SQ13" s="7"/>
      <c r="SR13" s="7">
        <v>1693129</v>
      </c>
      <c r="SS13" s="7"/>
      <c r="ST13" s="7"/>
      <c r="SU13" s="7"/>
      <c r="SV13" s="7">
        <v>5291762</v>
      </c>
      <c r="SW13" s="7"/>
      <c r="SX13" s="7">
        <v>36719724</v>
      </c>
      <c r="SY13" s="7"/>
      <c r="SZ13" s="7"/>
      <c r="TA13" s="7"/>
      <c r="TB13" s="7">
        <v>29290060</v>
      </c>
      <c r="TC13" s="7"/>
      <c r="TD13" s="7"/>
      <c r="TE13" s="7"/>
      <c r="TF13" s="7"/>
      <c r="TG13" s="7"/>
      <c r="TH13" s="7">
        <v>191891395</v>
      </c>
      <c r="TI13" s="7"/>
      <c r="TJ13" s="7"/>
      <c r="TK13" s="7"/>
      <c r="TL13" s="7"/>
      <c r="TM13" s="7"/>
      <c r="TN13" s="7">
        <v>40913325</v>
      </c>
      <c r="TO13" s="7"/>
    </row>
    <row r="14" spans="1:535" x14ac:dyDescent="0.25">
      <c r="A14" s="5" t="s">
        <v>1422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>
        <v>11860375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>
        <v>1189262</v>
      </c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>
        <v>1022115</v>
      </c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>
        <v>2254646</v>
      </c>
      <c r="CS14" s="7"/>
      <c r="CT14" s="7"/>
      <c r="CU14" s="7">
        <v>1883394</v>
      </c>
      <c r="CV14" s="7"/>
      <c r="CW14" s="7"/>
      <c r="CX14" s="7"/>
      <c r="CY14" s="7"/>
      <c r="CZ14" s="7"/>
      <c r="DA14" s="7"/>
      <c r="DB14" s="7"/>
      <c r="DC14" s="7"/>
      <c r="DD14" s="7">
        <v>4720105</v>
      </c>
      <c r="DE14" s="7"/>
      <c r="DF14" s="7"/>
      <c r="DG14" s="7"/>
      <c r="DH14" s="7"/>
      <c r="DI14" s="7"/>
      <c r="DJ14" s="7"/>
      <c r="DK14" s="7"/>
      <c r="DL14" s="7"/>
      <c r="DM14" s="7"/>
      <c r="DN14" s="7">
        <v>1233990</v>
      </c>
      <c r="DO14" s="7"/>
      <c r="DP14" s="7"/>
      <c r="DQ14" s="7">
        <v>3301627</v>
      </c>
      <c r="DR14" s="7">
        <v>1003777</v>
      </c>
      <c r="DS14" s="7"/>
      <c r="DT14" s="7"/>
      <c r="DU14" s="7"/>
      <c r="DV14" s="7"/>
      <c r="DW14" s="7">
        <v>1580197</v>
      </c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>
        <v>2826234</v>
      </c>
      <c r="EI14" s="7"/>
      <c r="EJ14" s="7"/>
      <c r="EK14" s="7"/>
      <c r="EL14" s="7"/>
      <c r="EM14" s="7"/>
      <c r="EN14" s="7">
        <v>1154562</v>
      </c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>
        <v>16240779</v>
      </c>
      <c r="GN14" s="7"/>
      <c r="GO14" s="7"/>
      <c r="GP14" s="7"/>
      <c r="GQ14" s="7"/>
      <c r="GR14" s="7"/>
      <c r="GS14" s="7"/>
      <c r="GT14" s="7"/>
      <c r="GU14" s="7">
        <v>9649198</v>
      </c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>
        <v>2606873</v>
      </c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>
        <v>1657312</v>
      </c>
      <c r="IZ14" s="7"/>
      <c r="JA14" s="7"/>
      <c r="JB14" s="7"/>
      <c r="JC14" s="7"/>
      <c r="JD14" s="7"/>
      <c r="JE14" s="7"/>
      <c r="JF14" s="7"/>
      <c r="JG14" s="7"/>
      <c r="JH14" s="7"/>
      <c r="JI14" s="7">
        <v>6164210</v>
      </c>
      <c r="JJ14" s="7"/>
      <c r="JK14" s="7"/>
      <c r="JL14" s="7"/>
      <c r="JM14" s="7"/>
      <c r="JN14" s="7"/>
      <c r="JO14" s="7"/>
      <c r="JP14" s="7">
        <v>1706560</v>
      </c>
      <c r="JQ14" s="7"/>
      <c r="JR14" s="7">
        <v>1665002</v>
      </c>
      <c r="JS14" s="7"/>
      <c r="JT14" s="7">
        <v>21454414</v>
      </c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>
        <v>2680946</v>
      </c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>
        <v>1349293</v>
      </c>
      <c r="LF14" s="7"/>
      <c r="LG14" s="7"/>
      <c r="LH14" s="7"/>
      <c r="LI14" s="7"/>
      <c r="LJ14" s="7"/>
      <c r="LK14" s="7"/>
      <c r="LL14" s="7"/>
      <c r="LM14" s="7"/>
      <c r="LN14" s="7"/>
      <c r="LO14" s="7">
        <v>1072969</v>
      </c>
      <c r="LP14" s="7"/>
      <c r="LQ14" s="7"/>
      <c r="LR14" s="7"/>
      <c r="LS14" s="7">
        <v>1176640</v>
      </c>
      <c r="LT14" s="7"/>
      <c r="LU14" s="7"/>
      <c r="LV14" s="7"/>
      <c r="LW14" s="7"/>
      <c r="LX14" s="7"/>
      <c r="LY14" s="7"/>
      <c r="LZ14" s="7"/>
      <c r="MA14" s="7"/>
      <c r="MB14" s="7"/>
      <c r="MC14" s="7">
        <v>1104907</v>
      </c>
      <c r="MD14" s="7"/>
      <c r="ME14" s="9">
        <v>4560773</v>
      </c>
      <c r="MF14" s="9"/>
      <c r="MG14" s="9">
        <v>4560773</v>
      </c>
      <c r="MH14" s="7"/>
      <c r="MI14" s="7"/>
      <c r="MJ14" s="7">
        <v>1008648</v>
      </c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>
        <v>1606810</v>
      </c>
      <c r="NK14" s="7">
        <v>1329590</v>
      </c>
      <c r="NL14" s="7"/>
      <c r="NM14" s="7"/>
      <c r="NN14" s="7"/>
      <c r="NO14" s="7"/>
      <c r="NP14" s="7"/>
      <c r="NQ14" s="7">
        <v>1123326</v>
      </c>
      <c r="NR14" s="7"/>
      <c r="NS14" s="7"/>
      <c r="NT14" s="7">
        <v>1082575</v>
      </c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>
        <v>1307836</v>
      </c>
      <c r="ON14" s="7"/>
      <c r="OO14" s="7"/>
      <c r="OP14" s="7"/>
      <c r="OQ14" s="7"/>
      <c r="OR14" s="7">
        <v>27795911</v>
      </c>
      <c r="OS14" s="7"/>
      <c r="OT14" s="7"/>
      <c r="OU14" s="7"/>
      <c r="OV14" s="7"/>
      <c r="OW14" s="7">
        <v>1092747</v>
      </c>
      <c r="OX14" s="7"/>
      <c r="OY14" s="7">
        <v>2384129</v>
      </c>
      <c r="OZ14" s="7"/>
      <c r="PA14" s="7">
        <v>7175713</v>
      </c>
      <c r="PB14" s="7">
        <v>10452457</v>
      </c>
      <c r="PC14" s="7"/>
      <c r="PD14" s="7">
        <v>75531148</v>
      </c>
      <c r="PE14" s="7">
        <v>1144262</v>
      </c>
      <c r="PF14" s="7"/>
      <c r="PG14" s="7"/>
      <c r="PH14" s="7">
        <v>1501503</v>
      </c>
      <c r="PI14" s="7"/>
      <c r="PJ14" s="7"/>
      <c r="PK14" s="7"/>
      <c r="PL14" s="7"/>
      <c r="PM14" s="7"/>
      <c r="PN14" s="7">
        <v>1260751</v>
      </c>
      <c r="PO14" s="7"/>
      <c r="PP14" s="7">
        <v>1305237</v>
      </c>
      <c r="PQ14" s="7"/>
      <c r="PR14" s="7">
        <v>1737615</v>
      </c>
      <c r="PS14" s="7"/>
      <c r="PT14" s="7"/>
      <c r="PU14" s="7"/>
      <c r="PV14" s="7">
        <v>9245591</v>
      </c>
      <c r="PW14" s="7"/>
      <c r="PX14" s="7"/>
      <c r="PY14" s="7">
        <v>3144354</v>
      </c>
      <c r="PZ14" s="7"/>
      <c r="QA14" s="7"/>
      <c r="QB14" s="7"/>
      <c r="QC14" s="7">
        <v>4986393</v>
      </c>
      <c r="QD14" s="7"/>
      <c r="QE14" s="7"/>
      <c r="QF14" s="7"/>
      <c r="QG14" s="7"/>
      <c r="QH14" s="7"/>
      <c r="QI14" s="7"/>
      <c r="QJ14" s="7">
        <v>1171497</v>
      </c>
      <c r="QK14" s="7"/>
      <c r="QL14" s="7"/>
      <c r="QM14" s="7"/>
      <c r="QN14" s="7">
        <v>1043277</v>
      </c>
      <c r="QO14" s="7"/>
      <c r="QP14" s="7">
        <v>1389951</v>
      </c>
      <c r="QQ14" s="7"/>
      <c r="QR14" s="7"/>
      <c r="QS14" s="7"/>
      <c r="QT14" s="7"/>
      <c r="QU14" s="7"/>
      <c r="QV14" s="7">
        <v>1262903</v>
      </c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>
        <v>1965602</v>
      </c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>
        <v>4205888</v>
      </c>
      <c r="SJ14" s="7"/>
      <c r="SK14" s="7"/>
      <c r="SL14" s="7">
        <v>10086686</v>
      </c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>
        <v>7526809</v>
      </c>
      <c r="SY14" s="7"/>
      <c r="SZ14" s="7">
        <v>1081104</v>
      </c>
      <c r="TA14" s="7"/>
      <c r="TB14" s="7">
        <v>8932920</v>
      </c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>
        <v>1723733</v>
      </c>
      <c r="TO14" s="7"/>
    </row>
    <row r="15" spans="1:535" x14ac:dyDescent="0.25">
      <c r="A15" s="5" t="s">
        <v>1423</v>
      </c>
      <c r="B15" s="7"/>
      <c r="C15" s="7"/>
      <c r="D15" s="7">
        <v>1187828</v>
      </c>
      <c r="E15" s="7"/>
      <c r="F15" s="7"/>
      <c r="G15" s="7"/>
      <c r="H15" s="7">
        <v>1139074</v>
      </c>
      <c r="I15" s="7"/>
      <c r="J15" s="7"/>
      <c r="K15" s="7"/>
      <c r="L15" s="7">
        <v>1635965</v>
      </c>
      <c r="M15" s="7"/>
      <c r="N15" s="7"/>
      <c r="O15" s="7"/>
      <c r="P15" s="7">
        <v>10421070</v>
      </c>
      <c r="Q15" s="7"/>
      <c r="R15" s="7"/>
      <c r="S15" s="7"/>
      <c r="T15" s="7">
        <v>2361354</v>
      </c>
      <c r="U15" s="7"/>
      <c r="V15" s="7"/>
      <c r="W15" s="7"/>
      <c r="X15" s="7">
        <v>1114781</v>
      </c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>
        <v>1173332</v>
      </c>
      <c r="AX15" s="7"/>
      <c r="AY15" s="7"/>
      <c r="AZ15" s="7">
        <v>2278628</v>
      </c>
      <c r="BA15" s="7"/>
      <c r="BB15" s="7"/>
      <c r="BC15" s="7"/>
      <c r="BD15" s="7"/>
      <c r="BE15" s="7"/>
      <c r="BF15" s="7"/>
      <c r="BG15" s="7">
        <v>3439047</v>
      </c>
      <c r="BH15" s="7"/>
      <c r="BI15" s="7"/>
      <c r="BJ15" s="7"/>
      <c r="BK15" s="7">
        <v>1373556</v>
      </c>
      <c r="BL15" s="7"/>
      <c r="BM15" s="7">
        <v>1052017</v>
      </c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>
        <v>3491718</v>
      </c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>
        <v>1901822</v>
      </c>
      <c r="CK15" s="7"/>
      <c r="CL15" s="7"/>
      <c r="CM15" s="7"/>
      <c r="CN15" s="7"/>
      <c r="CO15" s="7"/>
      <c r="CP15" s="7"/>
      <c r="CQ15" s="7"/>
      <c r="CR15" s="7">
        <v>3104907</v>
      </c>
      <c r="CS15" s="7"/>
      <c r="CT15" s="7"/>
      <c r="CU15" s="7">
        <v>3592325</v>
      </c>
      <c r="CV15" s="7"/>
      <c r="CW15" s="7"/>
      <c r="CX15" s="7"/>
      <c r="CY15" s="7"/>
      <c r="CZ15" s="7"/>
      <c r="DA15" s="7"/>
      <c r="DB15" s="7"/>
      <c r="DC15" s="7"/>
      <c r="DD15" s="7">
        <v>11471320</v>
      </c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>
        <v>1540188</v>
      </c>
      <c r="DP15" s="7"/>
      <c r="DQ15" s="7">
        <v>1616970</v>
      </c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>
        <v>2662679</v>
      </c>
      <c r="EC15" s="7"/>
      <c r="ED15" s="7"/>
      <c r="EE15" s="7"/>
      <c r="EF15" s="7"/>
      <c r="EG15" s="7"/>
      <c r="EH15" s="7"/>
      <c r="EI15" s="7">
        <v>3623988</v>
      </c>
      <c r="EJ15" s="7"/>
      <c r="EK15" s="7"/>
      <c r="EL15" s="7"/>
      <c r="EM15" s="7"/>
      <c r="EN15" s="7"/>
      <c r="EO15" s="7">
        <v>1050986</v>
      </c>
      <c r="EP15" s="7"/>
      <c r="EQ15" s="7"/>
      <c r="ER15" s="7"/>
      <c r="ES15" s="7"/>
      <c r="ET15" s="7"/>
      <c r="EU15" s="7"/>
      <c r="EV15" s="7">
        <v>1076031</v>
      </c>
      <c r="EW15" s="7"/>
      <c r="EX15" s="7"/>
      <c r="EY15" s="7"/>
      <c r="EZ15" s="7"/>
      <c r="FA15" s="7"/>
      <c r="FB15" s="7"/>
      <c r="FC15" s="7"/>
      <c r="FD15" s="7"/>
      <c r="FE15" s="7">
        <v>1056420</v>
      </c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>
        <v>6489179</v>
      </c>
      <c r="GM15" s="7">
        <v>22077877</v>
      </c>
      <c r="GN15" s="7"/>
      <c r="GO15" s="7"/>
      <c r="GP15" s="7"/>
      <c r="GQ15" s="7"/>
      <c r="GR15" s="7"/>
      <c r="GS15" s="7"/>
      <c r="GT15" s="7"/>
      <c r="GU15" s="7">
        <v>14714240</v>
      </c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>
        <v>1171313</v>
      </c>
      <c r="HP15" s="7"/>
      <c r="HQ15" s="7"/>
      <c r="HR15" s="7"/>
      <c r="HS15" s="7"/>
      <c r="HT15" s="7">
        <v>1600019</v>
      </c>
      <c r="HU15" s="7"/>
      <c r="HV15" s="7"/>
      <c r="HW15" s="7"/>
      <c r="HX15" s="7"/>
      <c r="HY15" s="7">
        <v>2022137</v>
      </c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>
        <v>1298562</v>
      </c>
      <c r="IS15" s="7"/>
      <c r="IT15" s="7"/>
      <c r="IU15" s="7"/>
      <c r="IV15" s="7">
        <v>2225809</v>
      </c>
      <c r="IW15" s="7"/>
      <c r="IX15" s="7"/>
      <c r="IY15" s="7">
        <v>2999924</v>
      </c>
      <c r="IZ15" s="7"/>
      <c r="JA15" s="7"/>
      <c r="JB15" s="7"/>
      <c r="JC15" s="7"/>
      <c r="JD15" s="7"/>
      <c r="JE15" s="7"/>
      <c r="JF15" s="7"/>
      <c r="JG15" s="7">
        <v>1446610</v>
      </c>
      <c r="JH15" s="7"/>
      <c r="JI15" s="7">
        <v>7618271</v>
      </c>
      <c r="JJ15" s="7"/>
      <c r="JK15" s="7"/>
      <c r="JL15" s="7"/>
      <c r="JM15" s="7"/>
      <c r="JN15" s="7"/>
      <c r="JO15" s="7">
        <v>3670332</v>
      </c>
      <c r="JP15" s="7"/>
      <c r="JQ15" s="7">
        <v>2845825</v>
      </c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>
        <v>88503090</v>
      </c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>
        <v>11047071</v>
      </c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>
        <v>1267564</v>
      </c>
      <c r="LC15" s="7"/>
      <c r="LD15" s="7"/>
      <c r="LE15" s="7">
        <v>2681449</v>
      </c>
      <c r="LF15" s="7"/>
      <c r="LG15" s="7"/>
      <c r="LH15" s="7"/>
      <c r="LI15" s="7"/>
      <c r="LJ15" s="7"/>
      <c r="LK15" s="7"/>
      <c r="LL15" s="7"/>
      <c r="LM15" s="7"/>
      <c r="LN15" s="7"/>
      <c r="LO15" s="7">
        <v>3283591</v>
      </c>
      <c r="LP15" s="7"/>
      <c r="LQ15" s="7"/>
      <c r="LR15" s="7"/>
      <c r="LS15" s="7">
        <v>2931826</v>
      </c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>
        <v>2070750</v>
      </c>
      <c r="ME15" s="9">
        <v>5594822</v>
      </c>
      <c r="MF15" s="9"/>
      <c r="MG15" s="9">
        <v>5594822</v>
      </c>
      <c r="MH15" s="7"/>
      <c r="MI15" s="7"/>
      <c r="MJ15" s="7"/>
      <c r="MK15" s="7"/>
      <c r="ML15" s="7"/>
      <c r="MM15" s="7"/>
      <c r="MN15" s="7"/>
      <c r="MO15" s="7">
        <v>2507118</v>
      </c>
      <c r="MP15" s="7"/>
      <c r="MQ15" s="7"/>
      <c r="MR15" s="7"/>
      <c r="MS15" s="7"/>
      <c r="MT15" s="7"/>
      <c r="MU15" s="7"/>
      <c r="MV15" s="7"/>
      <c r="MW15" s="7"/>
      <c r="MX15" s="7">
        <v>2062908</v>
      </c>
      <c r="MY15" s="7">
        <v>1586867</v>
      </c>
      <c r="MZ15" s="7"/>
      <c r="NA15" s="7"/>
      <c r="NB15" s="7">
        <v>1799833</v>
      </c>
      <c r="NC15" s="7"/>
      <c r="ND15" s="7"/>
      <c r="NE15" s="7"/>
      <c r="NF15" s="7">
        <v>1164722</v>
      </c>
      <c r="NG15" s="7"/>
      <c r="NH15" s="7"/>
      <c r="NI15" s="7"/>
      <c r="NJ15" s="7">
        <v>3994998</v>
      </c>
      <c r="NK15" s="7">
        <v>1644627</v>
      </c>
      <c r="NL15" s="7"/>
      <c r="NM15" s="7"/>
      <c r="NN15" s="7"/>
      <c r="NO15" s="7"/>
      <c r="NP15" s="7">
        <v>1154117</v>
      </c>
      <c r="NQ15" s="7"/>
      <c r="NR15" s="7"/>
      <c r="NS15" s="7"/>
      <c r="NT15" s="7"/>
      <c r="NU15" s="7"/>
      <c r="NV15" s="7"/>
      <c r="NW15" s="7"/>
      <c r="NX15" s="7"/>
      <c r="NY15" s="7"/>
      <c r="NZ15" s="7">
        <v>1045577</v>
      </c>
      <c r="OA15" s="7"/>
      <c r="OB15" s="7"/>
      <c r="OC15" s="7">
        <v>1156273</v>
      </c>
      <c r="OD15" s="7"/>
      <c r="OE15" s="7"/>
      <c r="OF15" s="7"/>
      <c r="OG15" s="7"/>
      <c r="OH15" s="7"/>
      <c r="OI15" s="7"/>
      <c r="OJ15" s="7"/>
      <c r="OK15" s="7"/>
      <c r="OL15" s="7">
        <v>1212354</v>
      </c>
      <c r="OM15" s="7">
        <v>2043101</v>
      </c>
      <c r="ON15" s="7"/>
      <c r="OO15" s="7"/>
      <c r="OP15" s="7"/>
      <c r="OQ15" s="7"/>
      <c r="OR15" s="7">
        <v>48174241</v>
      </c>
      <c r="OS15" s="7"/>
      <c r="OT15" s="7"/>
      <c r="OU15" s="7"/>
      <c r="OV15" s="7"/>
      <c r="OW15" s="7">
        <v>1996313</v>
      </c>
      <c r="OX15" s="7"/>
      <c r="OY15" s="7">
        <v>1705356</v>
      </c>
      <c r="OZ15" s="7"/>
      <c r="PA15" s="7">
        <v>8598875</v>
      </c>
      <c r="PB15" s="7">
        <v>17076555</v>
      </c>
      <c r="PC15" s="7"/>
      <c r="PD15" s="7">
        <v>139362336</v>
      </c>
      <c r="PE15" s="7">
        <v>1950915</v>
      </c>
      <c r="PF15" s="7"/>
      <c r="PG15" s="7"/>
      <c r="PH15" s="7">
        <v>3859260</v>
      </c>
      <c r="PI15" s="7"/>
      <c r="PJ15" s="7"/>
      <c r="PK15" s="7">
        <v>1720704</v>
      </c>
      <c r="PL15" s="7"/>
      <c r="PM15" s="7"/>
      <c r="PN15" s="7">
        <v>2263406</v>
      </c>
      <c r="PO15" s="7"/>
      <c r="PP15" s="7">
        <v>1930205</v>
      </c>
      <c r="PQ15" s="7">
        <v>1985886</v>
      </c>
      <c r="PR15" s="7"/>
      <c r="PS15" s="7">
        <v>1332021</v>
      </c>
      <c r="PT15" s="7">
        <v>1217191</v>
      </c>
      <c r="PU15" s="7"/>
      <c r="PV15" s="7">
        <v>14155848</v>
      </c>
      <c r="PW15" s="7"/>
      <c r="PX15" s="7">
        <v>5588971</v>
      </c>
      <c r="PY15" s="7"/>
      <c r="PZ15" s="7"/>
      <c r="QA15" s="7"/>
      <c r="QB15" s="7"/>
      <c r="QC15" s="7"/>
      <c r="QD15" s="7"/>
      <c r="QE15" s="7"/>
      <c r="QF15" s="7"/>
      <c r="QG15" s="7"/>
      <c r="QH15" s="7">
        <v>1316962</v>
      </c>
      <c r="QI15" s="7"/>
      <c r="QJ15" s="7"/>
      <c r="QK15" s="7">
        <v>1554438</v>
      </c>
      <c r="QL15" s="7"/>
      <c r="QM15" s="7"/>
      <c r="QN15" s="7">
        <v>1431569</v>
      </c>
      <c r="QO15" s="7"/>
      <c r="QP15" s="7"/>
      <c r="QQ15" s="7"/>
      <c r="QR15" s="7"/>
      <c r="QS15" s="7"/>
      <c r="QT15" s="7"/>
      <c r="QU15" s="7"/>
      <c r="QV15" s="7">
        <v>1006783</v>
      </c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>
        <v>1484334</v>
      </c>
      <c r="SB15" s="7"/>
      <c r="SC15" s="7"/>
      <c r="SD15" s="7"/>
      <c r="SE15" s="7"/>
      <c r="SF15" s="7"/>
      <c r="SG15" s="7">
        <v>1110407</v>
      </c>
      <c r="SH15" s="7"/>
      <c r="SI15" s="7"/>
      <c r="SJ15" s="7"/>
      <c r="SK15" s="7"/>
      <c r="SL15" s="7">
        <v>6883861</v>
      </c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>
        <v>2668631</v>
      </c>
      <c r="SZ15" s="7"/>
      <c r="TA15" s="7"/>
      <c r="TB15" s="7">
        <v>8023291</v>
      </c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</row>
    <row r="16" spans="1:535" x14ac:dyDescent="0.25">
      <c r="A16" s="5" t="s">
        <v>1424</v>
      </c>
      <c r="B16" s="7">
        <v>2196332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>
        <v>3483785</v>
      </c>
      <c r="S16" s="7"/>
      <c r="T16" s="7"/>
      <c r="U16" s="7"/>
      <c r="V16" s="7"/>
      <c r="W16" s="7"/>
      <c r="X16" s="7"/>
      <c r="Y16" s="7"/>
      <c r="Z16" s="7"/>
      <c r="AA16" s="7"/>
      <c r="AB16" s="7"/>
      <c r="AC16" s="7">
        <v>1844920</v>
      </c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>
        <v>2065396</v>
      </c>
      <c r="AX16" s="7"/>
      <c r="AY16" s="7"/>
      <c r="AZ16" s="7"/>
      <c r="BA16" s="7"/>
      <c r="BB16" s="7"/>
      <c r="BC16" s="7"/>
      <c r="BD16" s="7"/>
      <c r="BE16" s="7"/>
      <c r="BF16" s="7">
        <v>5211618</v>
      </c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>
        <v>3364725</v>
      </c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>
        <v>8975803</v>
      </c>
      <c r="CP16" s="7"/>
      <c r="CQ16" s="7"/>
      <c r="CR16" s="7">
        <v>1703113</v>
      </c>
      <c r="CS16" s="7"/>
      <c r="CT16" s="7"/>
      <c r="CU16" s="7">
        <v>2991354</v>
      </c>
      <c r="CV16" s="7"/>
      <c r="CW16" s="7"/>
      <c r="CX16" s="7"/>
      <c r="CY16" s="7"/>
      <c r="CZ16" s="7"/>
      <c r="DA16" s="7"/>
      <c r="DB16" s="7"/>
      <c r="DC16" s="7"/>
      <c r="DD16" s="7">
        <v>21861393</v>
      </c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>
        <v>2207310</v>
      </c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>
        <v>1756096</v>
      </c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>
        <v>1000405</v>
      </c>
      <c r="FY16" s="7"/>
      <c r="FZ16" s="7"/>
      <c r="GA16" s="7"/>
      <c r="GB16" s="7">
        <v>2585198</v>
      </c>
      <c r="GC16" s="7"/>
      <c r="GD16" s="7"/>
      <c r="GE16" s="7"/>
      <c r="GF16" s="7"/>
      <c r="GG16" s="7"/>
      <c r="GH16" s="7"/>
      <c r="GI16" s="7"/>
      <c r="GJ16" s="7"/>
      <c r="GK16" s="7"/>
      <c r="GL16" s="7">
        <v>1704422</v>
      </c>
      <c r="GM16" s="7">
        <v>36084755</v>
      </c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>
        <v>1320645</v>
      </c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>
        <v>1157570</v>
      </c>
      <c r="HX16" s="7"/>
      <c r="HY16" s="7"/>
      <c r="HZ16" s="7">
        <v>8157357</v>
      </c>
      <c r="IA16" s="7"/>
      <c r="IB16" s="7"/>
      <c r="IC16" s="7"/>
      <c r="ID16" s="7"/>
      <c r="IE16" s="7"/>
      <c r="IF16" s="7"/>
      <c r="IG16" s="7"/>
      <c r="IH16" s="7"/>
      <c r="II16" s="7">
        <v>1022941</v>
      </c>
      <c r="IJ16" s="7"/>
      <c r="IK16" s="7"/>
      <c r="IL16" s="7"/>
      <c r="IM16" s="7">
        <v>2958387</v>
      </c>
      <c r="IN16" s="7"/>
      <c r="IO16" s="7"/>
      <c r="IP16" s="7"/>
      <c r="IQ16" s="7">
        <v>1850781</v>
      </c>
      <c r="IR16" s="7"/>
      <c r="IS16" s="7"/>
      <c r="IT16" s="7"/>
      <c r="IU16" s="7"/>
      <c r="IV16" s="7"/>
      <c r="IW16" s="7"/>
      <c r="IX16" s="7">
        <v>6219766</v>
      </c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>
        <v>8725387</v>
      </c>
      <c r="JJ16" s="7"/>
      <c r="JK16" s="7"/>
      <c r="JL16" s="7"/>
      <c r="JM16" s="7"/>
      <c r="JN16" s="7"/>
      <c r="JO16" s="7">
        <v>3523790</v>
      </c>
      <c r="JP16" s="7"/>
      <c r="JQ16" s="7"/>
      <c r="JR16" s="7">
        <v>7179978</v>
      </c>
      <c r="JS16" s="7"/>
      <c r="JT16" s="7"/>
      <c r="JU16" s="7"/>
      <c r="JV16" s="7"/>
      <c r="JW16" s="7">
        <v>26623342</v>
      </c>
      <c r="JX16" s="7"/>
      <c r="JY16" s="7"/>
      <c r="JZ16" s="7"/>
      <c r="KA16" s="7"/>
      <c r="KB16" s="7">
        <v>2589288</v>
      </c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>
        <v>13615206</v>
      </c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>
        <v>12681604</v>
      </c>
      <c r="LE16" s="7"/>
      <c r="LF16" s="7"/>
      <c r="LG16" s="7"/>
      <c r="LH16" s="7">
        <v>1198941</v>
      </c>
      <c r="LI16" s="7"/>
      <c r="LJ16" s="7">
        <v>1467508</v>
      </c>
      <c r="LK16" s="7"/>
      <c r="LL16" s="7"/>
      <c r="LM16" s="7"/>
      <c r="LN16" s="7">
        <v>2710945</v>
      </c>
      <c r="LO16" s="7"/>
      <c r="LP16" s="7"/>
      <c r="LQ16" s="7">
        <v>1153466</v>
      </c>
      <c r="LR16" s="7"/>
      <c r="LS16" s="7">
        <v>2499148</v>
      </c>
      <c r="LT16" s="7"/>
      <c r="LU16" s="7"/>
      <c r="LV16" s="7"/>
      <c r="LW16" s="7"/>
      <c r="LX16" s="7"/>
      <c r="LY16" s="7"/>
      <c r="LZ16" s="7"/>
      <c r="MA16" s="7"/>
      <c r="MB16" s="7"/>
      <c r="MC16" s="7">
        <v>1908311</v>
      </c>
      <c r="MD16" s="7"/>
      <c r="ME16" s="9">
        <v>4027178</v>
      </c>
      <c r="MF16" s="9"/>
      <c r="MG16" s="9">
        <v>4027178</v>
      </c>
      <c r="MH16" s="7"/>
      <c r="MI16" s="7"/>
      <c r="MJ16" s="7">
        <v>1369603</v>
      </c>
      <c r="MK16" s="7"/>
      <c r="ML16" s="7"/>
      <c r="MM16" s="7"/>
      <c r="MN16" s="7"/>
      <c r="MO16" s="7">
        <v>2599789</v>
      </c>
      <c r="MP16" s="7"/>
      <c r="MQ16" s="7">
        <v>1806929</v>
      </c>
      <c r="MR16" s="7">
        <v>1749896</v>
      </c>
      <c r="MS16" s="7"/>
      <c r="MT16" s="7"/>
      <c r="MU16" s="7"/>
      <c r="MV16" s="7">
        <v>1835049</v>
      </c>
      <c r="MW16" s="7"/>
      <c r="MX16" s="7">
        <v>2508233</v>
      </c>
      <c r="MY16" s="7">
        <v>1645032</v>
      </c>
      <c r="MZ16" s="7"/>
      <c r="NA16" s="7">
        <v>1592519</v>
      </c>
      <c r="NB16" s="7">
        <v>1830666</v>
      </c>
      <c r="NC16" s="7"/>
      <c r="ND16" s="7">
        <v>1254188</v>
      </c>
      <c r="NE16" s="7"/>
      <c r="NF16" s="7">
        <v>1075363</v>
      </c>
      <c r="NG16" s="7"/>
      <c r="NH16" s="7">
        <v>1525628</v>
      </c>
      <c r="NI16" s="7"/>
      <c r="NJ16" s="7">
        <v>4825688</v>
      </c>
      <c r="NK16" s="7">
        <v>2183784</v>
      </c>
      <c r="NL16" s="7"/>
      <c r="NM16" s="7">
        <v>1229022</v>
      </c>
      <c r="NN16" s="7"/>
      <c r="NO16" s="7">
        <v>1541990</v>
      </c>
      <c r="NP16" s="7"/>
      <c r="NQ16" s="7">
        <v>1437080</v>
      </c>
      <c r="NR16" s="7">
        <v>1440900</v>
      </c>
      <c r="NS16" s="7"/>
      <c r="NT16" s="7">
        <v>2351442</v>
      </c>
      <c r="NU16" s="7"/>
      <c r="NV16" s="7"/>
      <c r="NW16" s="7">
        <v>1279378</v>
      </c>
      <c r="NX16" s="7"/>
      <c r="NY16" s="7"/>
      <c r="NZ16" s="7">
        <v>1466107</v>
      </c>
      <c r="OA16" s="7">
        <v>1767021</v>
      </c>
      <c r="OB16" s="7"/>
      <c r="OC16" s="7">
        <v>1923374</v>
      </c>
      <c r="OD16" s="7"/>
      <c r="OE16" s="7">
        <v>6263086</v>
      </c>
      <c r="OF16" s="7"/>
      <c r="OG16" s="7"/>
      <c r="OH16" s="7"/>
      <c r="OI16" s="7">
        <v>2168087</v>
      </c>
      <c r="OJ16" s="7">
        <v>1417945</v>
      </c>
      <c r="OK16" s="7"/>
      <c r="OL16" s="7">
        <v>1222738</v>
      </c>
      <c r="OM16" s="7">
        <v>3570945</v>
      </c>
      <c r="ON16" s="7">
        <v>1383426</v>
      </c>
      <c r="OO16" s="7"/>
      <c r="OP16" s="7"/>
      <c r="OQ16" s="7">
        <v>1083421</v>
      </c>
      <c r="OR16" s="7">
        <v>33799956</v>
      </c>
      <c r="OS16" s="7"/>
      <c r="OT16" s="7"/>
      <c r="OU16" s="7"/>
      <c r="OV16" s="7"/>
      <c r="OW16" s="7"/>
      <c r="OX16" s="7"/>
      <c r="OY16" s="7">
        <v>1665735</v>
      </c>
      <c r="OZ16" s="7"/>
      <c r="PA16" s="7">
        <v>8269563</v>
      </c>
      <c r="PB16" s="7">
        <v>11022396</v>
      </c>
      <c r="PC16" s="7">
        <v>1025926</v>
      </c>
      <c r="PD16" s="7">
        <v>78539166</v>
      </c>
      <c r="PE16" s="7">
        <v>1209154</v>
      </c>
      <c r="PF16" s="7"/>
      <c r="PG16" s="7"/>
      <c r="PH16" s="7">
        <v>3638756</v>
      </c>
      <c r="PI16" s="7"/>
      <c r="PJ16" s="7">
        <v>1209637</v>
      </c>
      <c r="PK16" s="7"/>
      <c r="PL16" s="7"/>
      <c r="PM16" s="7"/>
      <c r="PN16" s="7">
        <v>2276837</v>
      </c>
      <c r="PO16" s="7">
        <v>2308980</v>
      </c>
      <c r="PP16" s="7"/>
      <c r="PQ16" s="7">
        <v>2436630</v>
      </c>
      <c r="PR16" s="7"/>
      <c r="PS16" s="7"/>
      <c r="PT16" s="7">
        <v>1164717</v>
      </c>
      <c r="PU16" s="7"/>
      <c r="PV16" s="7">
        <v>9158661</v>
      </c>
      <c r="PW16" s="7"/>
      <c r="PX16" s="7">
        <v>1698889</v>
      </c>
      <c r="PY16" s="7"/>
      <c r="PZ16" s="7"/>
      <c r="QA16" s="7"/>
      <c r="QB16" s="7"/>
      <c r="QC16" s="7"/>
      <c r="QD16" s="7"/>
      <c r="QE16" s="7"/>
      <c r="QF16" s="7"/>
      <c r="QG16" s="7"/>
      <c r="QH16" s="7">
        <v>2620168</v>
      </c>
      <c r="QI16" s="7"/>
      <c r="QJ16" s="7">
        <v>1828135</v>
      </c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>
        <v>1057382</v>
      </c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>
        <v>1193125</v>
      </c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>
        <v>2606143</v>
      </c>
      <c r="RV16" s="7"/>
      <c r="RW16" s="7"/>
      <c r="RX16" s="7"/>
      <c r="RY16" s="7"/>
      <c r="RZ16" s="7"/>
      <c r="SA16" s="7"/>
      <c r="SB16" s="7"/>
      <c r="SC16" s="7"/>
      <c r="SD16" s="7">
        <v>5313254</v>
      </c>
      <c r="SE16" s="7"/>
      <c r="SF16" s="7"/>
      <c r="SG16" s="7"/>
      <c r="SH16" s="7"/>
      <c r="SI16" s="7"/>
      <c r="SJ16" s="7"/>
      <c r="SK16" s="7"/>
      <c r="SL16" s="7">
        <v>4693135</v>
      </c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>
        <v>2214271</v>
      </c>
      <c r="SY16" s="7"/>
      <c r="SZ16" s="7"/>
      <c r="TA16" s="7">
        <v>3074108</v>
      </c>
      <c r="TB16" s="7">
        <v>3482802</v>
      </c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>
        <v>1527339</v>
      </c>
      <c r="TO16" s="7"/>
    </row>
    <row r="17" spans="1:535" x14ac:dyDescent="0.25">
      <c r="A17" s="5" t="s">
        <v>1425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>
        <v>14969001</v>
      </c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>
        <v>1314253</v>
      </c>
      <c r="BB17" s="7"/>
      <c r="BC17" s="7"/>
      <c r="BD17" s="7"/>
      <c r="BE17" s="7"/>
      <c r="BF17" s="7"/>
      <c r="BG17" s="7">
        <v>4141841</v>
      </c>
      <c r="BH17" s="7"/>
      <c r="BI17" s="7"/>
      <c r="BJ17" s="7"/>
      <c r="BK17" s="7"/>
      <c r="BL17" s="7"/>
      <c r="BM17" s="7"/>
      <c r="BN17" s="7"/>
      <c r="BO17" s="7"/>
      <c r="BP17" s="7"/>
      <c r="BQ17" s="7">
        <v>1375739</v>
      </c>
      <c r="BR17" s="7"/>
      <c r="BS17" s="7"/>
      <c r="BT17" s="7"/>
      <c r="BU17" s="7">
        <v>1168169</v>
      </c>
      <c r="BV17" s="7"/>
      <c r="BW17" s="7"/>
      <c r="BX17" s="7"/>
      <c r="BY17" s="7">
        <v>1666731</v>
      </c>
      <c r="BZ17" s="7"/>
      <c r="CA17" s="7"/>
      <c r="CB17" s="7"/>
      <c r="CC17" s="7"/>
      <c r="CD17" s="7">
        <v>1622614</v>
      </c>
      <c r="CE17" s="7"/>
      <c r="CF17" s="7"/>
      <c r="CG17" s="7"/>
      <c r="CH17" s="7"/>
      <c r="CI17" s="7"/>
      <c r="CJ17" s="7"/>
      <c r="CK17" s="7">
        <v>2077330</v>
      </c>
      <c r="CL17" s="7"/>
      <c r="CM17" s="7"/>
      <c r="CN17" s="7"/>
      <c r="CO17" s="7"/>
      <c r="CP17" s="7"/>
      <c r="CQ17" s="7">
        <v>1484465</v>
      </c>
      <c r="CR17" s="7"/>
      <c r="CS17" s="7"/>
      <c r="CT17" s="7"/>
      <c r="CU17" s="7">
        <v>3460618</v>
      </c>
      <c r="CV17" s="7"/>
      <c r="CW17" s="7"/>
      <c r="CX17" s="7"/>
      <c r="CY17" s="7"/>
      <c r="CZ17" s="7"/>
      <c r="DA17" s="7"/>
      <c r="DB17" s="7"/>
      <c r="DC17" s="7"/>
      <c r="DD17" s="7">
        <v>10883053</v>
      </c>
      <c r="DE17" s="7"/>
      <c r="DF17" s="7"/>
      <c r="DG17" s="7"/>
      <c r="DH17" s="7">
        <v>2064734</v>
      </c>
      <c r="DI17" s="7"/>
      <c r="DJ17" s="7"/>
      <c r="DK17" s="7"/>
      <c r="DL17" s="7"/>
      <c r="DM17" s="7">
        <v>1244220</v>
      </c>
      <c r="DN17" s="7"/>
      <c r="DO17" s="7"/>
      <c r="DP17" s="7"/>
      <c r="DQ17" s="7"/>
      <c r="DR17" s="7"/>
      <c r="DS17" s="7"/>
      <c r="DT17" s="7"/>
      <c r="DU17" s="7"/>
      <c r="DV17" s="7">
        <v>10925344</v>
      </c>
      <c r="DW17" s="7"/>
      <c r="DX17" s="7"/>
      <c r="DY17" s="7"/>
      <c r="DZ17" s="7"/>
      <c r="EA17" s="7"/>
      <c r="EB17" s="7">
        <v>2761742</v>
      </c>
      <c r="EC17" s="7">
        <v>1516583</v>
      </c>
      <c r="ED17" s="7"/>
      <c r="EE17" s="7"/>
      <c r="EF17" s="7"/>
      <c r="EG17" s="7"/>
      <c r="EH17" s="7"/>
      <c r="EI17" s="7"/>
      <c r="EJ17" s="7"/>
      <c r="EK17" s="7">
        <v>1541592</v>
      </c>
      <c r="EL17" s="7"/>
      <c r="EM17" s="7"/>
      <c r="EN17" s="7">
        <v>2570159</v>
      </c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>
        <v>1022813</v>
      </c>
      <c r="FA17" s="7"/>
      <c r="FB17" s="7"/>
      <c r="FC17" s="7"/>
      <c r="FD17" s="7">
        <v>1279992</v>
      </c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>
        <v>3772428</v>
      </c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>
        <v>2995161</v>
      </c>
      <c r="GM17" s="7">
        <v>37959662</v>
      </c>
      <c r="GN17" s="7"/>
      <c r="GO17" s="7"/>
      <c r="GP17" s="7"/>
      <c r="GQ17" s="7"/>
      <c r="GR17" s="7"/>
      <c r="GS17" s="7"/>
      <c r="GT17" s="7"/>
      <c r="GU17" s="7">
        <v>4645268</v>
      </c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>
        <v>1061935</v>
      </c>
      <c r="HU17" s="7"/>
      <c r="HV17" s="7"/>
      <c r="HW17" s="7"/>
      <c r="HX17" s="7"/>
      <c r="HY17" s="7">
        <v>1328695</v>
      </c>
      <c r="HZ17" s="7"/>
      <c r="IA17" s="7"/>
      <c r="IB17" s="7">
        <v>1974226</v>
      </c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  <c r="IW17" s="7"/>
      <c r="IX17" s="7"/>
      <c r="IY17" s="7"/>
      <c r="IZ17" s="7">
        <v>1447173</v>
      </c>
      <c r="JA17" s="7"/>
      <c r="JB17" s="7"/>
      <c r="JC17" s="7"/>
      <c r="JD17" s="7"/>
      <c r="JE17" s="7"/>
      <c r="JF17" s="7"/>
      <c r="JG17" s="7">
        <v>1017227</v>
      </c>
      <c r="JH17" s="7"/>
      <c r="JI17" s="7">
        <v>5855401</v>
      </c>
      <c r="JJ17" s="7"/>
      <c r="JK17" s="7"/>
      <c r="JL17" s="7"/>
      <c r="JM17" s="7"/>
      <c r="JN17" s="7"/>
      <c r="JO17" s="7"/>
      <c r="JP17" s="7">
        <v>2022985</v>
      </c>
      <c r="JQ17" s="7">
        <v>1099925</v>
      </c>
      <c r="JR17" s="7"/>
      <c r="JS17" s="7"/>
      <c r="JT17" s="7"/>
      <c r="JU17" s="7"/>
      <c r="JV17" s="7"/>
      <c r="JW17" s="7"/>
      <c r="JX17" s="7"/>
      <c r="JY17" s="7">
        <v>45627254</v>
      </c>
      <c r="JZ17" s="7"/>
      <c r="KA17" s="7"/>
      <c r="KB17" s="7"/>
      <c r="KC17" s="7">
        <v>1214240</v>
      </c>
      <c r="KD17" s="7"/>
      <c r="KE17" s="7"/>
      <c r="KF17" s="7"/>
      <c r="KG17" s="7"/>
      <c r="KH17" s="7"/>
      <c r="KI17" s="7"/>
      <c r="KJ17" s="7"/>
      <c r="KK17" s="7"/>
      <c r="KL17" s="7"/>
      <c r="KM17" s="7"/>
      <c r="KN17" s="7"/>
      <c r="KO17" s="7"/>
      <c r="KP17" s="7">
        <v>7225912</v>
      </c>
      <c r="KQ17" s="7"/>
      <c r="KR17" s="7"/>
      <c r="KS17" s="7"/>
      <c r="KT17" s="7"/>
      <c r="KU17" s="7"/>
      <c r="KV17" s="7"/>
      <c r="KW17" s="7"/>
      <c r="KX17" s="7"/>
      <c r="KY17" s="7"/>
      <c r="KZ17" s="7"/>
      <c r="LA17" s="7"/>
      <c r="LB17" s="7"/>
      <c r="LC17" s="7"/>
      <c r="LD17" s="7"/>
      <c r="LE17" s="7"/>
      <c r="LF17" s="7"/>
      <c r="LG17" s="7"/>
      <c r="LH17" s="7"/>
      <c r="LI17" s="7"/>
      <c r="LJ17" s="7"/>
      <c r="LK17" s="7"/>
      <c r="LL17" s="7"/>
      <c r="LM17" s="7"/>
      <c r="LN17" s="7"/>
      <c r="LO17" s="7"/>
      <c r="LP17" s="7"/>
      <c r="LQ17" s="7"/>
      <c r="LR17" s="7"/>
      <c r="LS17" s="7">
        <v>1237904</v>
      </c>
      <c r="LT17" s="7"/>
      <c r="LU17" s="7">
        <v>1029031</v>
      </c>
      <c r="LV17" s="7"/>
      <c r="LW17" s="7"/>
      <c r="LX17" s="7"/>
      <c r="LY17" s="7"/>
      <c r="LZ17" s="7"/>
      <c r="MA17" s="7"/>
      <c r="MB17" s="7"/>
      <c r="MC17" s="7">
        <v>1017715</v>
      </c>
      <c r="MD17" s="7"/>
      <c r="ME17" s="9">
        <v>4223416</v>
      </c>
      <c r="MF17" s="9"/>
      <c r="MG17" s="9">
        <v>4223416</v>
      </c>
      <c r="MH17" s="7"/>
      <c r="MI17" s="7"/>
      <c r="MJ17" s="7"/>
      <c r="MK17" s="7"/>
      <c r="ML17" s="7"/>
      <c r="MM17" s="7"/>
      <c r="MN17" s="7"/>
      <c r="MO17" s="7"/>
      <c r="MP17" s="7">
        <v>1071045</v>
      </c>
      <c r="MQ17" s="7"/>
      <c r="MR17" s="7"/>
      <c r="MS17" s="7"/>
      <c r="MT17" s="7"/>
      <c r="MU17" s="7"/>
      <c r="MV17" s="7"/>
      <c r="MW17" s="7"/>
      <c r="MX17" s="7"/>
      <c r="MY17" s="7"/>
      <c r="MZ17" s="7"/>
      <c r="NA17" s="7"/>
      <c r="NB17" s="7"/>
      <c r="NC17" s="7"/>
      <c r="ND17" s="7">
        <v>2016140</v>
      </c>
      <c r="NE17" s="7"/>
      <c r="NF17" s="7"/>
      <c r="NG17" s="7"/>
      <c r="NH17" s="7"/>
      <c r="NI17" s="7"/>
      <c r="NJ17" s="7">
        <v>1669370</v>
      </c>
      <c r="NK17" s="7"/>
      <c r="NL17" s="7"/>
      <c r="NM17" s="7"/>
      <c r="NN17" s="7"/>
      <c r="NO17" s="7"/>
      <c r="NP17" s="7"/>
      <c r="NQ17" s="7"/>
      <c r="NR17" s="7"/>
      <c r="NS17" s="7"/>
      <c r="NT17" s="7"/>
      <c r="NU17" s="7"/>
      <c r="NV17" s="7"/>
      <c r="NW17" s="7"/>
      <c r="NX17" s="7"/>
      <c r="NY17" s="7"/>
      <c r="NZ17" s="7"/>
      <c r="OA17" s="7"/>
      <c r="OB17" s="7"/>
      <c r="OC17" s="7"/>
      <c r="OD17" s="7"/>
      <c r="OE17" s="7"/>
      <c r="OF17" s="7"/>
      <c r="OG17" s="7"/>
      <c r="OH17" s="7"/>
      <c r="OI17" s="7"/>
      <c r="OJ17" s="7"/>
      <c r="OK17" s="7"/>
      <c r="OL17" s="7"/>
      <c r="OM17" s="7"/>
      <c r="ON17" s="7"/>
      <c r="OO17" s="7"/>
      <c r="OP17" s="7">
        <v>1629300</v>
      </c>
      <c r="OQ17" s="7"/>
      <c r="OR17" s="7">
        <v>13251353</v>
      </c>
      <c r="OS17" s="7"/>
      <c r="OT17" s="7"/>
      <c r="OU17" s="7"/>
      <c r="OV17" s="7"/>
      <c r="OW17" s="7"/>
      <c r="OX17" s="7"/>
      <c r="OY17" s="7">
        <v>1211916</v>
      </c>
      <c r="OZ17" s="7"/>
      <c r="PA17" s="7">
        <v>2661630</v>
      </c>
      <c r="PB17" s="7">
        <v>4642002</v>
      </c>
      <c r="PC17" s="7"/>
      <c r="PD17" s="7">
        <v>41549671</v>
      </c>
      <c r="PE17" s="7"/>
      <c r="PF17" s="7"/>
      <c r="PG17" s="7"/>
      <c r="PH17" s="7"/>
      <c r="PI17" s="7"/>
      <c r="PJ17" s="7"/>
      <c r="PK17" s="7"/>
      <c r="PL17" s="7"/>
      <c r="PM17" s="7"/>
      <c r="PN17" s="7"/>
      <c r="PO17" s="7">
        <v>1180876</v>
      </c>
      <c r="PP17" s="7"/>
      <c r="PQ17" s="7"/>
      <c r="PR17" s="7">
        <v>1036986</v>
      </c>
      <c r="PS17" s="7"/>
      <c r="PT17" s="7"/>
      <c r="PU17" s="7"/>
      <c r="PV17" s="7">
        <v>11022847</v>
      </c>
      <c r="PW17" s="7"/>
      <c r="PX17" s="7"/>
      <c r="PY17" s="7"/>
      <c r="PZ17" s="7">
        <v>3064613</v>
      </c>
      <c r="QA17" s="7"/>
      <c r="QB17" s="7"/>
      <c r="QC17" s="7">
        <v>2440630</v>
      </c>
      <c r="QD17" s="7"/>
      <c r="QE17" s="7"/>
      <c r="QF17" s="7"/>
      <c r="QG17" s="7"/>
      <c r="QH17" s="7"/>
      <c r="QI17" s="7"/>
      <c r="QJ17" s="7"/>
      <c r="QK17" s="7"/>
      <c r="QL17" s="7"/>
      <c r="QM17" s="7"/>
      <c r="QN17" s="7">
        <v>1505210</v>
      </c>
      <c r="QO17" s="7"/>
      <c r="QP17" s="7"/>
      <c r="QQ17" s="7"/>
      <c r="QR17" s="7"/>
      <c r="QS17" s="7"/>
      <c r="QT17" s="7"/>
      <c r="QU17" s="7">
        <v>1768027</v>
      </c>
      <c r="QV17" s="7">
        <v>1289804</v>
      </c>
      <c r="QW17" s="7"/>
      <c r="QX17" s="7"/>
      <c r="QY17" s="7"/>
      <c r="QZ17" s="7">
        <v>2075536</v>
      </c>
      <c r="RA17" s="7"/>
      <c r="RB17" s="7"/>
      <c r="RC17" s="7"/>
      <c r="RD17" s="7"/>
      <c r="RE17" s="7"/>
      <c r="RF17" s="7"/>
      <c r="RG17" s="7"/>
      <c r="RH17" s="7"/>
      <c r="RI17" s="7">
        <v>1179128</v>
      </c>
      <c r="RJ17" s="7"/>
      <c r="RK17" s="7">
        <v>1277394</v>
      </c>
      <c r="RL17" s="7"/>
      <c r="RM17" s="7"/>
      <c r="RN17" s="7"/>
      <c r="RO17" s="7"/>
      <c r="RP17" s="7"/>
      <c r="RQ17" s="7"/>
      <c r="RR17" s="7">
        <v>1051557</v>
      </c>
      <c r="RS17" s="7"/>
      <c r="RT17" s="7"/>
      <c r="RU17" s="7">
        <v>1701556</v>
      </c>
      <c r="RV17" s="7"/>
      <c r="RW17" s="7"/>
      <c r="RX17" s="7"/>
      <c r="RY17" s="7">
        <v>1043380</v>
      </c>
      <c r="RZ17" s="7"/>
      <c r="SA17" s="7"/>
      <c r="SB17" s="7"/>
      <c r="SC17" s="7"/>
      <c r="SD17" s="7"/>
      <c r="SE17" s="7"/>
      <c r="SF17" s="7"/>
      <c r="SG17" s="7"/>
      <c r="SH17" s="7"/>
      <c r="SI17" s="7"/>
      <c r="SJ17" s="7"/>
      <c r="SK17" s="7"/>
      <c r="SL17" s="7">
        <v>3896073</v>
      </c>
      <c r="SM17" s="7"/>
      <c r="SN17" s="7"/>
      <c r="SO17" s="7"/>
      <c r="SP17" s="7"/>
      <c r="SQ17" s="7"/>
      <c r="SR17" s="7"/>
      <c r="SS17" s="7"/>
      <c r="ST17" s="7"/>
      <c r="SU17" s="7"/>
      <c r="SV17" s="7">
        <v>1304368</v>
      </c>
      <c r="SW17" s="7"/>
      <c r="SX17" s="7">
        <v>13469524</v>
      </c>
      <c r="SY17" s="7"/>
      <c r="SZ17" s="7"/>
      <c r="TA17" s="7"/>
      <c r="TB17" s="7">
        <v>6504124</v>
      </c>
      <c r="TC17" s="7"/>
      <c r="TD17" s="7"/>
      <c r="TE17" s="7"/>
      <c r="TF17" s="7"/>
      <c r="TG17" s="7">
        <v>6130708</v>
      </c>
      <c r="TH17" s="7"/>
      <c r="TI17" s="7"/>
      <c r="TJ17" s="7"/>
      <c r="TK17" s="7">
        <v>1280109</v>
      </c>
      <c r="TL17" s="7"/>
      <c r="TM17" s="7"/>
      <c r="TN17" s="7">
        <v>13960782</v>
      </c>
      <c r="TO17" s="7"/>
    </row>
    <row r="18" spans="1:535" x14ac:dyDescent="0.25">
      <c r="A18" s="5" t="s">
        <v>1426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>
        <v>10574829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>
        <v>1521418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>
        <v>3866323</v>
      </c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>
        <v>1634107</v>
      </c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>
        <v>1858444</v>
      </c>
      <c r="CS18" s="7"/>
      <c r="CT18" s="7"/>
      <c r="CU18" s="7"/>
      <c r="CV18" s="7">
        <v>1194421</v>
      </c>
      <c r="CW18" s="7"/>
      <c r="CX18" s="7"/>
      <c r="CY18" s="7"/>
      <c r="CZ18" s="7"/>
      <c r="DA18" s="7"/>
      <c r="DB18" s="7"/>
      <c r="DC18" s="7"/>
      <c r="DD18" s="7">
        <v>15251564</v>
      </c>
      <c r="DE18" s="7"/>
      <c r="DF18" s="7"/>
      <c r="DG18" s="7"/>
      <c r="DH18" s="7">
        <v>1288378</v>
      </c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>
        <v>1320768</v>
      </c>
      <c r="GM18" s="7">
        <v>63450197</v>
      </c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>
        <v>2562188</v>
      </c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>
        <v>1471742</v>
      </c>
      <c r="IA18" s="7"/>
      <c r="IB18" s="7"/>
      <c r="IC18" s="7">
        <v>1289328</v>
      </c>
      <c r="ID18" s="7"/>
      <c r="IE18" s="7"/>
      <c r="IF18" s="7"/>
      <c r="IG18" s="7">
        <v>1441449</v>
      </c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  <c r="IW18" s="7"/>
      <c r="IX18" s="7"/>
      <c r="IY18" s="7"/>
      <c r="IZ18" s="7"/>
      <c r="JA18" s="7"/>
      <c r="JB18" s="7"/>
      <c r="JC18" s="7"/>
      <c r="JD18" s="7"/>
      <c r="JE18" s="7"/>
      <c r="JF18" s="7"/>
      <c r="JG18" s="7"/>
      <c r="JH18" s="7"/>
      <c r="JI18" s="7">
        <v>24880729</v>
      </c>
      <c r="JJ18" s="7"/>
      <c r="JK18" s="7"/>
      <c r="JL18" s="7"/>
      <c r="JM18" s="7"/>
      <c r="JN18" s="7"/>
      <c r="JO18" s="7"/>
      <c r="JP18" s="7">
        <v>2038885</v>
      </c>
      <c r="JQ18" s="7"/>
      <c r="JR18" s="7"/>
      <c r="JS18" s="7"/>
      <c r="JT18" s="7"/>
      <c r="JU18" s="7"/>
      <c r="JV18" s="7">
        <v>27132217</v>
      </c>
      <c r="JW18" s="7"/>
      <c r="JX18" s="7"/>
      <c r="JY18" s="7"/>
      <c r="JZ18" s="7"/>
      <c r="KA18" s="7"/>
      <c r="KB18" s="7"/>
      <c r="KC18" s="7">
        <v>1782084</v>
      </c>
      <c r="KD18" s="7"/>
      <c r="KE18" s="7"/>
      <c r="KF18" s="7"/>
      <c r="KG18" s="7"/>
      <c r="KH18" s="7"/>
      <c r="KI18" s="7"/>
      <c r="KJ18" s="7"/>
      <c r="KK18" s="7"/>
      <c r="KL18" s="7"/>
      <c r="KM18" s="7"/>
      <c r="KN18" s="7"/>
      <c r="KO18" s="7"/>
      <c r="KP18" s="7"/>
      <c r="KQ18" s="7">
        <v>6096492</v>
      </c>
      <c r="KR18" s="7"/>
      <c r="KS18" s="7"/>
      <c r="KT18" s="7"/>
      <c r="KU18" s="7"/>
      <c r="KV18" s="7"/>
      <c r="KW18" s="7"/>
      <c r="KX18" s="7"/>
      <c r="KY18" s="7"/>
      <c r="KZ18" s="7"/>
      <c r="LA18" s="7"/>
      <c r="LB18" s="7"/>
      <c r="LC18" s="7"/>
      <c r="LD18" s="7"/>
      <c r="LE18" s="7"/>
      <c r="LF18" s="7"/>
      <c r="LG18" s="7">
        <v>1914458</v>
      </c>
      <c r="LH18" s="7"/>
      <c r="LI18" s="7"/>
      <c r="LJ18" s="7"/>
      <c r="LK18" s="7">
        <v>1153340</v>
      </c>
      <c r="LL18" s="7"/>
      <c r="LM18" s="7"/>
      <c r="LN18" s="7"/>
      <c r="LO18" s="7"/>
      <c r="LP18" s="7"/>
      <c r="LQ18" s="7"/>
      <c r="LR18" s="7"/>
      <c r="LS18" s="7"/>
      <c r="LT18" s="7"/>
      <c r="LU18" s="7"/>
      <c r="LV18" s="7"/>
      <c r="LW18" s="7"/>
      <c r="LX18" s="7"/>
      <c r="LY18" s="7"/>
      <c r="LZ18" s="7"/>
      <c r="MA18" s="7"/>
      <c r="MB18" s="7"/>
      <c r="MC18" s="7">
        <v>3696918</v>
      </c>
      <c r="MD18" s="7"/>
      <c r="ME18" s="9">
        <v>4854606</v>
      </c>
      <c r="MF18" s="9"/>
      <c r="MG18" s="9">
        <v>4854606</v>
      </c>
      <c r="MH18" s="7"/>
      <c r="MI18" s="7"/>
      <c r="MJ18" s="7"/>
      <c r="MK18" s="7"/>
      <c r="ML18" s="7"/>
      <c r="MM18" s="7"/>
      <c r="MN18" s="7"/>
      <c r="MO18" s="7">
        <v>1050275</v>
      </c>
      <c r="MP18" s="7"/>
      <c r="MQ18" s="7"/>
      <c r="MR18" s="7"/>
      <c r="MS18" s="7"/>
      <c r="MT18" s="7"/>
      <c r="MU18" s="7"/>
      <c r="MV18" s="7"/>
      <c r="MW18" s="7"/>
      <c r="MX18" s="7"/>
      <c r="MY18" s="7"/>
      <c r="MZ18" s="7"/>
      <c r="NA18" s="7"/>
      <c r="NB18" s="7">
        <v>1802514</v>
      </c>
      <c r="NC18" s="7"/>
      <c r="ND18" s="7"/>
      <c r="NE18" s="7"/>
      <c r="NF18" s="7"/>
      <c r="NG18" s="7"/>
      <c r="NH18" s="7"/>
      <c r="NI18" s="7"/>
      <c r="NJ18" s="7"/>
      <c r="NK18" s="7"/>
      <c r="NL18" s="7"/>
      <c r="NM18" s="7"/>
      <c r="NN18" s="7"/>
      <c r="NO18" s="7"/>
      <c r="NP18" s="7"/>
      <c r="NQ18" s="7"/>
      <c r="NR18" s="7"/>
      <c r="NS18" s="7"/>
      <c r="NT18" s="7"/>
      <c r="NU18" s="7"/>
      <c r="NV18" s="7"/>
      <c r="NW18" s="7"/>
      <c r="NX18" s="7"/>
      <c r="NY18" s="7"/>
      <c r="NZ18" s="7"/>
      <c r="OA18" s="7">
        <v>12613962</v>
      </c>
      <c r="OB18" s="7"/>
      <c r="OC18" s="7"/>
      <c r="OD18" s="7"/>
      <c r="OE18" s="7"/>
      <c r="OF18" s="7"/>
      <c r="OG18" s="7"/>
      <c r="OH18" s="7"/>
      <c r="OI18" s="7"/>
      <c r="OJ18" s="7"/>
      <c r="OK18" s="7"/>
      <c r="OL18" s="7"/>
      <c r="OM18" s="7"/>
      <c r="ON18" s="7"/>
      <c r="OO18" s="7"/>
      <c r="OP18" s="7"/>
      <c r="OQ18" s="7"/>
      <c r="OR18" s="7">
        <v>43334200</v>
      </c>
      <c r="OS18" s="7"/>
      <c r="OT18" s="7"/>
      <c r="OU18" s="7"/>
      <c r="OV18" s="7">
        <v>2235459</v>
      </c>
      <c r="OW18" s="7"/>
      <c r="OX18" s="7"/>
      <c r="OY18" s="7">
        <v>2137228</v>
      </c>
      <c r="OZ18" s="7"/>
      <c r="PA18" s="7">
        <v>2746841</v>
      </c>
      <c r="PB18" s="7">
        <v>14132990</v>
      </c>
      <c r="PC18" s="7"/>
      <c r="PD18" s="7">
        <v>126384895</v>
      </c>
      <c r="PE18" s="7"/>
      <c r="PF18" s="7"/>
      <c r="PG18" s="7"/>
      <c r="PH18" s="7">
        <v>1363877</v>
      </c>
      <c r="PI18" s="7"/>
      <c r="PJ18" s="7">
        <v>1462134</v>
      </c>
      <c r="PK18" s="7"/>
      <c r="PL18" s="7"/>
      <c r="PM18" s="7">
        <v>1085688</v>
      </c>
      <c r="PN18" s="7"/>
      <c r="PO18" s="7"/>
      <c r="PP18" s="7"/>
      <c r="PQ18" s="7"/>
      <c r="PR18" s="7">
        <v>1452895</v>
      </c>
      <c r="PS18" s="7"/>
      <c r="PT18" s="7"/>
      <c r="PU18" s="7"/>
      <c r="PV18" s="7">
        <v>12393063</v>
      </c>
      <c r="PW18" s="7"/>
      <c r="PX18" s="7"/>
      <c r="PY18" s="7"/>
      <c r="PZ18" s="7">
        <v>2386354</v>
      </c>
      <c r="QA18" s="7"/>
      <c r="QB18" s="7"/>
      <c r="QC18" s="7"/>
      <c r="QD18" s="7">
        <v>3526054</v>
      </c>
      <c r="QE18" s="7"/>
      <c r="QF18" s="7"/>
      <c r="QG18" s="7"/>
      <c r="QH18" s="7"/>
      <c r="QI18" s="7"/>
      <c r="QJ18" s="7">
        <v>1585439</v>
      </c>
      <c r="QK18" s="7"/>
      <c r="QL18" s="7"/>
      <c r="QM18" s="7">
        <v>1814235</v>
      </c>
      <c r="QN18" s="7"/>
      <c r="QO18" s="7">
        <v>1102621</v>
      </c>
      <c r="QP18" s="7"/>
      <c r="QQ18" s="7"/>
      <c r="QR18" s="7"/>
      <c r="QS18" s="7"/>
      <c r="QT18" s="7"/>
      <c r="QU18" s="7"/>
      <c r="QV18" s="7"/>
      <c r="QW18" s="7"/>
      <c r="QX18" s="7"/>
      <c r="QY18" s="7"/>
      <c r="QZ18" s="7"/>
      <c r="RA18" s="7"/>
      <c r="RB18" s="7"/>
      <c r="RC18" s="7"/>
      <c r="RD18" s="7"/>
      <c r="RE18" s="7"/>
      <c r="RF18" s="7"/>
      <c r="RG18" s="7"/>
      <c r="RH18" s="7"/>
      <c r="RI18" s="7"/>
      <c r="RJ18" s="7"/>
      <c r="RK18" s="7"/>
      <c r="RL18" s="7"/>
      <c r="RM18" s="7"/>
      <c r="RN18" s="7"/>
      <c r="RO18" s="7"/>
      <c r="RP18" s="7"/>
      <c r="RQ18" s="7"/>
      <c r="RR18" s="7"/>
      <c r="RS18" s="7"/>
      <c r="RT18" s="7"/>
      <c r="RU18" s="7"/>
      <c r="RV18" s="7"/>
      <c r="RW18" s="7"/>
      <c r="RX18" s="7"/>
      <c r="RY18" s="7"/>
      <c r="RZ18" s="7"/>
      <c r="SA18" s="7"/>
      <c r="SB18" s="7"/>
      <c r="SC18" s="7"/>
      <c r="SD18" s="7"/>
      <c r="SE18" s="7"/>
      <c r="SF18" s="7"/>
      <c r="SG18" s="7"/>
      <c r="SH18" s="7">
        <v>5077991</v>
      </c>
      <c r="SI18" s="7"/>
      <c r="SJ18" s="7"/>
      <c r="SK18" s="7"/>
      <c r="SL18" s="7">
        <v>5657953</v>
      </c>
      <c r="SM18" s="7"/>
      <c r="SN18" s="7"/>
      <c r="SO18" s="7"/>
      <c r="SP18" s="7"/>
      <c r="SQ18" s="7"/>
      <c r="SR18" s="7"/>
      <c r="SS18" s="7"/>
      <c r="ST18" s="7"/>
      <c r="SU18" s="7"/>
      <c r="SV18" s="7"/>
      <c r="SW18" s="7"/>
      <c r="SX18" s="7">
        <v>11007468</v>
      </c>
      <c r="SY18" s="7"/>
      <c r="SZ18" s="7"/>
      <c r="TA18" s="7"/>
      <c r="TB18" s="7">
        <v>18198469</v>
      </c>
      <c r="TC18" s="7"/>
      <c r="TD18" s="7"/>
      <c r="TE18" s="7"/>
      <c r="TF18" s="7"/>
      <c r="TG18" s="7"/>
      <c r="TH18" s="7"/>
      <c r="TI18" s="7"/>
      <c r="TJ18" s="7"/>
      <c r="TK18" s="7"/>
      <c r="TL18" s="7"/>
      <c r="TM18" s="7"/>
      <c r="TN18" s="7">
        <v>3470941</v>
      </c>
      <c r="TO18" s="7"/>
    </row>
    <row r="19" spans="1:535" x14ac:dyDescent="0.25">
      <c r="A19" s="5" t="s">
        <v>1427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>
        <v>1003169</v>
      </c>
      <c r="O19" s="7"/>
      <c r="P19" s="7">
        <v>11417248</v>
      </c>
      <c r="Q19" s="7"/>
      <c r="R19" s="7"/>
      <c r="S19" s="7">
        <v>1953432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>
        <v>1176314</v>
      </c>
      <c r="AR19" s="7"/>
      <c r="AS19" s="7"/>
      <c r="AT19" s="7"/>
      <c r="AU19" s="7"/>
      <c r="AV19" s="7"/>
      <c r="AW19" s="7"/>
      <c r="AX19" s="7">
        <v>1033728</v>
      </c>
      <c r="AY19" s="7"/>
      <c r="AZ19" s="7"/>
      <c r="BA19" s="7">
        <v>1434543</v>
      </c>
      <c r="BB19" s="7"/>
      <c r="BC19" s="7"/>
      <c r="BD19" s="7"/>
      <c r="BE19" s="7"/>
      <c r="BF19" s="7">
        <v>2840350</v>
      </c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>
        <v>1864859</v>
      </c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>
        <v>1369160</v>
      </c>
      <c r="CS19" s="7"/>
      <c r="CT19" s="7"/>
      <c r="CU19" s="7">
        <v>1021854</v>
      </c>
      <c r="CV19" s="7"/>
      <c r="CW19" s="7"/>
      <c r="CX19" s="7"/>
      <c r="CY19" s="7"/>
      <c r="CZ19" s="7"/>
      <c r="DA19" s="7"/>
      <c r="DB19" s="7"/>
      <c r="DC19" s="7"/>
      <c r="DD19" s="7">
        <v>6948458</v>
      </c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>
        <v>1006766</v>
      </c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>
        <v>1319605</v>
      </c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>
        <v>3277982</v>
      </c>
      <c r="GM19" s="7">
        <v>19462653</v>
      </c>
      <c r="GN19" s="7"/>
      <c r="GO19" s="7"/>
      <c r="GP19" s="7">
        <v>1279091</v>
      </c>
      <c r="GQ19" s="7"/>
      <c r="GR19" s="7"/>
      <c r="GS19" s="7"/>
      <c r="GT19" s="7"/>
      <c r="GU19" s="7">
        <v>2869345</v>
      </c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>
        <v>1085653</v>
      </c>
      <c r="IA19" s="7"/>
      <c r="IB19" s="7">
        <v>1814962</v>
      </c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  <c r="IW19" s="7"/>
      <c r="IX19" s="7"/>
      <c r="IY19" s="7">
        <v>2760546</v>
      </c>
      <c r="IZ19" s="7"/>
      <c r="JA19" s="7"/>
      <c r="JB19" s="7"/>
      <c r="JC19" s="7"/>
      <c r="JD19" s="7"/>
      <c r="JE19" s="7"/>
      <c r="JF19" s="7"/>
      <c r="JG19" s="7"/>
      <c r="JH19" s="7"/>
      <c r="JI19" s="7">
        <v>7618913</v>
      </c>
      <c r="JJ19" s="7"/>
      <c r="JK19" s="7"/>
      <c r="JL19" s="7"/>
      <c r="JM19" s="7"/>
      <c r="JN19" s="7"/>
      <c r="JO19" s="7"/>
      <c r="JP19" s="7">
        <v>1598189</v>
      </c>
      <c r="JQ19" s="7"/>
      <c r="JR19" s="7"/>
      <c r="JS19" s="7"/>
      <c r="JT19" s="7"/>
      <c r="JU19" s="7"/>
      <c r="JV19" s="7"/>
      <c r="JW19" s="7"/>
      <c r="JX19" s="7"/>
      <c r="JY19" s="7"/>
      <c r="JZ19" s="7">
        <v>59211121</v>
      </c>
      <c r="KA19" s="7"/>
      <c r="KB19" s="7"/>
      <c r="KC19" s="7"/>
      <c r="KD19" s="7"/>
      <c r="KE19" s="7"/>
      <c r="KF19" s="7"/>
      <c r="KG19" s="7"/>
      <c r="KH19" s="7"/>
      <c r="KI19" s="7"/>
      <c r="KJ19" s="7"/>
      <c r="KK19" s="7"/>
      <c r="KL19" s="7"/>
      <c r="KM19" s="7"/>
      <c r="KN19" s="7"/>
      <c r="KO19" s="7"/>
      <c r="KP19" s="7"/>
      <c r="KQ19" s="7">
        <v>6209355</v>
      </c>
      <c r="KR19" s="7"/>
      <c r="KS19" s="7"/>
      <c r="KT19" s="7"/>
      <c r="KU19" s="7"/>
      <c r="KV19" s="7"/>
      <c r="KW19" s="7"/>
      <c r="KX19" s="7"/>
      <c r="KY19" s="7">
        <v>1168043</v>
      </c>
      <c r="KZ19" s="7"/>
      <c r="LA19" s="7"/>
      <c r="LB19" s="7"/>
      <c r="LC19" s="7"/>
      <c r="LD19" s="7"/>
      <c r="LE19" s="7">
        <v>1556499</v>
      </c>
      <c r="LF19" s="7"/>
      <c r="LG19" s="7"/>
      <c r="LH19" s="7"/>
      <c r="LI19" s="7"/>
      <c r="LJ19" s="7"/>
      <c r="LK19" s="7"/>
      <c r="LL19" s="7"/>
      <c r="LM19" s="7"/>
      <c r="LN19" s="7"/>
      <c r="LO19" s="7">
        <v>1672632</v>
      </c>
      <c r="LP19" s="7"/>
      <c r="LQ19" s="7"/>
      <c r="LR19" s="7"/>
      <c r="LS19" s="7">
        <v>1168881</v>
      </c>
      <c r="LT19" s="7"/>
      <c r="LU19" s="7"/>
      <c r="LV19" s="7"/>
      <c r="LW19" s="7"/>
      <c r="LX19" s="7"/>
      <c r="LY19" s="7"/>
      <c r="LZ19" s="7"/>
      <c r="MA19" s="7"/>
      <c r="MB19" s="7"/>
      <c r="MC19" s="7">
        <v>1414088</v>
      </c>
      <c r="MD19" s="7"/>
      <c r="ME19" s="9">
        <v>5061221</v>
      </c>
      <c r="MF19" s="9"/>
      <c r="MG19" s="9">
        <v>5061221</v>
      </c>
      <c r="MH19" s="7"/>
      <c r="MI19" s="7"/>
      <c r="MJ19" s="7"/>
      <c r="MK19" s="7"/>
      <c r="ML19" s="7"/>
      <c r="MM19" s="7"/>
      <c r="MN19" s="7"/>
      <c r="MO19" s="7">
        <v>1575122</v>
      </c>
      <c r="MP19" s="7"/>
      <c r="MQ19" s="7"/>
      <c r="MR19" s="7"/>
      <c r="MS19" s="7"/>
      <c r="MT19" s="7"/>
      <c r="MU19" s="7"/>
      <c r="MV19" s="7"/>
      <c r="MW19" s="7"/>
      <c r="MX19" s="7">
        <v>1014549</v>
      </c>
      <c r="MY19" s="7"/>
      <c r="MZ19" s="7"/>
      <c r="NA19" s="7"/>
      <c r="NB19" s="7">
        <v>1205698</v>
      </c>
      <c r="NC19" s="7"/>
      <c r="ND19" s="7"/>
      <c r="NE19" s="7"/>
      <c r="NF19" s="7"/>
      <c r="NG19" s="7"/>
      <c r="NH19" s="7"/>
      <c r="NI19" s="7"/>
      <c r="NJ19" s="7">
        <v>1675276</v>
      </c>
      <c r="NK19" s="7"/>
      <c r="NL19" s="7"/>
      <c r="NM19" s="7"/>
      <c r="NN19" s="7"/>
      <c r="NO19" s="7">
        <v>1027966</v>
      </c>
      <c r="NP19" s="7"/>
      <c r="NQ19" s="7"/>
      <c r="NR19" s="7"/>
      <c r="NS19" s="7"/>
      <c r="NT19" s="7"/>
      <c r="NU19" s="7"/>
      <c r="NV19" s="7"/>
      <c r="NW19" s="7"/>
      <c r="NX19" s="7"/>
      <c r="NY19" s="7"/>
      <c r="NZ19" s="7"/>
      <c r="OA19" s="7"/>
      <c r="OB19" s="7"/>
      <c r="OC19" s="7"/>
      <c r="OD19" s="7"/>
      <c r="OE19" s="7"/>
      <c r="OF19" s="7"/>
      <c r="OG19" s="7"/>
      <c r="OH19" s="7"/>
      <c r="OI19" s="7"/>
      <c r="OJ19" s="7"/>
      <c r="OK19" s="7"/>
      <c r="OL19" s="7"/>
      <c r="OM19" s="7"/>
      <c r="ON19" s="7"/>
      <c r="OO19" s="7"/>
      <c r="OP19" s="7"/>
      <c r="OQ19" s="7"/>
      <c r="OR19" s="7">
        <v>26092883</v>
      </c>
      <c r="OS19" s="7"/>
      <c r="OT19" s="7"/>
      <c r="OU19" s="7"/>
      <c r="OV19" s="7"/>
      <c r="OW19" s="7"/>
      <c r="OX19" s="7"/>
      <c r="OY19" s="7"/>
      <c r="OZ19" s="7"/>
      <c r="PA19" s="7">
        <v>4521320</v>
      </c>
      <c r="PB19" s="7">
        <v>8085976</v>
      </c>
      <c r="PC19" s="7"/>
      <c r="PD19" s="7">
        <v>70343032</v>
      </c>
      <c r="PE19" s="7">
        <v>1111509</v>
      </c>
      <c r="PF19" s="7"/>
      <c r="PG19" s="7"/>
      <c r="PH19" s="7">
        <v>2140688</v>
      </c>
      <c r="PI19" s="7"/>
      <c r="PJ19" s="7"/>
      <c r="PK19" s="7"/>
      <c r="PL19" s="7"/>
      <c r="PM19" s="7"/>
      <c r="PN19" s="7"/>
      <c r="PO19" s="7"/>
      <c r="PP19" s="7"/>
      <c r="PQ19" s="7"/>
      <c r="PR19" s="7"/>
      <c r="PS19" s="7"/>
      <c r="PT19" s="7"/>
      <c r="PU19" s="7"/>
      <c r="PV19" s="7">
        <v>4241327</v>
      </c>
      <c r="PW19" s="7"/>
      <c r="PX19" s="7"/>
      <c r="PY19" s="7">
        <v>3773402</v>
      </c>
      <c r="PZ19" s="7"/>
      <c r="QA19" s="7"/>
      <c r="QB19" s="7">
        <v>3271138</v>
      </c>
      <c r="QC19" s="7"/>
      <c r="QD19" s="7"/>
      <c r="QE19" s="7"/>
      <c r="QF19" s="7"/>
      <c r="QG19" s="7"/>
      <c r="QH19" s="7"/>
      <c r="QI19" s="7"/>
      <c r="QJ19" s="7"/>
      <c r="QK19" s="7"/>
      <c r="QL19" s="7"/>
      <c r="QM19" s="7"/>
      <c r="QN19" s="7"/>
      <c r="QO19" s="7"/>
      <c r="QP19" s="7"/>
      <c r="QQ19" s="7"/>
      <c r="QR19" s="7"/>
      <c r="QS19" s="7"/>
      <c r="QT19" s="7">
        <v>1629725</v>
      </c>
      <c r="QU19" s="7"/>
      <c r="QV19" s="7">
        <v>1209217</v>
      </c>
      <c r="QW19" s="7"/>
      <c r="QX19" s="7">
        <v>1917217</v>
      </c>
      <c r="QY19" s="7"/>
      <c r="QZ19" s="7">
        <v>1087999</v>
      </c>
      <c r="RA19" s="7"/>
      <c r="RB19" s="7"/>
      <c r="RC19" s="7"/>
      <c r="RD19" s="7"/>
      <c r="RE19" s="7"/>
      <c r="RF19" s="7">
        <v>9054503</v>
      </c>
      <c r="RG19" s="7"/>
      <c r="RH19" s="7"/>
      <c r="RI19" s="7"/>
      <c r="RJ19" s="7"/>
      <c r="RK19" s="7"/>
      <c r="RL19" s="7">
        <v>4487881</v>
      </c>
      <c r="RM19" s="7"/>
      <c r="RN19" s="7"/>
      <c r="RO19" s="7"/>
      <c r="RP19" s="7"/>
      <c r="RQ19" s="7"/>
      <c r="RR19" s="7"/>
      <c r="RS19" s="7"/>
      <c r="RT19" s="7"/>
      <c r="RU19" s="7"/>
      <c r="RV19" s="7"/>
      <c r="RW19" s="7"/>
      <c r="RX19" s="7"/>
      <c r="RY19" s="7"/>
      <c r="RZ19" s="7"/>
      <c r="SA19" s="7">
        <v>1188884</v>
      </c>
      <c r="SB19" s="7"/>
      <c r="SC19" s="7"/>
      <c r="SD19" s="7"/>
      <c r="SE19" s="7">
        <v>1602938</v>
      </c>
      <c r="SF19" s="7"/>
      <c r="SG19" s="7">
        <v>2146314</v>
      </c>
      <c r="SH19" s="7"/>
      <c r="SI19" s="7"/>
      <c r="SJ19" s="7"/>
      <c r="SK19" s="7"/>
      <c r="SL19" s="7">
        <v>159363527</v>
      </c>
      <c r="SM19" s="7"/>
      <c r="SN19" s="7"/>
      <c r="SO19" s="7"/>
      <c r="SP19" s="7"/>
      <c r="SQ19" s="7">
        <v>6578848</v>
      </c>
      <c r="SR19" s="7"/>
      <c r="SS19" s="7">
        <v>1379881</v>
      </c>
      <c r="ST19" s="7"/>
      <c r="SU19" s="7"/>
      <c r="SV19" s="7"/>
      <c r="SW19" s="7">
        <v>1166279</v>
      </c>
      <c r="SX19" s="7">
        <v>2642152</v>
      </c>
      <c r="SY19" s="7"/>
      <c r="SZ19" s="7">
        <v>1046837</v>
      </c>
      <c r="TA19" s="7"/>
      <c r="TB19" s="7">
        <v>29811597</v>
      </c>
      <c r="TC19" s="7"/>
      <c r="TD19" s="7">
        <v>1193066</v>
      </c>
      <c r="TE19" s="7"/>
      <c r="TF19" s="7">
        <v>1250586</v>
      </c>
      <c r="TG19" s="7"/>
      <c r="TH19" s="7"/>
      <c r="TI19" s="7"/>
      <c r="TJ19" s="7"/>
      <c r="TK19" s="7"/>
      <c r="TL19" s="7"/>
      <c r="TM19" s="7"/>
      <c r="TN19" s="7"/>
      <c r="TO19" s="7"/>
    </row>
    <row r="20" spans="1:535" x14ac:dyDescent="0.25">
      <c r="A20" s="5" t="s">
        <v>1428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>
        <v>18392059</v>
      </c>
      <c r="Q20" s="7"/>
      <c r="R20" s="7"/>
      <c r="S20" s="7"/>
      <c r="T20" s="7"/>
      <c r="U20" s="7"/>
      <c r="V20" s="7">
        <v>1057492</v>
      </c>
      <c r="W20" s="7"/>
      <c r="X20" s="7"/>
      <c r="Y20" s="7">
        <v>159720212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>
        <v>8178728</v>
      </c>
      <c r="AM20" s="7">
        <v>1701957</v>
      </c>
      <c r="AN20" s="7">
        <v>2090108</v>
      </c>
      <c r="AO20" s="7"/>
      <c r="AP20" s="7">
        <v>5067674</v>
      </c>
      <c r="AQ20" s="7"/>
      <c r="AR20" s="7">
        <v>3974896</v>
      </c>
      <c r="AS20" s="7"/>
      <c r="AT20" s="7"/>
      <c r="AU20" s="7"/>
      <c r="AV20" s="7"/>
      <c r="AW20" s="7">
        <v>1473139</v>
      </c>
      <c r="AX20" s="7"/>
      <c r="AY20" s="7"/>
      <c r="AZ20" s="7"/>
      <c r="BA20" s="7"/>
      <c r="BB20" s="7"/>
      <c r="BC20" s="7"/>
      <c r="BD20" s="7"/>
      <c r="BE20" s="7"/>
      <c r="BF20" s="7">
        <v>6016420</v>
      </c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>
        <v>1083078</v>
      </c>
      <c r="BT20" s="7"/>
      <c r="BU20" s="7"/>
      <c r="BV20" s="7"/>
      <c r="BW20" s="7">
        <v>4773722</v>
      </c>
      <c r="BX20" s="7"/>
      <c r="BY20" s="7"/>
      <c r="BZ20" s="7"/>
      <c r="CA20" s="7"/>
      <c r="CB20" s="7">
        <v>3263083</v>
      </c>
      <c r="CC20" s="7"/>
      <c r="CD20" s="7">
        <v>3115905</v>
      </c>
      <c r="CE20" s="7"/>
      <c r="CF20" s="7"/>
      <c r="CG20" s="7"/>
      <c r="CH20" s="7"/>
      <c r="CI20" s="7">
        <v>2097453</v>
      </c>
      <c r="CJ20" s="7"/>
      <c r="CK20" s="7"/>
      <c r="CL20" s="7"/>
      <c r="CM20" s="7"/>
      <c r="CN20" s="7"/>
      <c r="CO20" s="7"/>
      <c r="CP20" s="7">
        <v>1005631</v>
      </c>
      <c r="CQ20" s="7">
        <v>7394894</v>
      </c>
      <c r="CR20" s="7"/>
      <c r="CS20" s="7"/>
      <c r="CT20" s="7">
        <v>8716039</v>
      </c>
      <c r="CU20" s="7"/>
      <c r="CV20" s="7"/>
      <c r="CW20" s="7"/>
      <c r="CX20" s="7">
        <v>2082081</v>
      </c>
      <c r="CY20" s="7"/>
      <c r="CZ20" s="7">
        <v>1382813</v>
      </c>
      <c r="DA20" s="7"/>
      <c r="DB20" s="7"/>
      <c r="DC20" s="7">
        <v>22482736</v>
      </c>
      <c r="DD20" s="7"/>
      <c r="DE20" s="7"/>
      <c r="DF20" s="7">
        <v>95073719</v>
      </c>
      <c r="DG20" s="7"/>
      <c r="DH20" s="7"/>
      <c r="DI20" s="7"/>
      <c r="DJ20" s="7"/>
      <c r="DK20" s="7"/>
      <c r="DL20" s="7"/>
      <c r="DM20" s="7"/>
      <c r="DN20" s="7">
        <v>1980316</v>
      </c>
      <c r="DO20" s="7"/>
      <c r="DP20" s="7"/>
      <c r="DQ20" s="7">
        <v>2721294</v>
      </c>
      <c r="DR20" s="7"/>
      <c r="DS20" s="7"/>
      <c r="DT20" s="7"/>
      <c r="DU20" s="7"/>
      <c r="DV20" s="7">
        <v>1991535</v>
      </c>
      <c r="DW20" s="7"/>
      <c r="DX20" s="7"/>
      <c r="DY20" s="7"/>
      <c r="DZ20" s="7"/>
      <c r="EA20" s="7">
        <v>1419428</v>
      </c>
      <c r="EB20" s="7"/>
      <c r="EC20" s="7"/>
      <c r="ED20" s="7"/>
      <c r="EE20" s="7"/>
      <c r="EF20" s="7"/>
      <c r="EG20" s="7"/>
      <c r="EH20" s="7">
        <v>3218886</v>
      </c>
      <c r="EI20" s="7"/>
      <c r="EJ20" s="7"/>
      <c r="EK20" s="7"/>
      <c r="EL20" s="7"/>
      <c r="EM20" s="7"/>
      <c r="EN20" s="7"/>
      <c r="EO20" s="7"/>
      <c r="EP20" s="7"/>
      <c r="EQ20" s="7"/>
      <c r="ER20" s="7">
        <v>4328192</v>
      </c>
      <c r="ES20" s="7"/>
      <c r="ET20" s="7"/>
      <c r="EU20" s="7">
        <v>2060918</v>
      </c>
      <c r="EV20" s="7"/>
      <c r="EW20" s="7"/>
      <c r="EX20" s="7">
        <v>1239558</v>
      </c>
      <c r="EY20" s="7"/>
      <c r="EZ20" s="7"/>
      <c r="FA20" s="7"/>
      <c r="FB20" s="7"/>
      <c r="FC20" s="7"/>
      <c r="FD20" s="7">
        <v>1127030</v>
      </c>
      <c r="FE20" s="7"/>
      <c r="FF20" s="7"/>
      <c r="FG20" s="7"/>
      <c r="FH20" s="7"/>
      <c r="FI20" s="7">
        <v>1537733</v>
      </c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>
        <v>1013647</v>
      </c>
      <c r="FX20" s="7">
        <v>1125769</v>
      </c>
      <c r="FY20" s="7"/>
      <c r="FZ20" s="7"/>
      <c r="GA20" s="7"/>
      <c r="GB20" s="7">
        <v>1594660</v>
      </c>
      <c r="GC20" s="7"/>
      <c r="GD20" s="7"/>
      <c r="GE20" s="7"/>
      <c r="GF20" s="7"/>
      <c r="GG20" s="7"/>
      <c r="GH20" s="7"/>
      <c r="GI20" s="7"/>
      <c r="GJ20" s="7"/>
      <c r="GK20" s="7">
        <v>2223584</v>
      </c>
      <c r="GL20" s="7"/>
      <c r="GM20" s="7">
        <v>36807428</v>
      </c>
      <c r="GN20" s="7"/>
      <c r="GO20" s="7">
        <v>1413044</v>
      </c>
      <c r="GP20" s="7"/>
      <c r="GQ20" s="7"/>
      <c r="GR20" s="7"/>
      <c r="GS20" s="7"/>
      <c r="GT20" s="7"/>
      <c r="GU20" s="7">
        <v>3792005</v>
      </c>
      <c r="GV20" s="7"/>
      <c r="GW20" s="7"/>
      <c r="GX20" s="7"/>
      <c r="GY20" s="7"/>
      <c r="GZ20" s="7"/>
      <c r="HA20" s="7"/>
      <c r="HB20" s="7"/>
      <c r="HC20" s="7"/>
      <c r="HD20" s="7"/>
      <c r="HE20" s="7">
        <v>2870608</v>
      </c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>
        <v>1434097</v>
      </c>
      <c r="HX20" s="7"/>
      <c r="HY20" s="7">
        <v>6137347</v>
      </c>
      <c r="HZ20" s="7"/>
      <c r="IA20" s="7"/>
      <c r="IB20" s="7"/>
      <c r="IC20" s="7"/>
      <c r="ID20" s="7"/>
      <c r="IE20" s="7"/>
      <c r="IF20" s="7">
        <v>1038297</v>
      </c>
      <c r="IG20" s="7"/>
      <c r="IH20" s="7">
        <v>1183184</v>
      </c>
      <c r="II20" s="7"/>
      <c r="IJ20" s="7"/>
      <c r="IK20" s="7"/>
      <c r="IL20" s="7"/>
      <c r="IM20" s="7"/>
      <c r="IN20" s="7"/>
      <c r="IO20" s="7"/>
      <c r="IP20" s="7">
        <v>1010104</v>
      </c>
      <c r="IQ20" s="7"/>
      <c r="IR20" s="7">
        <v>28038219</v>
      </c>
      <c r="IS20" s="7"/>
      <c r="IT20" s="7"/>
      <c r="IU20" s="7"/>
      <c r="IV20" s="7"/>
      <c r="IW20" s="7">
        <v>1739694</v>
      </c>
      <c r="IX20" s="7"/>
      <c r="IY20" s="7"/>
      <c r="IZ20" s="7"/>
      <c r="JA20" s="7">
        <v>1391842</v>
      </c>
      <c r="JB20" s="7"/>
      <c r="JC20" s="7"/>
      <c r="JD20" s="7"/>
      <c r="JE20" s="7"/>
      <c r="JF20" s="7">
        <v>1569223</v>
      </c>
      <c r="JG20" s="7"/>
      <c r="JH20" s="7"/>
      <c r="JI20" s="7">
        <v>12422228</v>
      </c>
      <c r="JJ20" s="7"/>
      <c r="JK20" s="7"/>
      <c r="JL20" s="7"/>
      <c r="JM20" s="7"/>
      <c r="JN20" s="7"/>
      <c r="JO20" s="7">
        <v>5014502</v>
      </c>
      <c r="JP20" s="7"/>
      <c r="JQ20" s="7">
        <v>22984957</v>
      </c>
      <c r="JR20" s="7"/>
      <c r="JS20" s="7"/>
      <c r="JT20" s="7"/>
      <c r="JU20" s="7"/>
      <c r="JV20" s="7">
        <v>31137782</v>
      </c>
      <c r="JW20" s="7"/>
      <c r="JX20" s="7"/>
      <c r="JY20" s="7"/>
      <c r="JZ20" s="7"/>
      <c r="KA20" s="7"/>
      <c r="KB20" s="7"/>
      <c r="KC20" s="7">
        <v>2429819</v>
      </c>
      <c r="KD20" s="7"/>
      <c r="KE20" s="7"/>
      <c r="KF20" s="7"/>
      <c r="KG20" s="7"/>
      <c r="KH20" s="7"/>
      <c r="KI20" s="7"/>
      <c r="KJ20" s="7"/>
      <c r="KK20" s="7"/>
      <c r="KL20" s="7"/>
      <c r="KM20" s="7"/>
      <c r="KN20" s="7"/>
      <c r="KO20" s="7">
        <v>14393075</v>
      </c>
      <c r="KP20" s="7"/>
      <c r="KQ20" s="7"/>
      <c r="KR20" s="7"/>
      <c r="KS20" s="7"/>
      <c r="KT20" s="7"/>
      <c r="KU20" s="7"/>
      <c r="KV20" s="7"/>
      <c r="KW20" s="7"/>
      <c r="KX20" s="7"/>
      <c r="KY20" s="7">
        <v>1021480</v>
      </c>
      <c r="KZ20" s="7"/>
      <c r="LA20" s="7"/>
      <c r="LB20" s="7"/>
      <c r="LC20" s="7"/>
      <c r="LD20" s="7"/>
      <c r="LE20" s="7">
        <v>3530979</v>
      </c>
      <c r="LF20" s="7"/>
      <c r="LG20" s="7"/>
      <c r="LH20" s="7">
        <v>1485997</v>
      </c>
      <c r="LI20" s="7"/>
      <c r="LJ20" s="7"/>
      <c r="LK20" s="7"/>
      <c r="LL20" s="7"/>
      <c r="LM20" s="7"/>
      <c r="LN20" s="7"/>
      <c r="LO20" s="7">
        <v>1900767</v>
      </c>
      <c r="LP20" s="7"/>
      <c r="LQ20" s="7"/>
      <c r="LR20" s="7">
        <v>3244503</v>
      </c>
      <c r="LS20" s="7"/>
      <c r="LT20" s="7">
        <v>1317007</v>
      </c>
      <c r="LU20" s="7"/>
      <c r="LV20" s="7"/>
      <c r="LW20" s="7"/>
      <c r="LX20" s="7"/>
      <c r="LY20" s="7"/>
      <c r="LZ20" s="7"/>
      <c r="MA20" s="7">
        <v>1234052</v>
      </c>
      <c r="MB20" s="7"/>
      <c r="MC20" s="7">
        <v>2412059</v>
      </c>
      <c r="MD20" s="7"/>
      <c r="ME20" s="9">
        <v>4590419</v>
      </c>
      <c r="MF20" s="9"/>
      <c r="MG20" s="9">
        <v>4590419</v>
      </c>
      <c r="MH20" s="7">
        <v>1124172</v>
      </c>
      <c r="MI20" s="7">
        <v>1480267</v>
      </c>
      <c r="MJ20" s="7"/>
      <c r="MK20" s="7"/>
      <c r="ML20" s="7"/>
      <c r="MM20" s="7"/>
      <c r="MN20" s="7">
        <v>3246381</v>
      </c>
      <c r="MO20" s="7"/>
      <c r="MP20" s="7"/>
      <c r="MQ20" s="7"/>
      <c r="MR20" s="7"/>
      <c r="MS20" s="7"/>
      <c r="MT20" s="7"/>
      <c r="MU20" s="7"/>
      <c r="MV20" s="7"/>
      <c r="MW20" s="7"/>
      <c r="MX20" s="7">
        <v>2927187</v>
      </c>
      <c r="MY20" s="7"/>
      <c r="MZ20" s="7">
        <v>2065076</v>
      </c>
      <c r="NA20" s="7"/>
      <c r="NB20" s="7">
        <v>1918223</v>
      </c>
      <c r="NC20" s="7"/>
      <c r="ND20" s="7">
        <v>10306980</v>
      </c>
      <c r="NE20" s="7"/>
      <c r="NF20" s="7">
        <v>3892529</v>
      </c>
      <c r="NG20" s="7"/>
      <c r="NH20" s="7"/>
      <c r="NI20" s="7">
        <v>4742178</v>
      </c>
      <c r="NJ20" s="7"/>
      <c r="NK20" s="7">
        <v>2793638</v>
      </c>
      <c r="NL20" s="7"/>
      <c r="NM20" s="7"/>
      <c r="NN20" s="7"/>
      <c r="NO20" s="7">
        <v>1953113</v>
      </c>
      <c r="NP20" s="7"/>
      <c r="NQ20" s="7"/>
      <c r="NR20" s="7"/>
      <c r="NS20" s="7"/>
      <c r="NT20" s="7"/>
      <c r="NU20" s="7">
        <v>1132872</v>
      </c>
      <c r="NV20" s="7"/>
      <c r="NW20" s="7"/>
      <c r="NX20" s="7">
        <v>2249901</v>
      </c>
      <c r="NY20" s="7"/>
      <c r="NZ20" s="7">
        <v>1717951</v>
      </c>
      <c r="OA20" s="7"/>
      <c r="OB20" s="7"/>
      <c r="OC20" s="7">
        <v>1780049</v>
      </c>
      <c r="OD20" s="7"/>
      <c r="OE20" s="7"/>
      <c r="OF20" s="7"/>
      <c r="OG20" s="7">
        <v>1021621</v>
      </c>
      <c r="OH20" s="7">
        <v>1251975</v>
      </c>
      <c r="OI20" s="7"/>
      <c r="OJ20" s="7"/>
      <c r="OK20" s="7"/>
      <c r="OL20" s="7">
        <v>1230931</v>
      </c>
      <c r="OM20" s="7">
        <v>3466255</v>
      </c>
      <c r="ON20" s="7"/>
      <c r="OO20" s="7">
        <v>1343593</v>
      </c>
      <c r="OP20" s="7"/>
      <c r="OQ20" s="7"/>
      <c r="OR20" s="7">
        <v>8696432</v>
      </c>
      <c r="OS20" s="7"/>
      <c r="OT20" s="7"/>
      <c r="OU20" s="7"/>
      <c r="OV20" s="7">
        <v>1054056</v>
      </c>
      <c r="OW20" s="7"/>
      <c r="OX20" s="7"/>
      <c r="OY20" s="7"/>
      <c r="OZ20" s="7"/>
      <c r="PA20" s="7">
        <v>4608257</v>
      </c>
      <c r="PB20" s="7">
        <v>4051650</v>
      </c>
      <c r="PC20" s="7"/>
      <c r="PD20" s="7">
        <v>25501966</v>
      </c>
      <c r="PE20" s="7"/>
      <c r="PF20" s="7"/>
      <c r="PG20" s="7"/>
      <c r="PH20" s="7">
        <v>2542636</v>
      </c>
      <c r="PI20" s="7"/>
      <c r="PJ20" s="7"/>
      <c r="PK20" s="7"/>
      <c r="PL20" s="7"/>
      <c r="PM20" s="7"/>
      <c r="PN20" s="7">
        <v>2174772</v>
      </c>
      <c r="PO20" s="7"/>
      <c r="PP20" s="7">
        <v>1634033</v>
      </c>
      <c r="PQ20" s="7">
        <v>1615911</v>
      </c>
      <c r="PR20" s="7"/>
      <c r="PS20" s="7"/>
      <c r="PT20" s="7"/>
      <c r="PU20" s="7">
        <v>1024825</v>
      </c>
      <c r="PV20" s="7">
        <v>2179314</v>
      </c>
      <c r="PW20" s="7"/>
      <c r="PX20" s="7">
        <v>1359457</v>
      </c>
      <c r="PY20" s="7"/>
      <c r="PZ20" s="7"/>
      <c r="QA20" s="7"/>
      <c r="QB20" s="7"/>
      <c r="QC20" s="7"/>
      <c r="QD20" s="7">
        <v>2132211</v>
      </c>
      <c r="QE20" s="7"/>
      <c r="QF20" s="7"/>
      <c r="QG20" s="7"/>
      <c r="QH20" s="7">
        <v>1411105</v>
      </c>
      <c r="QI20" s="7">
        <v>2022507</v>
      </c>
      <c r="QJ20" s="7"/>
      <c r="QK20" s="7"/>
      <c r="QL20" s="7"/>
      <c r="QM20" s="7"/>
      <c r="QN20" s="7"/>
      <c r="QO20" s="7"/>
      <c r="QP20" s="7"/>
      <c r="QQ20" s="7"/>
      <c r="QR20" s="7"/>
      <c r="QS20" s="7"/>
      <c r="QT20" s="7"/>
      <c r="QU20" s="7"/>
      <c r="QV20" s="7"/>
      <c r="QW20" s="7"/>
      <c r="QX20" s="7"/>
      <c r="QY20" s="7"/>
      <c r="QZ20" s="7"/>
      <c r="RA20" s="7"/>
      <c r="RB20" s="7"/>
      <c r="RC20" s="7"/>
      <c r="RD20" s="7"/>
      <c r="RE20" s="7"/>
      <c r="RF20" s="7"/>
      <c r="RG20" s="7"/>
      <c r="RH20" s="7"/>
      <c r="RI20" s="7"/>
      <c r="RJ20" s="7"/>
      <c r="RK20" s="7">
        <v>1634204</v>
      </c>
      <c r="RL20" s="7"/>
      <c r="RM20" s="7"/>
      <c r="RN20" s="7"/>
      <c r="RO20" s="7"/>
      <c r="RP20" s="7"/>
      <c r="RQ20" s="7"/>
      <c r="RR20" s="7"/>
      <c r="RS20" s="7"/>
      <c r="RT20" s="7">
        <v>1592399</v>
      </c>
      <c r="RU20" s="7"/>
      <c r="RV20" s="7"/>
      <c r="RW20" s="7"/>
      <c r="RX20" s="7"/>
      <c r="RY20" s="7">
        <v>2358297</v>
      </c>
      <c r="RZ20" s="7"/>
      <c r="SA20" s="7"/>
      <c r="SB20" s="7"/>
      <c r="SC20" s="7"/>
      <c r="SD20" s="7"/>
      <c r="SE20" s="7"/>
      <c r="SF20" s="7"/>
      <c r="SG20" s="7"/>
      <c r="SH20" s="7"/>
      <c r="SI20" s="7"/>
      <c r="SJ20" s="7"/>
      <c r="SK20" s="7"/>
      <c r="SL20" s="7">
        <v>8414687</v>
      </c>
      <c r="SM20" s="7"/>
      <c r="SN20" s="7"/>
      <c r="SO20" s="7"/>
      <c r="SP20" s="7"/>
      <c r="SQ20" s="7"/>
      <c r="SR20" s="7"/>
      <c r="SS20" s="7"/>
      <c r="ST20" s="7"/>
      <c r="SU20" s="7"/>
      <c r="SV20" s="7"/>
      <c r="SW20" s="7"/>
      <c r="SX20" s="7"/>
      <c r="SY20" s="7">
        <v>3280567</v>
      </c>
      <c r="SZ20" s="7"/>
      <c r="TA20" s="7"/>
      <c r="TB20" s="7">
        <v>18108481</v>
      </c>
      <c r="TC20" s="7"/>
      <c r="TD20" s="7">
        <v>1946807</v>
      </c>
      <c r="TE20" s="7"/>
      <c r="TF20" s="7"/>
      <c r="TG20" s="7"/>
      <c r="TH20" s="7"/>
      <c r="TI20" s="7"/>
      <c r="TJ20" s="7">
        <v>1026500</v>
      </c>
      <c r="TK20" s="7"/>
      <c r="TL20" s="7"/>
      <c r="TM20" s="7"/>
      <c r="TN20" s="7">
        <v>1059862</v>
      </c>
      <c r="TO20" s="7"/>
    </row>
    <row r="21" spans="1:535" x14ac:dyDescent="0.25">
      <c r="A21" s="5" t="s">
        <v>1429</v>
      </c>
      <c r="B21" s="7"/>
      <c r="C21" s="7">
        <v>4529130</v>
      </c>
      <c r="D21" s="7"/>
      <c r="E21" s="7"/>
      <c r="F21" s="7"/>
      <c r="G21" s="7">
        <v>2448890</v>
      </c>
      <c r="H21" s="7"/>
      <c r="I21" s="7"/>
      <c r="J21" s="7">
        <v>3168743</v>
      </c>
      <c r="K21" s="7"/>
      <c r="L21" s="7"/>
      <c r="M21" s="7"/>
      <c r="N21" s="7"/>
      <c r="O21" s="7"/>
      <c r="P21" s="7">
        <v>10697832</v>
      </c>
      <c r="Q21" s="7"/>
      <c r="R21" s="7"/>
      <c r="S21" s="7">
        <v>5704218</v>
      </c>
      <c r="T21" s="7"/>
      <c r="U21" s="7"/>
      <c r="V21" s="7"/>
      <c r="W21" s="7">
        <v>2087192</v>
      </c>
      <c r="X21" s="7"/>
      <c r="Y21" s="7"/>
      <c r="Z21" s="7"/>
      <c r="AA21" s="7"/>
      <c r="AB21" s="7">
        <v>2629211</v>
      </c>
      <c r="AC21" s="7"/>
      <c r="AD21" s="7"/>
      <c r="AE21" s="7"/>
      <c r="AF21" s="7"/>
      <c r="AG21" s="7"/>
      <c r="AH21" s="7"/>
      <c r="AI21" s="7"/>
      <c r="AJ21" s="7">
        <v>1700745</v>
      </c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>
        <v>2012400</v>
      </c>
      <c r="AW21" s="7"/>
      <c r="AX21" s="7"/>
      <c r="AY21" s="7">
        <v>4538189</v>
      </c>
      <c r="AZ21" s="7"/>
      <c r="BA21" s="7"/>
      <c r="BB21" s="7">
        <v>1219971</v>
      </c>
      <c r="BC21" s="7"/>
      <c r="BD21" s="7"/>
      <c r="BE21" s="7"/>
      <c r="BF21" s="7">
        <v>6600294</v>
      </c>
      <c r="BG21" s="7"/>
      <c r="BH21" s="7"/>
      <c r="BI21" s="7"/>
      <c r="BJ21" s="7">
        <v>2322174</v>
      </c>
      <c r="BK21" s="7"/>
      <c r="BL21" s="7"/>
      <c r="BM21" s="7"/>
      <c r="BN21" s="7"/>
      <c r="BO21" s="7"/>
      <c r="BP21" s="7"/>
      <c r="BQ21" s="7"/>
      <c r="BR21" s="7"/>
      <c r="BS21" s="7">
        <v>2372306</v>
      </c>
      <c r="BT21" s="7"/>
      <c r="BU21" s="7"/>
      <c r="BV21" s="7"/>
      <c r="BW21" s="7"/>
      <c r="BX21" s="7">
        <v>3622655</v>
      </c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>
        <v>2727011</v>
      </c>
      <c r="CL21" s="7"/>
      <c r="CM21" s="7"/>
      <c r="CN21" s="7"/>
      <c r="CO21" s="7"/>
      <c r="CP21" s="7"/>
      <c r="CQ21" s="7">
        <v>2382150</v>
      </c>
      <c r="CR21" s="7"/>
      <c r="CS21" s="7"/>
      <c r="CT21" s="7">
        <v>3465995</v>
      </c>
      <c r="CU21" s="7"/>
      <c r="CV21" s="7"/>
      <c r="CW21" s="7"/>
      <c r="CX21" s="7"/>
      <c r="CY21" s="7"/>
      <c r="CZ21" s="7">
        <v>1023310</v>
      </c>
      <c r="DA21" s="7"/>
      <c r="DB21" s="7"/>
      <c r="DC21" s="7">
        <v>22985296</v>
      </c>
      <c r="DD21" s="7"/>
      <c r="DE21" s="7"/>
      <c r="DF21" s="7"/>
      <c r="DG21" s="7">
        <v>1451455</v>
      </c>
      <c r="DH21" s="7"/>
      <c r="DI21" s="7"/>
      <c r="DJ21" s="7"/>
      <c r="DK21" s="7"/>
      <c r="DL21" s="7"/>
      <c r="DM21" s="7"/>
      <c r="DN21" s="7">
        <v>1366337</v>
      </c>
      <c r="DO21" s="7"/>
      <c r="DP21" s="7"/>
      <c r="DQ21" s="7"/>
      <c r="DR21" s="7"/>
      <c r="DS21" s="7"/>
      <c r="DT21" s="7"/>
      <c r="DU21" s="7"/>
      <c r="DV21" s="7">
        <v>1098950</v>
      </c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>
        <v>1467250</v>
      </c>
      <c r="EN21" s="7"/>
      <c r="EO21" s="7"/>
      <c r="EP21" s="7">
        <v>1491557</v>
      </c>
      <c r="EQ21" s="7"/>
      <c r="ER21" s="7"/>
      <c r="ES21" s="7"/>
      <c r="ET21" s="7"/>
      <c r="EU21" s="7">
        <v>2205729</v>
      </c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>
        <v>2119782</v>
      </c>
      <c r="GD21" s="7"/>
      <c r="GE21" s="7"/>
      <c r="GF21" s="7"/>
      <c r="GG21" s="7"/>
      <c r="GH21" s="7"/>
      <c r="GI21" s="7"/>
      <c r="GJ21" s="7">
        <v>1126622</v>
      </c>
      <c r="GK21" s="7"/>
      <c r="GL21" s="7"/>
      <c r="GM21" s="7">
        <v>44859391</v>
      </c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>
        <v>3838468</v>
      </c>
      <c r="HY21" s="7"/>
      <c r="HZ21" s="7"/>
      <c r="IA21" s="7"/>
      <c r="IB21" s="7">
        <v>2745931</v>
      </c>
      <c r="IC21" s="7"/>
      <c r="ID21" s="7"/>
      <c r="IE21" s="7"/>
      <c r="IF21" s="7"/>
      <c r="IG21" s="7"/>
      <c r="IH21" s="7"/>
      <c r="II21" s="7"/>
      <c r="IJ21" s="7"/>
      <c r="IK21" s="7">
        <v>1046647</v>
      </c>
      <c r="IL21" s="7"/>
      <c r="IM21" s="7"/>
      <c r="IN21" s="7"/>
      <c r="IO21" s="7"/>
      <c r="IP21" s="7"/>
      <c r="IQ21" s="7">
        <v>1062033</v>
      </c>
      <c r="IR21" s="7"/>
      <c r="IS21" s="7"/>
      <c r="IT21" s="7"/>
      <c r="IU21" s="7"/>
      <c r="IV21" s="7"/>
      <c r="IW21" s="7"/>
      <c r="IX21" s="7"/>
      <c r="IY21" s="7"/>
      <c r="IZ21" s="7"/>
      <c r="JA21" s="7"/>
      <c r="JB21" s="7"/>
      <c r="JC21" s="7">
        <v>1701263</v>
      </c>
      <c r="JD21" s="7"/>
      <c r="JE21" s="7"/>
      <c r="JF21" s="7"/>
      <c r="JG21" s="7"/>
      <c r="JH21" s="7"/>
      <c r="JI21" s="7">
        <v>12019002</v>
      </c>
      <c r="JJ21" s="7"/>
      <c r="JK21" s="7"/>
      <c r="JL21" s="7"/>
      <c r="JM21" s="7"/>
      <c r="JN21" s="7"/>
      <c r="JO21" s="7">
        <v>2798324</v>
      </c>
      <c r="JP21" s="7"/>
      <c r="JQ21" s="7"/>
      <c r="JR21" s="7"/>
      <c r="JS21" s="7"/>
      <c r="JT21" s="7"/>
      <c r="JU21" s="7"/>
      <c r="JV21" s="7"/>
      <c r="JW21" s="7"/>
      <c r="JX21" s="7">
        <v>38604433</v>
      </c>
      <c r="JY21" s="7"/>
      <c r="JZ21" s="7"/>
      <c r="KA21" s="7"/>
      <c r="KB21" s="7"/>
      <c r="KC21" s="7">
        <v>4143983</v>
      </c>
      <c r="KD21" s="7"/>
      <c r="KE21" s="7"/>
      <c r="KF21" s="7"/>
      <c r="KG21" s="7"/>
      <c r="KH21" s="7"/>
      <c r="KI21" s="7"/>
      <c r="KJ21" s="7"/>
      <c r="KK21" s="7"/>
      <c r="KL21" s="7"/>
      <c r="KM21" s="7"/>
      <c r="KN21" s="7"/>
      <c r="KO21" s="7">
        <v>22131780</v>
      </c>
      <c r="KP21" s="7"/>
      <c r="KQ21" s="7"/>
      <c r="KR21" s="7"/>
      <c r="KS21" s="7"/>
      <c r="KT21" s="7"/>
      <c r="KU21" s="7"/>
      <c r="KV21" s="7">
        <v>2693752</v>
      </c>
      <c r="KW21" s="7"/>
      <c r="KX21" s="7"/>
      <c r="KY21" s="7"/>
      <c r="KZ21" s="7"/>
      <c r="LA21" s="7">
        <v>1354579</v>
      </c>
      <c r="LB21" s="7"/>
      <c r="LC21" s="7"/>
      <c r="LD21" s="7"/>
      <c r="LE21" s="7"/>
      <c r="LF21" s="7">
        <v>2489057</v>
      </c>
      <c r="LG21" s="7"/>
      <c r="LH21" s="7">
        <v>1214906</v>
      </c>
      <c r="LI21" s="7"/>
      <c r="LJ21" s="7"/>
      <c r="LK21" s="7"/>
      <c r="LL21" s="7"/>
      <c r="LM21" s="7"/>
      <c r="LN21" s="7"/>
      <c r="LO21" s="7">
        <v>3500396</v>
      </c>
      <c r="LP21" s="7"/>
      <c r="LQ21" s="7"/>
      <c r="LR21" s="7"/>
      <c r="LS21" s="7">
        <v>1741094</v>
      </c>
      <c r="LT21" s="7"/>
      <c r="LU21" s="7"/>
      <c r="LV21" s="7"/>
      <c r="LW21" s="7"/>
      <c r="LX21" s="7"/>
      <c r="LY21" s="7"/>
      <c r="LZ21" s="7"/>
      <c r="MA21" s="7"/>
      <c r="MB21" s="7"/>
      <c r="MC21" s="7">
        <v>2491976</v>
      </c>
      <c r="MD21" s="7"/>
      <c r="ME21" s="9">
        <v>5441907</v>
      </c>
      <c r="MF21" s="9"/>
      <c r="MG21" s="9">
        <v>5441907</v>
      </c>
      <c r="MH21" s="7"/>
      <c r="MI21" s="7"/>
      <c r="MJ21" s="7"/>
      <c r="MK21" s="7"/>
      <c r="ML21" s="7"/>
      <c r="MM21" s="7"/>
      <c r="MN21" s="7">
        <v>5290247</v>
      </c>
      <c r="MO21" s="7"/>
      <c r="MP21" s="7"/>
      <c r="MQ21" s="7"/>
      <c r="MR21" s="7"/>
      <c r="MS21" s="7"/>
      <c r="MT21" s="7"/>
      <c r="MU21" s="7"/>
      <c r="MV21" s="7"/>
      <c r="MW21" s="7"/>
      <c r="MX21" s="7">
        <v>1173773</v>
      </c>
      <c r="MY21" s="7"/>
      <c r="MZ21" s="7"/>
      <c r="NA21" s="7"/>
      <c r="NB21" s="7">
        <v>1409449</v>
      </c>
      <c r="NC21" s="7"/>
      <c r="ND21" s="7"/>
      <c r="NE21" s="7"/>
      <c r="NF21" s="7"/>
      <c r="NG21" s="7"/>
      <c r="NH21" s="7"/>
      <c r="NI21" s="7"/>
      <c r="NJ21" s="7">
        <v>1903399</v>
      </c>
      <c r="NK21" s="7"/>
      <c r="NL21" s="7"/>
      <c r="NM21" s="7"/>
      <c r="NN21" s="7"/>
      <c r="NO21" s="7"/>
      <c r="NP21" s="7"/>
      <c r="NQ21" s="7"/>
      <c r="NR21" s="7"/>
      <c r="NS21" s="7">
        <v>1085073</v>
      </c>
      <c r="NT21" s="7"/>
      <c r="NU21" s="7"/>
      <c r="NV21" s="7"/>
      <c r="NW21" s="7"/>
      <c r="NX21" s="7"/>
      <c r="NY21" s="7"/>
      <c r="NZ21" s="7"/>
      <c r="OA21" s="7"/>
      <c r="OB21" s="7"/>
      <c r="OC21" s="7"/>
      <c r="OD21" s="7"/>
      <c r="OE21" s="7"/>
      <c r="OF21" s="7"/>
      <c r="OG21" s="7"/>
      <c r="OH21" s="7"/>
      <c r="OI21" s="7"/>
      <c r="OJ21" s="7"/>
      <c r="OK21" s="7"/>
      <c r="OL21" s="7"/>
      <c r="OM21" s="7">
        <v>1242295</v>
      </c>
      <c r="ON21" s="7"/>
      <c r="OO21" s="7"/>
      <c r="OP21" s="7"/>
      <c r="OQ21" s="7"/>
      <c r="OR21" s="7">
        <v>35450024</v>
      </c>
      <c r="OS21" s="7"/>
      <c r="OT21" s="7"/>
      <c r="OU21" s="7"/>
      <c r="OV21" s="7">
        <v>2116246</v>
      </c>
      <c r="OW21" s="7"/>
      <c r="OX21" s="7"/>
      <c r="OY21" s="7"/>
      <c r="OZ21" s="7">
        <v>1435593</v>
      </c>
      <c r="PA21" s="7">
        <v>5885225</v>
      </c>
      <c r="PB21" s="7">
        <v>13440083</v>
      </c>
      <c r="PC21" s="7"/>
      <c r="PD21" s="7">
        <v>100662253</v>
      </c>
      <c r="PE21" s="7">
        <v>1452417</v>
      </c>
      <c r="PF21" s="7"/>
      <c r="PG21" s="7"/>
      <c r="PH21" s="7">
        <v>3433406</v>
      </c>
      <c r="PI21" s="7"/>
      <c r="PJ21" s="7"/>
      <c r="PK21" s="7"/>
      <c r="PL21" s="7">
        <v>1947017</v>
      </c>
      <c r="PM21" s="7"/>
      <c r="PN21" s="7"/>
      <c r="PO21" s="7">
        <v>2372656</v>
      </c>
      <c r="PP21" s="7"/>
      <c r="PQ21" s="7">
        <v>1016613</v>
      </c>
      <c r="PR21" s="7"/>
      <c r="PS21" s="7">
        <v>1042158</v>
      </c>
      <c r="PT21" s="7">
        <v>1099343</v>
      </c>
      <c r="PU21" s="7"/>
      <c r="PV21" s="7">
        <v>7100192</v>
      </c>
      <c r="PW21" s="7"/>
      <c r="PX21" s="7">
        <v>1160823</v>
      </c>
      <c r="PY21" s="7"/>
      <c r="PZ21" s="7"/>
      <c r="QA21" s="7"/>
      <c r="QB21" s="7">
        <v>7634415</v>
      </c>
      <c r="QC21" s="7"/>
      <c r="QD21" s="7"/>
      <c r="QE21" s="7"/>
      <c r="QF21" s="7"/>
      <c r="QG21" s="7"/>
      <c r="QH21" s="7"/>
      <c r="QI21" s="7"/>
      <c r="QJ21" s="7">
        <v>1548642</v>
      </c>
      <c r="QK21" s="7"/>
      <c r="QL21" s="7"/>
      <c r="QM21" s="7"/>
      <c r="QN21" s="7"/>
      <c r="QO21" s="7"/>
      <c r="QP21" s="7"/>
      <c r="QQ21" s="7"/>
      <c r="QR21" s="7"/>
      <c r="QS21" s="7"/>
      <c r="QT21" s="7"/>
      <c r="QU21" s="7"/>
      <c r="QV21" s="7"/>
      <c r="QW21" s="7"/>
      <c r="QX21" s="7"/>
      <c r="QY21" s="7"/>
      <c r="QZ21" s="7"/>
      <c r="RA21" s="7"/>
      <c r="RB21" s="7"/>
      <c r="RC21" s="7"/>
      <c r="RD21" s="7"/>
      <c r="RE21" s="7">
        <v>1252329</v>
      </c>
      <c r="RF21" s="7"/>
      <c r="RG21" s="7"/>
      <c r="RH21" s="7"/>
      <c r="RI21" s="7"/>
      <c r="RJ21" s="7"/>
      <c r="RK21" s="7"/>
      <c r="RL21" s="7"/>
      <c r="RM21" s="7"/>
      <c r="RN21" s="7"/>
      <c r="RO21" s="7"/>
      <c r="RP21" s="7"/>
      <c r="RQ21" s="7"/>
      <c r="RR21" s="7"/>
      <c r="RS21" s="7"/>
      <c r="RT21" s="7"/>
      <c r="RU21" s="7"/>
      <c r="RV21" s="7"/>
      <c r="RW21" s="7"/>
      <c r="RX21" s="7">
        <v>7835323</v>
      </c>
      <c r="RY21" s="7"/>
      <c r="RZ21" s="7"/>
      <c r="SA21" s="7"/>
      <c r="SB21" s="7"/>
      <c r="SC21" s="7"/>
      <c r="SD21" s="7"/>
      <c r="SE21" s="7"/>
      <c r="SF21" s="7">
        <v>3018358</v>
      </c>
      <c r="SG21" s="7"/>
      <c r="SH21" s="7"/>
      <c r="SI21" s="7"/>
      <c r="SJ21" s="7"/>
      <c r="SK21" s="7"/>
      <c r="SL21" s="7">
        <v>9384532</v>
      </c>
      <c r="SM21" s="7"/>
      <c r="SN21" s="7"/>
      <c r="SO21" s="7"/>
      <c r="SP21" s="7"/>
      <c r="SQ21" s="7"/>
      <c r="SR21" s="7"/>
      <c r="SS21" s="7"/>
      <c r="ST21" s="7"/>
      <c r="SU21" s="7">
        <v>1080662</v>
      </c>
      <c r="SV21" s="7"/>
      <c r="SW21" s="7"/>
      <c r="SX21" s="7">
        <v>34745818</v>
      </c>
      <c r="SY21" s="7"/>
      <c r="SZ21" s="7"/>
      <c r="TA21" s="7"/>
      <c r="TB21" s="7">
        <v>35377665</v>
      </c>
      <c r="TC21" s="7"/>
      <c r="TD21" s="7"/>
      <c r="TE21" s="7"/>
      <c r="TF21" s="7"/>
      <c r="TG21" s="7"/>
      <c r="TH21" s="7"/>
      <c r="TI21" s="7"/>
      <c r="TJ21" s="7">
        <v>2127766</v>
      </c>
      <c r="TK21" s="7"/>
      <c r="TL21" s="7"/>
      <c r="TM21" s="7"/>
      <c r="TN21" s="7">
        <v>2091977</v>
      </c>
      <c r="TO2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C3" sqref="C3"/>
    </sheetView>
  </sheetViews>
  <sheetFormatPr defaultRowHeight="15" x14ac:dyDescent="0.25"/>
  <cols>
    <col min="1" max="1" width="13.140625" bestFit="1" customWidth="1"/>
    <col min="2" max="2" width="35.28515625" bestFit="1" customWidth="1"/>
    <col min="3" max="3" width="34.28515625" bestFit="1" customWidth="1"/>
    <col min="4" max="4" width="24.7109375" bestFit="1" customWidth="1"/>
    <col min="5" max="5" width="22.140625" bestFit="1" customWidth="1"/>
  </cols>
  <sheetData>
    <row r="3" spans="1:3" x14ac:dyDescent="0.25">
      <c r="A3" s="4" t="s">
        <v>1431</v>
      </c>
      <c r="B3" t="s">
        <v>1502</v>
      </c>
      <c r="C3" t="s">
        <v>1503</v>
      </c>
    </row>
    <row r="4" spans="1:3" x14ac:dyDescent="0.25">
      <c r="A4" s="5" t="s">
        <v>1436</v>
      </c>
      <c r="B4" s="7">
        <v>3.4807784392867731</v>
      </c>
      <c r="C4" s="7">
        <v>2.6085637212407486</v>
      </c>
    </row>
    <row r="5" spans="1:3" x14ac:dyDescent="0.25">
      <c r="A5" s="5" t="s">
        <v>1447</v>
      </c>
      <c r="B5" s="7">
        <v>2.6729310463612812</v>
      </c>
      <c r="C5" s="7">
        <v>1.7877034358432513</v>
      </c>
    </row>
    <row r="6" spans="1:3" x14ac:dyDescent="0.25">
      <c r="A6" s="5" t="s">
        <v>1432</v>
      </c>
      <c r="B6" s="7">
        <v>3.0768547428240276</v>
      </c>
      <c r="C6" s="7">
        <v>2.2155845303568471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N21"/>
  <sheetViews>
    <sheetView tabSelected="1" topLeftCell="N1" workbookViewId="0">
      <selection activeCell="Z15" sqref="Z15"/>
    </sheetView>
  </sheetViews>
  <sheetFormatPr defaultRowHeight="15" x14ac:dyDescent="0.25"/>
  <cols>
    <col min="1" max="1" width="10.5703125" bestFit="1" customWidth="1"/>
    <col min="17" max="21" width="9.140625" style="10"/>
    <col min="61" max="64" width="9.140625" style="10"/>
    <col min="99" max="101" width="9.140625" style="10"/>
    <col min="102" max="102" width="9.140625" style="16"/>
    <col min="103" max="105" width="9.140625" style="10"/>
    <col min="106" max="106" width="9.140625" style="16"/>
    <col min="113" max="115" width="9.140625" style="10"/>
    <col min="116" max="116" width="9.140625" style="16"/>
    <col min="117" max="119" width="9.140625" style="10"/>
    <col min="120" max="120" width="9.140625" style="16"/>
    <col min="128" max="129" width="9.140625" style="10"/>
    <col min="130" max="130" width="9.140625" style="16"/>
    <col min="201" max="206" width="9.140625" style="10"/>
    <col min="207" max="207" width="9.140625" style="16"/>
    <col min="213" max="215" width="9.140625" style="10"/>
    <col min="280" max="281" width="9.140625" style="10"/>
    <col min="282" max="282" width="9.140625" style="16"/>
    <col min="288" max="289" width="9.140625" style="10"/>
    <col min="290" max="290" width="18.140625" style="10" bestFit="1" customWidth="1"/>
    <col min="291" max="293" width="9.140625" style="10"/>
    <col min="316" max="321" width="9.140625" style="10"/>
    <col min="346" max="348" width="9.140625" style="10"/>
    <col min="357" max="359" width="9.140625" style="10"/>
    <col min="360" max="360" width="9.140625" style="16"/>
    <col min="370" max="373" width="9.140625" style="10"/>
    <col min="380" max="382" width="9.140625" style="10"/>
    <col min="393" max="397" width="9.140625" style="10"/>
    <col min="398" max="398" width="9.140625" style="16"/>
    <col min="401" max="403" width="9.140625" style="10"/>
    <col min="425" max="425" width="9.140625" style="10"/>
    <col min="431" max="432" width="9.140625" style="10"/>
    <col min="433" max="433" width="9.140625" style="16"/>
    <col min="441" max="441" width="9.140625" style="16"/>
    <col min="442" max="442" width="9.140625" style="10"/>
    <col min="444" max="444" width="9.140625" style="10"/>
    <col min="462" max="464" width="9.140625" style="10"/>
  </cols>
  <sheetData>
    <row r="1" spans="1:560" x14ac:dyDescent="0.25">
      <c r="A1" s="6" t="s">
        <v>1458</v>
      </c>
      <c r="B1" s="6" t="s">
        <v>1459</v>
      </c>
      <c r="C1" s="6" t="s">
        <v>1460</v>
      </c>
      <c r="D1" s="6">
        <v>4.32</v>
      </c>
      <c r="E1" s="6">
        <v>4.49</v>
      </c>
      <c r="F1" s="6">
        <v>4.5</v>
      </c>
      <c r="G1" s="6">
        <v>4.53</v>
      </c>
      <c r="H1" s="6">
        <v>4.55</v>
      </c>
      <c r="I1" s="6">
        <v>4.71</v>
      </c>
      <c r="J1" s="6">
        <v>4.7300000000000004</v>
      </c>
      <c r="K1" s="6">
        <v>4.75</v>
      </c>
      <c r="L1" s="6">
        <v>4.8</v>
      </c>
      <c r="M1" s="6">
        <v>4.8099999999999996</v>
      </c>
      <c r="N1" s="6">
        <v>4.82</v>
      </c>
      <c r="O1" s="6">
        <v>4.84</v>
      </c>
      <c r="P1" s="6">
        <v>4.8499999999999996</v>
      </c>
      <c r="Q1" s="8">
        <v>4.88</v>
      </c>
      <c r="R1" s="8">
        <v>4.8899999999999997</v>
      </c>
      <c r="S1" s="8">
        <v>4.9000000000000004</v>
      </c>
      <c r="T1" s="8">
        <v>4.91</v>
      </c>
      <c r="U1" s="8" t="s">
        <v>1464</v>
      </c>
      <c r="V1" s="6">
        <v>4.9800000000000004</v>
      </c>
      <c r="W1" s="6">
        <v>4.99</v>
      </c>
      <c r="X1" s="6">
        <v>5.01</v>
      </c>
      <c r="Y1" s="6">
        <v>5.1100000000000003</v>
      </c>
      <c r="Z1" s="6">
        <v>5.12</v>
      </c>
      <c r="AA1" s="6">
        <v>5.14</v>
      </c>
      <c r="AB1" s="6">
        <v>5.19</v>
      </c>
      <c r="AC1" s="6">
        <v>5.2</v>
      </c>
      <c r="AD1" s="6">
        <v>5.21</v>
      </c>
      <c r="AE1" s="6">
        <v>5.22</v>
      </c>
      <c r="AF1" s="6">
        <v>5.23</v>
      </c>
      <c r="AG1" s="6">
        <v>5.28</v>
      </c>
      <c r="AH1" s="6">
        <v>5.29</v>
      </c>
      <c r="AI1" s="6">
        <v>5.3</v>
      </c>
      <c r="AJ1" s="6">
        <v>5.31</v>
      </c>
      <c r="AK1" s="6">
        <v>5.35</v>
      </c>
      <c r="AL1" s="6">
        <v>5.36</v>
      </c>
      <c r="AM1" s="6">
        <v>5.38</v>
      </c>
      <c r="AN1" s="6">
        <v>5.39</v>
      </c>
      <c r="AO1" s="6">
        <v>5.4</v>
      </c>
      <c r="AP1" s="6">
        <v>5.48</v>
      </c>
      <c r="AQ1" s="6">
        <v>5.51</v>
      </c>
      <c r="AR1" s="6">
        <v>5.52</v>
      </c>
      <c r="AS1" s="6">
        <v>5.54</v>
      </c>
      <c r="AT1" s="6">
        <v>5.62</v>
      </c>
      <c r="AU1" s="6">
        <v>5.65</v>
      </c>
      <c r="AV1" s="6">
        <v>5.66</v>
      </c>
      <c r="AW1" s="6">
        <v>5.67</v>
      </c>
      <c r="AX1" s="6">
        <v>5.94</v>
      </c>
      <c r="AY1" s="6">
        <v>6.1</v>
      </c>
      <c r="AZ1" s="6">
        <v>6.11</v>
      </c>
      <c r="BA1" s="6">
        <v>6.12</v>
      </c>
      <c r="BB1" s="6">
        <v>6.25</v>
      </c>
      <c r="BC1" s="6">
        <v>6.26</v>
      </c>
      <c r="BD1" s="6">
        <v>6.27</v>
      </c>
      <c r="BE1" s="6">
        <v>6.33</v>
      </c>
      <c r="BF1" s="6">
        <v>6.34</v>
      </c>
      <c r="BG1" s="6">
        <v>6.35</v>
      </c>
      <c r="BH1" s="6">
        <v>6.36</v>
      </c>
      <c r="BI1" s="8">
        <v>6.49</v>
      </c>
      <c r="BJ1" s="8">
        <v>6.5</v>
      </c>
      <c r="BK1" s="8">
        <v>6.51</v>
      </c>
      <c r="BL1" s="8" t="s">
        <v>1465</v>
      </c>
      <c r="BM1" s="6">
        <v>7.02</v>
      </c>
      <c r="BN1" s="6">
        <v>7.12</v>
      </c>
      <c r="BO1" s="6">
        <v>7.13</v>
      </c>
      <c r="BP1" s="6">
        <v>7.35</v>
      </c>
      <c r="BQ1" s="6">
        <v>7.36</v>
      </c>
      <c r="BR1" s="6">
        <v>7.37</v>
      </c>
      <c r="BS1" s="6">
        <v>7.58</v>
      </c>
      <c r="BT1" s="6">
        <v>7.81</v>
      </c>
      <c r="BU1" s="6">
        <v>8.1199999999999992</v>
      </c>
      <c r="BV1" s="6">
        <v>8.1999999999999993</v>
      </c>
      <c r="BW1" s="6">
        <v>8.2100000000000009</v>
      </c>
      <c r="BX1" s="6">
        <v>8.2200000000000006</v>
      </c>
      <c r="BY1" s="6">
        <v>8.23</v>
      </c>
      <c r="BZ1" s="6">
        <v>8.24</v>
      </c>
      <c r="CA1" s="6">
        <v>8.26</v>
      </c>
      <c r="CB1" s="6">
        <v>8.27</v>
      </c>
      <c r="CC1" s="6">
        <v>8.2799999999999994</v>
      </c>
      <c r="CD1" s="6">
        <v>8.2899999999999991</v>
      </c>
      <c r="CE1" s="6">
        <v>8.34</v>
      </c>
      <c r="CF1" s="6">
        <v>8.35</v>
      </c>
      <c r="CG1" s="6">
        <v>8.57</v>
      </c>
      <c r="CH1" s="6">
        <v>8.64</v>
      </c>
      <c r="CI1" s="6">
        <v>8.65</v>
      </c>
      <c r="CJ1" s="6">
        <v>8.77</v>
      </c>
      <c r="CK1" s="6">
        <v>8.91</v>
      </c>
      <c r="CL1" s="6">
        <v>8.92</v>
      </c>
      <c r="CM1" s="6">
        <v>8.93</v>
      </c>
      <c r="CN1" s="6">
        <v>8.94</v>
      </c>
      <c r="CO1" s="6">
        <v>8.9499999999999993</v>
      </c>
      <c r="CP1" s="6">
        <v>8.9600000000000009</v>
      </c>
      <c r="CQ1" s="6">
        <v>8.9700000000000006</v>
      </c>
      <c r="CR1" s="6">
        <v>9</v>
      </c>
      <c r="CS1" s="6">
        <v>9.06</v>
      </c>
      <c r="CT1" s="6">
        <v>9.11</v>
      </c>
      <c r="CU1" s="8">
        <v>9.18</v>
      </c>
      <c r="CV1" s="8">
        <v>9.19</v>
      </c>
      <c r="CW1" s="8">
        <v>9.1999999999999993</v>
      </c>
      <c r="CX1" s="15" t="s">
        <v>1466</v>
      </c>
      <c r="CY1" s="8">
        <v>9.25</v>
      </c>
      <c r="CZ1" s="8">
        <v>9.26</v>
      </c>
      <c r="DA1" s="8">
        <v>9.2799999999999994</v>
      </c>
      <c r="DB1" s="15" t="s">
        <v>1471</v>
      </c>
      <c r="DC1" s="6">
        <v>9.31</v>
      </c>
      <c r="DD1" s="6">
        <v>9.35</v>
      </c>
      <c r="DE1" s="6">
        <v>9.36</v>
      </c>
      <c r="DF1" s="6">
        <v>9.51</v>
      </c>
      <c r="DG1" s="6">
        <v>9.52</v>
      </c>
      <c r="DH1" s="6">
        <v>9.58</v>
      </c>
      <c r="DI1" s="8">
        <v>9.65</v>
      </c>
      <c r="DJ1" s="8">
        <v>9.66</v>
      </c>
      <c r="DK1" s="8">
        <v>9.67</v>
      </c>
      <c r="DL1" s="15" t="s">
        <v>1472</v>
      </c>
      <c r="DM1" s="8">
        <v>9.82</v>
      </c>
      <c r="DN1" s="8">
        <v>9.83</v>
      </c>
      <c r="DO1" s="8">
        <v>9.84</v>
      </c>
      <c r="DP1" s="15" t="s">
        <v>1461</v>
      </c>
      <c r="DQ1" s="6">
        <v>9.94</v>
      </c>
      <c r="DR1" s="6">
        <v>10.039999999999999</v>
      </c>
      <c r="DS1" s="6">
        <v>10.050000000000001</v>
      </c>
      <c r="DT1" s="6">
        <v>10.199999999999999</v>
      </c>
      <c r="DU1" s="6">
        <v>10.28</v>
      </c>
      <c r="DV1" s="6">
        <v>10.29</v>
      </c>
      <c r="DW1" s="6">
        <v>10.3</v>
      </c>
      <c r="DX1" s="8">
        <v>10.4</v>
      </c>
      <c r="DY1" s="8">
        <v>10.41</v>
      </c>
      <c r="DZ1" s="15" t="s">
        <v>1473</v>
      </c>
      <c r="EA1" s="6">
        <v>10.48</v>
      </c>
      <c r="EB1" s="6">
        <v>10.49</v>
      </c>
      <c r="EC1" s="6">
        <v>10.5</v>
      </c>
      <c r="ED1" s="6">
        <v>10.58</v>
      </c>
      <c r="EE1" s="6">
        <v>10.59</v>
      </c>
      <c r="EF1" s="6">
        <v>10.6</v>
      </c>
      <c r="EG1" s="6">
        <v>10.61</v>
      </c>
      <c r="EH1" s="6">
        <v>10.65</v>
      </c>
      <c r="EI1" s="6">
        <v>10.75</v>
      </c>
      <c r="EJ1" s="6">
        <v>10.76</v>
      </c>
      <c r="EK1" s="6">
        <v>10.77</v>
      </c>
      <c r="EL1" s="6">
        <v>10.84</v>
      </c>
      <c r="EM1" s="6">
        <v>10.91</v>
      </c>
      <c r="EN1" s="6">
        <v>10.95</v>
      </c>
      <c r="EO1" s="6">
        <v>11.02</v>
      </c>
      <c r="EP1" s="6">
        <v>11.06</v>
      </c>
      <c r="EQ1" s="6">
        <v>11.09</v>
      </c>
      <c r="ER1" s="6">
        <v>11.1</v>
      </c>
      <c r="ES1" s="6">
        <v>11.11</v>
      </c>
      <c r="ET1" s="6">
        <v>11.12</v>
      </c>
      <c r="EU1" s="6">
        <v>11.13</v>
      </c>
      <c r="EV1" s="6">
        <v>11.14</v>
      </c>
      <c r="EW1" s="6">
        <v>11.21</v>
      </c>
      <c r="EX1" s="6">
        <v>11.22</v>
      </c>
      <c r="EY1" s="6">
        <v>11.23</v>
      </c>
      <c r="EZ1" s="6">
        <v>11.26</v>
      </c>
      <c r="FA1" s="6">
        <v>11.27</v>
      </c>
      <c r="FB1" s="6">
        <v>11.29</v>
      </c>
      <c r="FC1" s="6">
        <v>11.38</v>
      </c>
      <c r="FD1" s="6">
        <v>11.41</v>
      </c>
      <c r="FE1" s="6">
        <v>11.42</v>
      </c>
      <c r="FF1" s="6">
        <v>11.46</v>
      </c>
      <c r="FG1" s="6">
        <v>11.54</v>
      </c>
      <c r="FH1" s="6">
        <v>11.55</v>
      </c>
      <c r="FI1" s="6">
        <v>11.56</v>
      </c>
      <c r="FJ1" s="6">
        <v>11.6</v>
      </c>
      <c r="FK1" s="6">
        <v>11.61</v>
      </c>
      <c r="FL1" s="6">
        <v>11.62</v>
      </c>
      <c r="FM1" s="6">
        <v>11.63</v>
      </c>
      <c r="FN1" s="6">
        <v>11.64</v>
      </c>
      <c r="FO1" s="6">
        <v>11.75</v>
      </c>
      <c r="FP1" s="6">
        <v>11.77</v>
      </c>
      <c r="FQ1" s="6">
        <v>11.78</v>
      </c>
      <c r="FR1" s="6">
        <v>11.91</v>
      </c>
      <c r="FS1" s="6">
        <v>11.92</v>
      </c>
      <c r="FT1" s="6">
        <v>11.96</v>
      </c>
      <c r="FU1" s="6">
        <v>11.97</v>
      </c>
      <c r="FV1" s="6">
        <v>12.01</v>
      </c>
      <c r="FW1" s="6">
        <v>12.02</v>
      </c>
      <c r="FX1" s="6">
        <v>12.12</v>
      </c>
      <c r="FY1" s="6">
        <v>12.13</v>
      </c>
      <c r="FZ1" s="6">
        <v>12.15</v>
      </c>
      <c r="GA1" s="6">
        <v>12.22</v>
      </c>
      <c r="GB1" s="6">
        <v>12.23</v>
      </c>
      <c r="GC1" s="6">
        <v>12.31</v>
      </c>
      <c r="GD1" s="6">
        <v>12.32</v>
      </c>
      <c r="GE1" s="6">
        <v>12.34</v>
      </c>
      <c r="GF1" s="6">
        <v>12.35</v>
      </c>
      <c r="GG1" s="6">
        <v>12.44</v>
      </c>
      <c r="GH1" s="6">
        <v>12.49</v>
      </c>
      <c r="GI1" s="6">
        <v>12.5</v>
      </c>
      <c r="GJ1" s="6">
        <v>12.52</v>
      </c>
      <c r="GK1" s="6">
        <v>12.54</v>
      </c>
      <c r="GL1" s="6">
        <v>12.55</v>
      </c>
      <c r="GM1" s="6">
        <v>12.56</v>
      </c>
      <c r="GN1" s="6">
        <v>12.58</v>
      </c>
      <c r="GO1" s="6">
        <v>12.59</v>
      </c>
      <c r="GP1" s="6">
        <v>12.62</v>
      </c>
      <c r="GQ1" s="6">
        <v>12.63</v>
      </c>
      <c r="GR1" s="6">
        <v>12.64</v>
      </c>
      <c r="GS1" s="8">
        <v>12.69</v>
      </c>
      <c r="GT1" s="8">
        <v>12.7</v>
      </c>
      <c r="GU1" s="8">
        <v>12.71</v>
      </c>
      <c r="GV1" s="8" t="s">
        <v>1474</v>
      </c>
      <c r="GW1" s="8">
        <v>12.84</v>
      </c>
      <c r="GX1" s="8">
        <v>12.85</v>
      </c>
      <c r="GY1" s="15" t="s">
        <v>1462</v>
      </c>
      <c r="GZ1" s="6">
        <v>12.99</v>
      </c>
      <c r="HA1" s="6">
        <v>13</v>
      </c>
      <c r="HB1" s="6">
        <v>13.03</v>
      </c>
      <c r="HC1" s="6">
        <v>13.14</v>
      </c>
      <c r="HD1" s="6">
        <v>13.16</v>
      </c>
      <c r="HE1" s="8">
        <v>13.22</v>
      </c>
      <c r="HF1" s="8">
        <v>13.23</v>
      </c>
      <c r="HG1" s="8" t="s">
        <v>1478</v>
      </c>
      <c r="HH1" s="6">
        <v>13.25</v>
      </c>
      <c r="HI1" s="6">
        <v>13.32</v>
      </c>
      <c r="HJ1" s="6">
        <v>13.33</v>
      </c>
      <c r="HK1" s="6">
        <v>13.4</v>
      </c>
      <c r="HL1" s="6">
        <v>13.41</v>
      </c>
      <c r="HM1" s="6">
        <v>13.45</v>
      </c>
      <c r="HN1" s="6">
        <v>13.46</v>
      </c>
      <c r="HO1" s="6">
        <v>13.54</v>
      </c>
      <c r="HP1" s="6">
        <v>13.56</v>
      </c>
      <c r="HQ1" s="6">
        <v>13.57</v>
      </c>
      <c r="HR1" s="6">
        <v>13.61</v>
      </c>
      <c r="HS1" s="6">
        <v>13.62</v>
      </c>
      <c r="HT1" s="6">
        <v>13.63</v>
      </c>
      <c r="HU1" s="6">
        <v>13.64</v>
      </c>
      <c r="HV1" s="6">
        <v>13.69</v>
      </c>
      <c r="HW1" s="6">
        <v>13.7</v>
      </c>
      <c r="HX1" s="6">
        <v>13.84</v>
      </c>
      <c r="HY1" s="6">
        <v>13.85</v>
      </c>
      <c r="HZ1" s="6">
        <v>13.93</v>
      </c>
      <c r="IA1" s="6">
        <v>14.01</v>
      </c>
      <c r="IB1" s="6">
        <v>14.08</v>
      </c>
      <c r="IC1" s="6">
        <v>14.09</v>
      </c>
      <c r="ID1" s="6">
        <v>14.15</v>
      </c>
      <c r="IE1" s="6">
        <v>14.22</v>
      </c>
      <c r="IF1" s="6">
        <v>14.23</v>
      </c>
      <c r="IG1" s="6">
        <v>14.41</v>
      </c>
      <c r="IH1" s="6">
        <v>14.42</v>
      </c>
      <c r="II1" s="6">
        <v>14.43</v>
      </c>
      <c r="IJ1" s="6">
        <v>14.52</v>
      </c>
      <c r="IK1" s="6">
        <v>14.53</v>
      </c>
      <c r="IL1" s="6">
        <v>14.54</v>
      </c>
      <c r="IM1" s="6">
        <v>14.58</v>
      </c>
      <c r="IN1" s="6">
        <v>14.59</v>
      </c>
      <c r="IO1" s="6">
        <v>14.6</v>
      </c>
      <c r="IP1" s="6">
        <v>14.62</v>
      </c>
      <c r="IQ1" s="6">
        <v>14.69</v>
      </c>
      <c r="IR1" s="6">
        <v>14.72</v>
      </c>
      <c r="IS1" s="6">
        <v>14.82</v>
      </c>
      <c r="IT1" s="6">
        <v>14.83</v>
      </c>
      <c r="IU1" s="6">
        <v>14.93</v>
      </c>
      <c r="IV1" s="6">
        <v>15.03</v>
      </c>
      <c r="IW1" s="6">
        <v>15.04</v>
      </c>
      <c r="IX1" s="6">
        <v>15.05</v>
      </c>
      <c r="IY1" s="6">
        <v>15.12</v>
      </c>
      <c r="IZ1" s="6">
        <v>15.14</v>
      </c>
      <c r="JA1" s="6">
        <v>15.2</v>
      </c>
      <c r="JB1" s="6">
        <v>15.27</v>
      </c>
      <c r="JC1" s="6">
        <v>15.28</v>
      </c>
      <c r="JD1" s="6">
        <v>15.34</v>
      </c>
      <c r="JE1" s="6">
        <v>15.35</v>
      </c>
      <c r="JF1" s="6">
        <v>15.4</v>
      </c>
      <c r="JG1" s="6">
        <v>15.41</v>
      </c>
      <c r="JH1" s="6">
        <v>15.42</v>
      </c>
      <c r="JI1" s="6">
        <v>15.47</v>
      </c>
      <c r="JJ1" s="6">
        <v>15.52</v>
      </c>
      <c r="JK1" s="6">
        <v>15.53</v>
      </c>
      <c r="JL1" s="6">
        <v>15.54</v>
      </c>
      <c r="JM1" s="6">
        <v>15.55</v>
      </c>
      <c r="JN1" s="6">
        <v>15.57</v>
      </c>
      <c r="JO1" s="6">
        <v>15.58</v>
      </c>
      <c r="JP1" s="6">
        <v>15.6</v>
      </c>
      <c r="JQ1" s="6">
        <v>15.64</v>
      </c>
      <c r="JR1" s="6">
        <v>15.71</v>
      </c>
      <c r="JS1" s="6">
        <v>15.72</v>
      </c>
      <c r="JT1" s="8">
        <v>15.87</v>
      </c>
      <c r="JU1" s="8">
        <v>15.88</v>
      </c>
      <c r="JV1" s="15" t="s">
        <v>1482</v>
      </c>
      <c r="JW1" s="6">
        <v>16.11</v>
      </c>
      <c r="JX1" s="6">
        <v>16.12</v>
      </c>
      <c r="JY1" s="6">
        <v>16.29</v>
      </c>
      <c r="JZ1" s="6">
        <v>16.34</v>
      </c>
      <c r="KA1" s="6">
        <v>16.350000000000001</v>
      </c>
      <c r="KB1" s="8">
        <v>16.66</v>
      </c>
      <c r="KC1" s="8">
        <v>16.670000000000002</v>
      </c>
      <c r="KD1" s="8" t="s">
        <v>1483</v>
      </c>
      <c r="KE1" s="8">
        <v>16.760000000000002</v>
      </c>
      <c r="KF1" s="8">
        <v>16.77</v>
      </c>
      <c r="KG1" s="8" t="s">
        <v>1484</v>
      </c>
      <c r="KH1" s="6">
        <v>16.96</v>
      </c>
      <c r="KI1" s="6">
        <v>16.97</v>
      </c>
      <c r="KJ1" s="6">
        <v>16.98</v>
      </c>
      <c r="KK1" s="6">
        <v>16.989999999999998</v>
      </c>
      <c r="KL1" s="6">
        <v>17</v>
      </c>
      <c r="KM1" s="6">
        <v>17.010000000000002</v>
      </c>
      <c r="KN1" s="6">
        <v>17.02</v>
      </c>
      <c r="KO1" s="6">
        <v>17.03</v>
      </c>
      <c r="KP1" s="6">
        <v>17.059999999999999</v>
      </c>
      <c r="KQ1" s="6">
        <v>17.07</v>
      </c>
      <c r="KR1" s="6">
        <v>17.079999999999998</v>
      </c>
      <c r="KS1" s="6">
        <v>17.09</v>
      </c>
      <c r="KT1" s="6">
        <v>17.12</v>
      </c>
      <c r="KU1" s="6">
        <v>17.14</v>
      </c>
      <c r="KV1" s="6">
        <v>17.149999999999999</v>
      </c>
      <c r="KW1" s="6">
        <v>17.2</v>
      </c>
      <c r="KX1" s="6">
        <v>17.21</v>
      </c>
      <c r="KY1" s="6">
        <v>17.28</v>
      </c>
      <c r="KZ1" s="6">
        <v>17.29</v>
      </c>
      <c r="LA1" s="6">
        <v>17.36</v>
      </c>
      <c r="LB1" s="6">
        <v>17.37</v>
      </c>
      <c r="LC1" s="6">
        <v>17.38</v>
      </c>
      <c r="LD1" s="8">
        <v>17.45</v>
      </c>
      <c r="LE1" s="8">
        <v>17.46</v>
      </c>
      <c r="LF1" s="8">
        <v>17.47</v>
      </c>
      <c r="LG1" s="8">
        <v>17.48</v>
      </c>
      <c r="LH1" s="8">
        <v>17.489999999999998</v>
      </c>
      <c r="LI1" s="8" t="s">
        <v>1463</v>
      </c>
      <c r="LJ1" s="6">
        <v>17.5</v>
      </c>
      <c r="LK1" s="6">
        <v>17.54</v>
      </c>
      <c r="LL1" s="6">
        <v>17.55</v>
      </c>
      <c r="LM1" s="6">
        <v>17.559999999999999</v>
      </c>
      <c r="LN1" s="6">
        <v>17.57</v>
      </c>
      <c r="LO1" s="6">
        <v>17.690000000000001</v>
      </c>
      <c r="LP1" s="6">
        <v>17.7</v>
      </c>
      <c r="LQ1" s="6">
        <v>17.71</v>
      </c>
      <c r="LR1" s="6">
        <v>17.72</v>
      </c>
      <c r="LS1" s="6">
        <v>17.73</v>
      </c>
      <c r="LT1" s="6">
        <v>17.77</v>
      </c>
      <c r="LU1" s="6">
        <v>17.8</v>
      </c>
      <c r="LV1" s="6">
        <v>17.809999999999999</v>
      </c>
      <c r="LW1" s="6">
        <v>17.91</v>
      </c>
      <c r="LX1" s="6">
        <v>17.920000000000002</v>
      </c>
      <c r="LY1" s="6">
        <v>17.93</v>
      </c>
      <c r="LZ1" s="6">
        <v>18</v>
      </c>
      <c r="MA1" s="6">
        <v>18.010000000000002</v>
      </c>
      <c r="MB1" s="6">
        <v>18.02</v>
      </c>
      <c r="MC1" s="6">
        <v>18.04</v>
      </c>
      <c r="MD1" s="6">
        <v>18.05</v>
      </c>
      <c r="ME1" s="6">
        <v>18.059999999999999</v>
      </c>
      <c r="MF1" s="6">
        <v>18.07</v>
      </c>
      <c r="MG1" s="6">
        <v>18.14</v>
      </c>
      <c r="MH1" s="8">
        <v>18.3</v>
      </c>
      <c r="MI1" s="8">
        <v>18.309999999999999</v>
      </c>
      <c r="MJ1" s="8" t="s">
        <v>1488</v>
      </c>
      <c r="MK1" s="6">
        <v>18.38</v>
      </c>
      <c r="ML1" s="6">
        <v>18.41</v>
      </c>
      <c r="MM1" s="6">
        <v>18.43</v>
      </c>
      <c r="MN1" s="6">
        <v>18.440000000000001</v>
      </c>
      <c r="MO1" s="6">
        <v>18.45</v>
      </c>
      <c r="MP1" s="6">
        <v>18.46</v>
      </c>
      <c r="MQ1" s="6">
        <v>18.47</v>
      </c>
      <c r="MR1" s="6">
        <v>18.53</v>
      </c>
      <c r="MS1" s="8">
        <v>18.72</v>
      </c>
      <c r="MT1" s="8">
        <v>18.73</v>
      </c>
      <c r="MU1" s="8">
        <v>18.739999999999998</v>
      </c>
      <c r="MV1" s="15" t="s">
        <v>1504</v>
      </c>
      <c r="MW1" s="8">
        <v>18.84</v>
      </c>
      <c r="MX1" s="8">
        <v>18.850000000000001</v>
      </c>
      <c r="MY1" s="8" t="s">
        <v>1435</v>
      </c>
      <c r="MZ1" s="6">
        <v>18.91</v>
      </c>
      <c r="NA1" s="6">
        <v>19.21</v>
      </c>
      <c r="NB1" s="6">
        <v>19.41</v>
      </c>
      <c r="NC1" s="6">
        <v>19.559999999999999</v>
      </c>
      <c r="ND1" s="6">
        <v>19.57</v>
      </c>
      <c r="NE1" s="6">
        <v>19.63</v>
      </c>
      <c r="NF1" s="8">
        <v>20.22</v>
      </c>
      <c r="NG1" s="8">
        <v>20.23</v>
      </c>
      <c r="NH1" s="8">
        <v>20.239999999999998</v>
      </c>
      <c r="NI1" s="8" t="s">
        <v>1489</v>
      </c>
      <c r="NJ1" s="6">
        <v>20.57</v>
      </c>
      <c r="NK1" s="6">
        <v>20.62</v>
      </c>
      <c r="NL1" s="6">
        <v>20.65</v>
      </c>
      <c r="NM1" s="6">
        <v>20.66</v>
      </c>
      <c r="NN1" s="6">
        <v>20.88</v>
      </c>
      <c r="NO1" s="6">
        <v>20.89</v>
      </c>
      <c r="NP1" s="8">
        <v>20.96</v>
      </c>
      <c r="NQ1" s="8">
        <v>20.97</v>
      </c>
      <c r="NR1" s="8" t="s">
        <v>1490</v>
      </c>
      <c r="NS1" s="6">
        <v>21.17</v>
      </c>
      <c r="NT1" s="6">
        <v>21.18</v>
      </c>
      <c r="NU1" s="6">
        <v>21.32</v>
      </c>
      <c r="NV1" s="6">
        <v>21.4</v>
      </c>
      <c r="NW1" s="6">
        <v>21.41</v>
      </c>
      <c r="NX1" s="6">
        <v>21.69</v>
      </c>
      <c r="NY1" s="6">
        <v>21.7</v>
      </c>
      <c r="NZ1" s="6">
        <v>22.51</v>
      </c>
      <c r="OA1" s="6">
        <v>22.73</v>
      </c>
      <c r="OB1" s="6">
        <v>23.01</v>
      </c>
      <c r="OC1" s="8">
        <v>23.47</v>
      </c>
      <c r="OD1" s="8">
        <v>23.48</v>
      </c>
      <c r="OE1" s="8" t="s">
        <v>1491</v>
      </c>
      <c r="OF1" s="8">
        <v>23.66</v>
      </c>
      <c r="OG1" s="8">
        <v>23.67</v>
      </c>
      <c r="OH1" s="15" t="s">
        <v>1505</v>
      </c>
      <c r="OI1" s="6">
        <v>23.77</v>
      </c>
      <c r="OJ1" s="6">
        <v>23.85</v>
      </c>
      <c r="OK1" s="8">
        <v>23.92</v>
      </c>
      <c r="OL1" s="8">
        <v>23.93</v>
      </c>
      <c r="OM1" s="8" t="s">
        <v>1495</v>
      </c>
      <c r="ON1" s="6">
        <v>24.04</v>
      </c>
      <c r="OO1" s="6">
        <v>24.26</v>
      </c>
      <c r="OP1" s="6">
        <v>24.35</v>
      </c>
      <c r="OQ1" s="6">
        <v>24.36</v>
      </c>
      <c r="OR1" s="6">
        <v>25.37</v>
      </c>
      <c r="OS1" s="6">
        <v>25.38</v>
      </c>
      <c r="OT1" s="6">
        <v>25.45</v>
      </c>
      <c r="OU1" s="6">
        <v>25.67</v>
      </c>
      <c r="OV1" s="6">
        <v>25.76</v>
      </c>
      <c r="OW1" s="6">
        <v>25.85</v>
      </c>
      <c r="OX1" s="6">
        <v>25.91</v>
      </c>
      <c r="OY1" s="6">
        <v>25.92</v>
      </c>
      <c r="OZ1" s="6">
        <v>26.01</v>
      </c>
      <c r="PA1" s="6">
        <v>26.02</v>
      </c>
      <c r="PB1" s="6">
        <v>26.12</v>
      </c>
      <c r="PC1" s="6">
        <v>26.28</v>
      </c>
      <c r="PD1" s="6">
        <v>26.29</v>
      </c>
      <c r="PE1" s="6">
        <v>26.52</v>
      </c>
      <c r="PF1" s="6">
        <v>26.56</v>
      </c>
      <c r="PG1" s="6">
        <v>27.12</v>
      </c>
      <c r="PH1" s="6">
        <v>27.25</v>
      </c>
      <c r="PI1" s="8" t="s">
        <v>1496</v>
      </c>
      <c r="PJ1" s="6">
        <v>27.51</v>
      </c>
      <c r="PK1" s="6">
        <v>27.66</v>
      </c>
      <c r="PL1" s="6">
        <v>27.67</v>
      </c>
      <c r="PM1" s="6">
        <v>27.97</v>
      </c>
      <c r="PN1" s="6">
        <v>28.18</v>
      </c>
      <c r="PO1" s="8">
        <v>28.48</v>
      </c>
      <c r="PP1" s="8">
        <v>28.49</v>
      </c>
      <c r="PQ1" s="15" t="s">
        <v>1497</v>
      </c>
      <c r="PR1" s="6">
        <v>28.53</v>
      </c>
      <c r="PS1" s="6">
        <v>28.55</v>
      </c>
      <c r="PT1" s="6">
        <v>28.59</v>
      </c>
      <c r="PU1" s="6">
        <v>28.6</v>
      </c>
      <c r="PV1" s="6">
        <v>28.62</v>
      </c>
      <c r="PW1" s="6">
        <v>28.64</v>
      </c>
      <c r="PX1" s="6">
        <v>28.65</v>
      </c>
      <c r="PY1" s="15" t="s">
        <v>1498</v>
      </c>
      <c r="PZ1" s="8" t="s">
        <v>1499</v>
      </c>
      <c r="QA1" s="6">
        <v>28.95</v>
      </c>
      <c r="QB1" s="8" t="s">
        <v>1500</v>
      </c>
      <c r="QC1" s="6">
        <v>29.16</v>
      </c>
      <c r="QD1" s="6">
        <v>29.19</v>
      </c>
      <c r="QE1" s="6">
        <v>29.21</v>
      </c>
      <c r="QF1" s="6">
        <v>29.23</v>
      </c>
      <c r="QG1" s="6">
        <v>29.28</v>
      </c>
      <c r="QH1" s="6">
        <v>29.29</v>
      </c>
      <c r="QI1" s="6">
        <v>29.31</v>
      </c>
      <c r="QJ1" s="6">
        <v>29.41</v>
      </c>
      <c r="QK1" s="6">
        <v>29.42</v>
      </c>
      <c r="QL1" s="6">
        <v>29.43</v>
      </c>
      <c r="QM1" s="6">
        <v>29.46</v>
      </c>
      <c r="QN1" s="6">
        <v>29.47</v>
      </c>
      <c r="QO1" s="6">
        <v>29.53</v>
      </c>
      <c r="QP1" s="6">
        <v>29.54</v>
      </c>
      <c r="QQ1" s="6">
        <v>29.62</v>
      </c>
      <c r="QR1" s="6">
        <v>29.67</v>
      </c>
      <c r="QS1" s="6">
        <v>29.68</v>
      </c>
      <c r="QT1" s="8">
        <v>29.74</v>
      </c>
      <c r="QU1" s="8">
        <v>29.75</v>
      </c>
      <c r="QV1" s="8" t="s">
        <v>1501</v>
      </c>
      <c r="QW1" s="6">
        <v>29.82</v>
      </c>
      <c r="QX1" s="6">
        <v>29.83</v>
      </c>
      <c r="QY1" s="6">
        <v>29.84</v>
      </c>
      <c r="QZ1" s="6">
        <v>29.87</v>
      </c>
      <c r="RA1" s="6">
        <v>29.88</v>
      </c>
      <c r="RB1" s="6">
        <v>29.89</v>
      </c>
      <c r="RC1" s="6">
        <v>29.9</v>
      </c>
      <c r="RD1" s="6">
        <v>29.91</v>
      </c>
      <c r="RE1" s="6">
        <v>29.92</v>
      </c>
      <c r="RF1" s="6">
        <v>29.93</v>
      </c>
      <c r="RG1" s="6">
        <v>29.94</v>
      </c>
      <c r="RH1" s="6">
        <v>29.98</v>
      </c>
      <c r="RI1" s="6">
        <v>30.01</v>
      </c>
      <c r="RJ1" s="6">
        <v>30.02</v>
      </c>
      <c r="RK1" s="6">
        <v>30.11</v>
      </c>
      <c r="RL1" s="6">
        <v>30.17</v>
      </c>
      <c r="RM1" s="6">
        <v>30.18</v>
      </c>
      <c r="RN1" s="6">
        <v>30.23</v>
      </c>
      <c r="RO1" s="6">
        <v>30.24</v>
      </c>
      <c r="RP1" s="6">
        <v>30.25</v>
      </c>
      <c r="RQ1" s="6">
        <v>30.26</v>
      </c>
      <c r="RR1" s="6">
        <v>30.45</v>
      </c>
      <c r="RS1" s="6">
        <v>30.46</v>
      </c>
      <c r="RT1" s="6">
        <v>30.47</v>
      </c>
      <c r="RU1" s="6">
        <v>30.81</v>
      </c>
      <c r="RV1" s="6">
        <v>30.82</v>
      </c>
      <c r="RW1" s="6">
        <v>30.96</v>
      </c>
      <c r="RX1" s="6">
        <v>30.97</v>
      </c>
      <c r="RY1" s="6">
        <v>31.01</v>
      </c>
      <c r="RZ1" s="6">
        <v>31.02</v>
      </c>
      <c r="SA1" s="6">
        <v>31.12</v>
      </c>
      <c r="SB1" s="6">
        <v>31.13</v>
      </c>
      <c r="SC1" s="6">
        <v>31.15</v>
      </c>
      <c r="SD1" s="6">
        <v>31.26</v>
      </c>
      <c r="SE1" s="6">
        <v>31.27</v>
      </c>
      <c r="SF1" s="6">
        <v>31.29</v>
      </c>
      <c r="SG1" s="6">
        <v>31.3</v>
      </c>
      <c r="SH1" s="6">
        <v>31.31</v>
      </c>
      <c r="SI1" s="6">
        <v>31.33</v>
      </c>
      <c r="SJ1" s="6">
        <v>31.36</v>
      </c>
      <c r="SK1" s="6">
        <v>31.37</v>
      </c>
      <c r="SL1" s="6">
        <v>31.4</v>
      </c>
      <c r="SM1" s="6">
        <v>31.43</v>
      </c>
      <c r="SN1" s="6">
        <v>31.48</v>
      </c>
      <c r="SO1" s="6">
        <v>31.5</v>
      </c>
      <c r="SP1" s="6">
        <v>31.51</v>
      </c>
      <c r="SQ1" s="6">
        <v>31.52</v>
      </c>
      <c r="SR1" s="6">
        <v>31.54</v>
      </c>
      <c r="SS1" s="6">
        <v>31.55</v>
      </c>
      <c r="ST1" s="6">
        <v>31.59</v>
      </c>
      <c r="SU1" s="6">
        <v>31.6</v>
      </c>
      <c r="SV1" s="6">
        <v>31.67</v>
      </c>
      <c r="SW1" s="6">
        <v>31.69</v>
      </c>
      <c r="SX1" s="6">
        <v>31.7</v>
      </c>
      <c r="SY1" s="6">
        <v>31.72</v>
      </c>
      <c r="SZ1" s="6">
        <v>31.73</v>
      </c>
      <c r="TA1" s="6">
        <v>31.74</v>
      </c>
      <c r="TB1" s="6">
        <v>31.76</v>
      </c>
      <c r="TC1" s="6">
        <v>31.77</v>
      </c>
      <c r="TD1" s="6">
        <v>31.78</v>
      </c>
      <c r="TE1" s="6">
        <v>31.8</v>
      </c>
      <c r="TF1" s="6">
        <v>31.81</v>
      </c>
      <c r="TG1" s="6">
        <v>31.82</v>
      </c>
      <c r="TH1" s="6">
        <v>31.83</v>
      </c>
      <c r="TI1" s="6">
        <v>31.84</v>
      </c>
      <c r="TJ1" s="6">
        <v>31.85</v>
      </c>
      <c r="TK1" s="6">
        <v>31.99</v>
      </c>
      <c r="TL1" s="6">
        <v>32.08</v>
      </c>
      <c r="TM1" s="6">
        <v>32.17</v>
      </c>
      <c r="TN1" s="6">
        <v>32.21</v>
      </c>
      <c r="TO1" s="6">
        <v>32.24</v>
      </c>
      <c r="TP1" s="6">
        <v>32.25</v>
      </c>
      <c r="TQ1" s="6">
        <v>32.28</v>
      </c>
      <c r="TR1" s="6">
        <v>32.35</v>
      </c>
      <c r="TS1" s="6">
        <v>32.36</v>
      </c>
      <c r="TT1" s="6">
        <v>32.54</v>
      </c>
      <c r="TU1" s="6">
        <v>32.549999999999997</v>
      </c>
      <c r="TV1" s="6">
        <v>32.6</v>
      </c>
      <c r="TW1" s="6">
        <v>32.729999999999997</v>
      </c>
      <c r="TX1" s="6">
        <v>32.74</v>
      </c>
      <c r="TY1" s="6">
        <v>32.83</v>
      </c>
      <c r="TZ1" s="6">
        <v>32.89</v>
      </c>
      <c r="UA1" s="6">
        <v>33.1</v>
      </c>
      <c r="UB1" s="6">
        <v>33.11</v>
      </c>
      <c r="UC1" s="6">
        <v>33.229999999999997</v>
      </c>
      <c r="UD1" s="6">
        <v>33.28</v>
      </c>
      <c r="UE1" s="6">
        <v>33.32</v>
      </c>
      <c r="UF1" s="6">
        <v>33.33</v>
      </c>
      <c r="UG1" s="6">
        <v>33.340000000000003</v>
      </c>
      <c r="UH1" s="6">
        <v>33.35</v>
      </c>
      <c r="UI1" s="6">
        <v>33.36</v>
      </c>
      <c r="UJ1" s="6">
        <v>33.47</v>
      </c>
      <c r="UK1" s="6">
        <v>33.479999999999997</v>
      </c>
      <c r="UL1" s="6">
        <v>33.53</v>
      </c>
      <c r="UM1" s="6">
        <v>33.69</v>
      </c>
      <c r="UN1" s="6">
        <v>33.71</v>
      </c>
    </row>
    <row r="2" spans="1:560" x14ac:dyDescent="0.25">
      <c r="A2" s="5" t="s">
        <v>1436</v>
      </c>
      <c r="B2" s="5" t="s">
        <v>1437</v>
      </c>
      <c r="C2" s="5">
        <v>13.5</v>
      </c>
      <c r="D2">
        <v>0</v>
      </c>
      <c r="E2">
        <v>0.67418768813837904</v>
      </c>
      <c r="F2">
        <v>0</v>
      </c>
      <c r="G2">
        <v>0</v>
      </c>
      <c r="H2">
        <v>0.24475741041514174</v>
      </c>
      <c r="I2">
        <v>0.53017001319251622</v>
      </c>
      <c r="J2">
        <v>0</v>
      </c>
      <c r="K2">
        <v>0</v>
      </c>
      <c r="L2">
        <v>0</v>
      </c>
      <c r="M2">
        <v>0.60747428805089709</v>
      </c>
      <c r="N2">
        <v>0</v>
      </c>
      <c r="O2">
        <v>0</v>
      </c>
      <c r="P2">
        <v>0</v>
      </c>
      <c r="Q2" s="10">
        <v>0</v>
      </c>
      <c r="R2" s="10">
        <v>0</v>
      </c>
      <c r="S2" s="10">
        <v>2.3833365472486086</v>
      </c>
      <c r="T2" s="10">
        <v>0</v>
      </c>
      <c r="U2" s="10">
        <f>SUM(Q2:T2)</f>
        <v>2.3833365472486086</v>
      </c>
      <c r="V2">
        <v>1.0196486827001334</v>
      </c>
      <c r="W2">
        <v>0</v>
      </c>
      <c r="X2">
        <v>0</v>
      </c>
      <c r="Y2">
        <v>0</v>
      </c>
      <c r="Z2">
        <v>0.30297127929960221</v>
      </c>
      <c r="AA2">
        <v>0</v>
      </c>
      <c r="AB2">
        <v>0</v>
      </c>
      <c r="AC2">
        <v>1.1410644671282502</v>
      </c>
      <c r="AD2">
        <v>0</v>
      </c>
      <c r="AE2">
        <v>0</v>
      </c>
      <c r="AF2">
        <v>0</v>
      </c>
      <c r="AG2">
        <v>0</v>
      </c>
      <c r="AH2">
        <v>0.54822352400418572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0.43949789866780081</v>
      </c>
      <c r="AR2">
        <v>0</v>
      </c>
      <c r="AS2">
        <v>0</v>
      </c>
      <c r="AT2">
        <v>0</v>
      </c>
      <c r="AU2">
        <v>0</v>
      </c>
      <c r="AV2">
        <v>0.36811032063005106</v>
      </c>
      <c r="AW2">
        <v>0</v>
      </c>
      <c r="AX2">
        <v>0</v>
      </c>
      <c r="AY2">
        <v>0.68689456460475407</v>
      </c>
      <c r="AZ2">
        <v>0</v>
      </c>
      <c r="BA2">
        <v>0</v>
      </c>
      <c r="BB2">
        <v>2.4440440215283008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 s="10">
        <v>2.1557332528893265</v>
      </c>
      <c r="BJ2" s="10">
        <v>0</v>
      </c>
      <c r="BK2" s="10">
        <v>0</v>
      </c>
      <c r="BL2" s="10">
        <f>SUM(BI2:BK2)</f>
        <v>2.1557332528893265</v>
      </c>
      <c r="BM2">
        <v>0</v>
      </c>
      <c r="BN2">
        <v>0.73627225615431346</v>
      </c>
      <c r="BO2">
        <v>0</v>
      </c>
      <c r="BP2">
        <v>0.58737540645161934</v>
      </c>
      <c r="BQ2">
        <v>0</v>
      </c>
      <c r="BR2">
        <v>0</v>
      </c>
      <c r="BS2">
        <v>0.44316380995989418</v>
      </c>
      <c r="BT2">
        <v>0</v>
      </c>
      <c r="BU2">
        <v>0.67761391407152416</v>
      </c>
      <c r="BV2">
        <v>0</v>
      </c>
      <c r="BW2">
        <v>0</v>
      </c>
      <c r="BX2">
        <v>0</v>
      </c>
      <c r="BY2">
        <v>0</v>
      </c>
      <c r="BZ2">
        <v>0</v>
      </c>
      <c r="CA2">
        <v>1.2558858741611327</v>
      </c>
      <c r="CB2">
        <v>0</v>
      </c>
      <c r="CC2">
        <v>0</v>
      </c>
      <c r="CD2">
        <v>0</v>
      </c>
      <c r="CE2">
        <v>0</v>
      </c>
      <c r="CF2">
        <v>0</v>
      </c>
      <c r="CG2">
        <v>0.22789981879201754</v>
      </c>
      <c r="CH2">
        <v>0.4185995086262071</v>
      </c>
      <c r="CI2">
        <v>0</v>
      </c>
      <c r="CJ2">
        <v>0</v>
      </c>
      <c r="CK2">
        <v>0</v>
      </c>
      <c r="CL2">
        <v>0</v>
      </c>
      <c r="CM2">
        <v>0.38900494926235002</v>
      </c>
      <c r="CN2">
        <v>0</v>
      </c>
      <c r="CO2">
        <v>0</v>
      </c>
      <c r="CP2">
        <v>0</v>
      </c>
      <c r="CQ2">
        <v>0.47207692733985357</v>
      </c>
      <c r="CR2">
        <v>0</v>
      </c>
      <c r="CS2">
        <v>0</v>
      </c>
      <c r="CT2">
        <v>0</v>
      </c>
      <c r="CU2" s="10">
        <v>0.91127851054210185</v>
      </c>
      <c r="CV2" s="10">
        <v>0</v>
      </c>
      <c r="CW2" s="10">
        <v>0</v>
      </c>
      <c r="CX2" s="16">
        <f>SUM(CU2:CW2)</f>
        <v>0.91127851054210185</v>
      </c>
      <c r="CY2" s="10">
        <v>0</v>
      </c>
      <c r="CZ2" s="10">
        <v>1.3115246404489751</v>
      </c>
      <c r="DA2" s="10">
        <v>0</v>
      </c>
      <c r="DB2" s="16">
        <f>SUM(CY2:DA2)</f>
        <v>1.3115246404489751</v>
      </c>
      <c r="DC2">
        <v>0</v>
      </c>
      <c r="DD2">
        <v>0</v>
      </c>
      <c r="DE2">
        <v>0.36488762873318831</v>
      </c>
      <c r="DF2">
        <v>0.28304291492168621</v>
      </c>
      <c r="DG2">
        <v>0</v>
      </c>
      <c r="DH2">
        <v>0</v>
      </c>
      <c r="DI2" s="10">
        <v>4.8388407470292591</v>
      </c>
      <c r="DJ2" s="10">
        <v>0</v>
      </c>
      <c r="DK2" s="10">
        <v>0</v>
      </c>
      <c r="DL2" s="16">
        <f>SUM(DI2:DK2)</f>
        <v>4.8388407470292591</v>
      </c>
      <c r="DM2" s="10">
        <v>8.8071217019022949</v>
      </c>
      <c r="DN2" s="10">
        <v>0</v>
      </c>
      <c r="DO2" s="10">
        <v>0</v>
      </c>
      <c r="DP2" s="16">
        <f>SUM(DM2:DO2)</f>
        <v>8.8071217019022949</v>
      </c>
      <c r="DQ2">
        <v>0</v>
      </c>
      <c r="DR2">
        <v>0.2890592890886281</v>
      </c>
      <c r="DS2">
        <v>0</v>
      </c>
      <c r="DT2">
        <v>0</v>
      </c>
      <c r="DU2">
        <v>0</v>
      </c>
      <c r="DV2">
        <v>0.55149845769680883</v>
      </c>
      <c r="DW2">
        <v>0</v>
      </c>
      <c r="DX2" s="10">
        <v>2.6237825467432425</v>
      </c>
      <c r="DY2" s="10">
        <v>0</v>
      </c>
      <c r="DZ2" s="16">
        <f>SUM(DX2:DY2)</f>
        <v>2.6237825467432425</v>
      </c>
      <c r="EA2">
        <v>0</v>
      </c>
      <c r="EB2">
        <v>0.34153993433916763</v>
      </c>
      <c r="EC2">
        <v>0</v>
      </c>
      <c r="ED2">
        <v>0</v>
      </c>
      <c r="EE2">
        <v>1.4371567557293159</v>
      </c>
      <c r="EF2">
        <v>0</v>
      </c>
      <c r="EG2">
        <v>0</v>
      </c>
      <c r="EH2">
        <v>0.6250605482412861</v>
      </c>
      <c r="EI2">
        <v>0</v>
      </c>
      <c r="EJ2">
        <v>0</v>
      </c>
      <c r="EK2">
        <v>2.7401325487200721</v>
      </c>
      <c r="EL2">
        <v>0</v>
      </c>
      <c r="EM2">
        <v>0</v>
      </c>
      <c r="EN2">
        <v>0</v>
      </c>
      <c r="EO2">
        <v>0</v>
      </c>
      <c r="EP2">
        <v>0</v>
      </c>
      <c r="EQ2">
        <v>1.8335480680106266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1.8319223033265655</v>
      </c>
      <c r="EY2">
        <v>0</v>
      </c>
      <c r="EZ2">
        <v>0</v>
      </c>
      <c r="FA2">
        <v>0</v>
      </c>
      <c r="FB2">
        <v>0</v>
      </c>
      <c r="FC2">
        <v>0</v>
      </c>
      <c r="FD2">
        <v>0.49632694203024658</v>
      </c>
      <c r="FE2">
        <v>0</v>
      </c>
      <c r="FF2">
        <v>0</v>
      </c>
      <c r="FG2">
        <v>0</v>
      </c>
      <c r="FH2">
        <v>0</v>
      </c>
      <c r="FI2">
        <v>0.72827361928904177</v>
      </c>
      <c r="FJ2">
        <v>0</v>
      </c>
      <c r="FK2">
        <v>0</v>
      </c>
      <c r="FL2">
        <v>0.94082438055231021</v>
      </c>
      <c r="FM2">
        <v>0</v>
      </c>
      <c r="FN2">
        <v>0</v>
      </c>
      <c r="FO2">
        <v>0.24436998525778317</v>
      </c>
      <c r="FP2">
        <v>0</v>
      </c>
      <c r="FQ2">
        <v>0</v>
      </c>
      <c r="FR2">
        <v>0.66500859565610715</v>
      </c>
      <c r="FS2">
        <v>0</v>
      </c>
      <c r="FT2">
        <v>0</v>
      </c>
      <c r="FU2">
        <v>0.36521925965267482</v>
      </c>
      <c r="FV2">
        <v>0</v>
      </c>
      <c r="FW2">
        <v>0</v>
      </c>
      <c r="FX2">
        <v>0</v>
      </c>
      <c r="FY2">
        <v>0.61008428816708282</v>
      </c>
      <c r="FZ2">
        <v>0</v>
      </c>
      <c r="GA2">
        <v>1.1723107031068656</v>
      </c>
      <c r="GB2">
        <v>0</v>
      </c>
      <c r="GC2">
        <v>0</v>
      </c>
      <c r="GD2">
        <v>0.70772545824622535</v>
      </c>
      <c r="GE2">
        <v>0</v>
      </c>
      <c r="GF2">
        <v>0</v>
      </c>
      <c r="GG2">
        <v>0.23080801507840323</v>
      </c>
      <c r="GH2">
        <v>0</v>
      </c>
      <c r="GI2">
        <v>0.36688431016714784</v>
      </c>
      <c r="GJ2">
        <v>0</v>
      </c>
      <c r="GK2">
        <v>0.49167804910912694</v>
      </c>
      <c r="GL2">
        <v>0</v>
      </c>
      <c r="GM2">
        <v>0</v>
      </c>
      <c r="GN2">
        <v>0</v>
      </c>
      <c r="GO2">
        <v>0.58726507177897358</v>
      </c>
      <c r="GP2">
        <v>0</v>
      </c>
      <c r="GQ2">
        <v>0</v>
      </c>
      <c r="GR2">
        <v>0</v>
      </c>
      <c r="GS2" s="10">
        <v>0</v>
      </c>
      <c r="GT2" s="10">
        <v>0.84001213347051606</v>
      </c>
      <c r="GU2" s="10">
        <v>0</v>
      </c>
      <c r="GV2" s="10">
        <f>SUM(GS2:GU2)</f>
        <v>0.84001213347051606</v>
      </c>
      <c r="GW2" s="10">
        <v>18.808427537829122</v>
      </c>
      <c r="GX2" s="10">
        <v>0</v>
      </c>
      <c r="GY2" s="16">
        <f>SUM(GW2:GX2)</f>
        <v>18.808427537829122</v>
      </c>
      <c r="GZ2">
        <v>0</v>
      </c>
      <c r="HA2">
        <v>0</v>
      </c>
      <c r="HB2">
        <v>0</v>
      </c>
      <c r="HC2">
        <v>0</v>
      </c>
      <c r="HD2">
        <v>0</v>
      </c>
      <c r="HE2" s="10">
        <v>6.1202847704466237</v>
      </c>
      <c r="HF2" s="10">
        <v>0</v>
      </c>
      <c r="HG2" s="10">
        <f>SUM(HE2:HF2)</f>
        <v>6.1202847704466237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0.27886189952339602</v>
      </c>
      <c r="HQ2">
        <v>0</v>
      </c>
      <c r="HR2">
        <v>0</v>
      </c>
      <c r="HS2">
        <v>0.62977819136562652</v>
      </c>
      <c r="HT2">
        <v>0</v>
      </c>
      <c r="HU2">
        <v>0</v>
      </c>
      <c r="HV2">
        <v>0</v>
      </c>
      <c r="HW2">
        <v>0.23598078872740741</v>
      </c>
      <c r="HX2">
        <v>0.2539078743933369</v>
      </c>
      <c r="HY2">
        <v>0</v>
      </c>
      <c r="HZ2">
        <v>0</v>
      </c>
      <c r="IA2">
        <v>0.28374964193473184</v>
      </c>
      <c r="IB2">
        <v>0</v>
      </c>
      <c r="IC2">
        <v>0</v>
      </c>
      <c r="ID2">
        <v>0.22951074680608288</v>
      </c>
      <c r="IE2">
        <v>0</v>
      </c>
      <c r="IF2">
        <v>0</v>
      </c>
      <c r="IG2">
        <v>0</v>
      </c>
      <c r="IH2">
        <v>0</v>
      </c>
      <c r="II2">
        <v>0.31541694678717558</v>
      </c>
      <c r="IJ2">
        <v>0.69862242981858047</v>
      </c>
      <c r="IK2">
        <v>0</v>
      </c>
      <c r="IL2">
        <v>0</v>
      </c>
      <c r="IM2">
        <v>0</v>
      </c>
      <c r="IN2">
        <v>0.95360418656556667</v>
      </c>
      <c r="IO2">
        <v>0</v>
      </c>
      <c r="IP2">
        <v>0</v>
      </c>
      <c r="IQ2">
        <v>0</v>
      </c>
      <c r="IR2">
        <v>0</v>
      </c>
      <c r="IS2">
        <v>0</v>
      </c>
      <c r="IT2">
        <v>0.28374901503318273</v>
      </c>
      <c r="IU2">
        <v>0</v>
      </c>
      <c r="IV2">
        <v>0.41148877332167799</v>
      </c>
      <c r="IW2">
        <v>0</v>
      </c>
      <c r="IX2">
        <v>0</v>
      </c>
      <c r="IY2">
        <v>0</v>
      </c>
      <c r="IZ2">
        <v>0</v>
      </c>
      <c r="JA2">
        <v>0</v>
      </c>
      <c r="JB2">
        <v>0.34964995071300026</v>
      </c>
      <c r="JC2">
        <v>0</v>
      </c>
      <c r="JD2">
        <v>0.76547228547658852</v>
      </c>
      <c r="JE2">
        <v>0</v>
      </c>
      <c r="JF2">
        <v>0</v>
      </c>
      <c r="JG2">
        <v>0</v>
      </c>
      <c r="JH2">
        <v>0</v>
      </c>
      <c r="JI2">
        <v>0</v>
      </c>
      <c r="JJ2">
        <v>1.3994116403581163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0.24312349601094188</v>
      </c>
      <c r="JR2">
        <v>0</v>
      </c>
      <c r="JS2">
        <v>0</v>
      </c>
      <c r="JT2" s="10">
        <v>0</v>
      </c>
      <c r="JU2" s="10">
        <v>2.4539862621630393</v>
      </c>
      <c r="JV2" s="16">
        <f>SUM(JT2:JU2)</f>
        <v>2.4539862621630393</v>
      </c>
      <c r="JW2">
        <v>0</v>
      </c>
      <c r="JX2">
        <v>0</v>
      </c>
      <c r="JY2">
        <v>0</v>
      </c>
      <c r="JZ2">
        <v>0</v>
      </c>
      <c r="KA2">
        <v>0.327190157879722</v>
      </c>
      <c r="KB2" s="10">
        <v>0.76953147300716562</v>
      </c>
      <c r="KC2" s="10">
        <v>0</v>
      </c>
      <c r="KD2" s="10">
        <f>SUM(KB2:KC2)</f>
        <v>0.76953147300716562</v>
      </c>
      <c r="KE2" s="10">
        <v>0.26760232976676501</v>
      </c>
      <c r="KF2" s="10">
        <v>0</v>
      </c>
      <c r="KG2" s="10">
        <f>SUM(KE2:KF2)</f>
        <v>0.26760232976676501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32.306288048222271</v>
      </c>
      <c r="KV2">
        <v>0</v>
      </c>
      <c r="KW2">
        <v>0</v>
      </c>
      <c r="KX2">
        <v>0</v>
      </c>
      <c r="KY2">
        <v>0.22052578483685639</v>
      </c>
      <c r="KZ2">
        <v>0</v>
      </c>
      <c r="LA2">
        <v>0.36460447820016734</v>
      </c>
      <c r="LB2">
        <v>0</v>
      </c>
      <c r="LC2">
        <v>0</v>
      </c>
      <c r="LD2" s="10">
        <v>0</v>
      </c>
      <c r="LE2" s="10">
        <v>3.0045305757020819</v>
      </c>
      <c r="LF2" s="10">
        <v>0</v>
      </c>
      <c r="LG2" s="10">
        <v>0</v>
      </c>
      <c r="LH2" s="10">
        <v>0</v>
      </c>
      <c r="LI2" s="10">
        <f>SUM(LD2:LH2)</f>
        <v>3.0045305757020819</v>
      </c>
      <c r="LJ2">
        <v>0</v>
      </c>
      <c r="LK2">
        <v>0.47913103253777856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0.781592640877943</v>
      </c>
      <c r="LT2">
        <v>0</v>
      </c>
      <c r="LU2">
        <v>0</v>
      </c>
      <c r="LV2">
        <v>0.57432874934561928</v>
      </c>
      <c r="LW2">
        <v>0</v>
      </c>
      <c r="LX2">
        <v>0.26959399598833161</v>
      </c>
      <c r="LY2">
        <v>0</v>
      </c>
      <c r="LZ2">
        <v>0</v>
      </c>
      <c r="MA2">
        <v>0</v>
      </c>
      <c r="MB2">
        <v>0</v>
      </c>
      <c r="MC2">
        <v>0</v>
      </c>
      <c r="MD2">
        <v>1.1783435856812676</v>
      </c>
      <c r="ME2">
        <v>0</v>
      </c>
      <c r="MF2">
        <v>0</v>
      </c>
      <c r="MG2">
        <v>0</v>
      </c>
      <c r="MH2" s="10">
        <v>0</v>
      </c>
      <c r="MI2" s="10">
        <v>0.51758329285639004</v>
      </c>
      <c r="MJ2" s="10">
        <f>SUM(MH2:MI2)</f>
        <v>0.51758329285639004</v>
      </c>
      <c r="MK2">
        <v>0</v>
      </c>
      <c r="ML2">
        <v>0</v>
      </c>
      <c r="MM2">
        <v>0</v>
      </c>
      <c r="MN2">
        <v>0</v>
      </c>
      <c r="MO2">
        <v>0.31474929663735862</v>
      </c>
      <c r="MP2">
        <v>0</v>
      </c>
      <c r="MQ2">
        <v>0</v>
      </c>
      <c r="MR2">
        <v>0</v>
      </c>
      <c r="MS2" s="10">
        <v>0</v>
      </c>
      <c r="MT2" s="10">
        <v>0</v>
      </c>
      <c r="MU2" s="10">
        <v>0.67105840457233568</v>
      </c>
      <c r="MV2" s="16">
        <f>SUM(MS2:MU2)</f>
        <v>0.67105840457233568</v>
      </c>
      <c r="MW2">
        <v>1.1111111111111112</v>
      </c>
      <c r="MX2">
        <v>0</v>
      </c>
      <c r="MY2">
        <v>1.1111111111111112</v>
      </c>
      <c r="MZ2">
        <v>0</v>
      </c>
      <c r="NA2">
        <v>0</v>
      </c>
      <c r="NB2">
        <v>0</v>
      </c>
      <c r="NC2">
        <v>0</v>
      </c>
      <c r="ND2">
        <v>0</v>
      </c>
      <c r="NE2">
        <v>0.28613688303379559</v>
      </c>
      <c r="NF2" s="10">
        <v>0.73861394240747413</v>
      </c>
      <c r="NG2" s="10">
        <v>0</v>
      </c>
      <c r="NH2" s="10">
        <v>0</v>
      </c>
      <c r="NI2" s="10">
        <f>SUM(NF2:NH2)</f>
        <v>0.73861394240747413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 s="10">
        <v>0.3320264943640297</v>
      </c>
      <c r="NQ2" s="10">
        <v>0</v>
      </c>
      <c r="NR2" s="10">
        <f>SUM(NP2:NQ2)</f>
        <v>0.3320264943640297</v>
      </c>
      <c r="NS2">
        <v>0</v>
      </c>
      <c r="NT2">
        <v>0</v>
      </c>
      <c r="NU2">
        <v>0</v>
      </c>
      <c r="NV2">
        <v>0.32352424658762857</v>
      </c>
      <c r="NW2">
        <v>0</v>
      </c>
      <c r="NX2">
        <v>0</v>
      </c>
      <c r="NY2">
        <v>0</v>
      </c>
      <c r="NZ2">
        <v>0.25079614407066902</v>
      </c>
      <c r="OA2">
        <v>0.26677941699994845</v>
      </c>
      <c r="OB2">
        <v>0.23052611834848052</v>
      </c>
      <c r="OC2" s="10">
        <v>0</v>
      </c>
      <c r="OD2" s="10">
        <v>0.56139347174818022</v>
      </c>
      <c r="OE2" s="10">
        <f>SUM(OC2:OD2)</f>
        <v>0.56139347174818022</v>
      </c>
      <c r="OF2" s="10">
        <v>0</v>
      </c>
      <c r="OG2" s="10">
        <v>0.32220858920320061</v>
      </c>
      <c r="OH2" s="16">
        <f>SUM(OF2:OG2)</f>
        <v>0.32220858920320061</v>
      </c>
      <c r="OI2">
        <v>0</v>
      </c>
      <c r="OJ2">
        <v>0</v>
      </c>
      <c r="OK2" s="10">
        <v>0</v>
      </c>
      <c r="OL2" s="10">
        <v>0.22738513262018684</v>
      </c>
      <c r="OM2" s="10">
        <f>SUM(OK2:OL2)</f>
        <v>0.22738513262018684</v>
      </c>
      <c r="ON2">
        <v>0.66868161183242403</v>
      </c>
      <c r="OO2">
        <v>0.43263750604855516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0.31130112914999419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 s="10">
        <v>0.21162294697056513</v>
      </c>
      <c r="PJ2">
        <v>0.44613887574485311</v>
      </c>
      <c r="PK2">
        <v>0</v>
      </c>
      <c r="PL2">
        <v>0</v>
      </c>
      <c r="PM2">
        <v>0</v>
      </c>
      <c r="PN2">
        <v>0</v>
      </c>
      <c r="PO2" s="10">
        <v>16.748219871257827</v>
      </c>
      <c r="PP2" s="10">
        <v>0</v>
      </c>
      <c r="PQ2" s="16">
        <f>SUM(PO2:PP2)</f>
        <v>16.748219871257827</v>
      </c>
      <c r="PR2">
        <v>0</v>
      </c>
      <c r="PS2">
        <v>0</v>
      </c>
      <c r="PT2">
        <v>0.63460575122824636</v>
      </c>
      <c r="PU2">
        <v>0</v>
      </c>
      <c r="PV2">
        <v>0</v>
      </c>
      <c r="PW2">
        <v>0.56135752939269701</v>
      </c>
      <c r="PX2">
        <v>0</v>
      </c>
      <c r="PY2" s="16">
        <v>1.4145903896326868</v>
      </c>
      <c r="PZ2" s="10">
        <v>5.1485744133392606</v>
      </c>
      <c r="QA2">
        <v>0</v>
      </c>
      <c r="QB2" s="10">
        <v>41.730455988961857</v>
      </c>
      <c r="QC2">
        <v>0</v>
      </c>
      <c r="QD2">
        <v>0.30133109587991108</v>
      </c>
      <c r="QE2">
        <v>0</v>
      </c>
      <c r="QF2">
        <v>0.60806859071946651</v>
      </c>
      <c r="QG2">
        <v>0.35839397352018004</v>
      </c>
      <c r="QH2">
        <v>0</v>
      </c>
      <c r="QI2">
        <v>0</v>
      </c>
      <c r="QJ2">
        <v>0</v>
      </c>
      <c r="QK2">
        <v>0</v>
      </c>
      <c r="QL2">
        <v>0.402516558350617</v>
      </c>
      <c r="QM2">
        <v>0.54861826301295069</v>
      </c>
      <c r="QN2">
        <v>0</v>
      </c>
      <c r="QO2">
        <v>0</v>
      </c>
      <c r="QP2">
        <v>0.44816376774852318</v>
      </c>
      <c r="QQ2">
        <v>0.24614140006842419</v>
      </c>
      <c r="QR2">
        <v>0.27217411379734247</v>
      </c>
      <c r="QS2">
        <v>0</v>
      </c>
      <c r="QT2" s="10">
        <v>7.7972357570266677</v>
      </c>
      <c r="QU2" s="10">
        <v>0</v>
      </c>
      <c r="QV2" s="10">
        <f>SUM(QT2:QU2)</f>
        <v>7.7972357570266677</v>
      </c>
      <c r="QW2">
        <v>0</v>
      </c>
      <c r="QX2">
        <v>0</v>
      </c>
      <c r="QY2">
        <v>0.45281349653837499</v>
      </c>
      <c r="QZ2">
        <v>0</v>
      </c>
      <c r="RA2">
        <v>0</v>
      </c>
      <c r="RB2">
        <v>0.82472764680132682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0.63995322144227318</v>
      </c>
      <c r="RJ2">
        <v>0</v>
      </c>
      <c r="RK2">
        <v>0.22444329261733154</v>
      </c>
      <c r="RL2">
        <v>0</v>
      </c>
      <c r="RM2">
        <v>0.36473529165675117</v>
      </c>
      <c r="RN2">
        <v>0</v>
      </c>
      <c r="RO2">
        <v>0</v>
      </c>
      <c r="RP2">
        <v>0.49969005987411313</v>
      </c>
      <c r="RQ2">
        <v>0</v>
      </c>
      <c r="RR2">
        <v>0</v>
      </c>
      <c r="RS2">
        <v>0</v>
      </c>
      <c r="RT2">
        <v>0</v>
      </c>
      <c r="RU2">
        <v>0</v>
      </c>
      <c r="RV2">
        <v>0.27215635158678397</v>
      </c>
      <c r="RW2">
        <v>0.325029228239892</v>
      </c>
      <c r="RX2">
        <v>0</v>
      </c>
      <c r="RY2">
        <v>0.25174506404885955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0.24158737824840529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2.0902193244325016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1.1794527834888509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3.0427090890109092</v>
      </c>
      <c r="TL2">
        <v>0</v>
      </c>
      <c r="TM2">
        <v>0</v>
      </c>
      <c r="TN2">
        <v>0</v>
      </c>
      <c r="TO2">
        <v>0.95865513234685773</v>
      </c>
      <c r="TP2">
        <v>0</v>
      </c>
      <c r="TQ2">
        <v>0</v>
      </c>
      <c r="TR2">
        <v>0</v>
      </c>
      <c r="TS2">
        <v>0.23327361887110745</v>
      </c>
      <c r="TT2">
        <v>0</v>
      </c>
      <c r="TU2">
        <v>0</v>
      </c>
      <c r="TV2">
        <v>0</v>
      </c>
      <c r="TW2">
        <v>1.6481339941042834</v>
      </c>
      <c r="TX2">
        <v>0</v>
      </c>
      <c r="TY2">
        <v>0</v>
      </c>
      <c r="TZ2">
        <v>0</v>
      </c>
      <c r="UA2">
        <v>13.592393502591737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</row>
    <row r="3" spans="1:560" x14ac:dyDescent="0.25">
      <c r="A3" s="5" t="s">
        <v>1436</v>
      </c>
      <c r="B3" s="5" t="s">
        <v>1438</v>
      </c>
      <c r="C3" s="5">
        <v>12.24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0">
        <v>0</v>
      </c>
      <c r="R3" s="10">
        <v>2.7856355280143172</v>
      </c>
      <c r="S3" s="10">
        <v>0</v>
      </c>
      <c r="T3" s="10">
        <v>0</v>
      </c>
      <c r="U3" s="10">
        <f t="shared" ref="U3:U21" si="0">SUM(Q3:T3)</f>
        <v>2.7856355280143172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4.6645442352988455</v>
      </c>
      <c r="AC3">
        <v>0</v>
      </c>
      <c r="AD3">
        <v>0</v>
      </c>
      <c r="AE3">
        <v>0</v>
      </c>
      <c r="AF3">
        <v>0</v>
      </c>
      <c r="AG3">
        <v>0</v>
      </c>
      <c r="AH3">
        <v>0.61164202317836469</v>
      </c>
      <c r="AI3">
        <v>0</v>
      </c>
      <c r="AJ3">
        <v>0</v>
      </c>
      <c r="AK3">
        <v>0.8780151809027521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0.36124545954465681</v>
      </c>
      <c r="AS3">
        <v>0</v>
      </c>
      <c r="AT3">
        <v>0</v>
      </c>
      <c r="AU3">
        <v>0</v>
      </c>
      <c r="AV3">
        <v>0</v>
      </c>
      <c r="AW3">
        <v>0.29982523138311795</v>
      </c>
      <c r="AX3">
        <v>0</v>
      </c>
      <c r="AY3">
        <v>0</v>
      </c>
      <c r="AZ3">
        <v>0.35301040639250969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 s="10">
        <v>1.9855724003911726</v>
      </c>
      <c r="BJ3" s="10">
        <v>0</v>
      </c>
      <c r="BK3" s="10">
        <v>0</v>
      </c>
      <c r="BL3" s="10">
        <f t="shared" ref="BL3:BL21" si="1">SUM(BI3:BK3)</f>
        <v>1.9855724003911726</v>
      </c>
      <c r="BM3">
        <v>0</v>
      </c>
      <c r="BN3">
        <v>0</v>
      </c>
      <c r="BO3">
        <v>0</v>
      </c>
      <c r="BP3">
        <v>0.28833337889563909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0.25359164415526553</v>
      </c>
      <c r="BY3">
        <v>0</v>
      </c>
      <c r="BZ3">
        <v>0</v>
      </c>
      <c r="CA3">
        <v>0</v>
      </c>
      <c r="CB3">
        <v>0.9582815705505997</v>
      </c>
      <c r="CC3">
        <v>0</v>
      </c>
      <c r="CD3">
        <v>0</v>
      </c>
      <c r="CE3">
        <v>0</v>
      </c>
      <c r="CF3">
        <v>0</v>
      </c>
      <c r="CG3">
        <v>0</v>
      </c>
      <c r="CH3">
        <v>0.50025910463549383</v>
      </c>
      <c r="CI3">
        <v>0</v>
      </c>
      <c r="CJ3">
        <v>0</v>
      </c>
      <c r="CK3">
        <v>0.2618436163644704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 s="10">
        <v>0</v>
      </c>
      <c r="CV3" s="10">
        <v>0.2657836119897265</v>
      </c>
      <c r="CW3" s="10">
        <v>0</v>
      </c>
      <c r="CX3" s="16">
        <f t="shared" ref="CX3:CX21" si="2">SUM(CU3:CW3)</f>
        <v>0.2657836119897265</v>
      </c>
      <c r="CY3" s="10">
        <v>1.7393522225883729</v>
      </c>
      <c r="CZ3" s="10">
        <v>0</v>
      </c>
      <c r="DA3" s="10">
        <v>0</v>
      </c>
      <c r="DB3" s="16">
        <f t="shared" ref="DB3:DB21" si="3">SUM(CY3:DA3)</f>
        <v>1.7393522225883729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 s="10">
        <v>6.578622657978336</v>
      </c>
      <c r="DJ3" s="10">
        <v>0</v>
      </c>
      <c r="DK3" s="10">
        <v>0</v>
      </c>
      <c r="DL3" s="16">
        <f t="shared" ref="DL3:DL21" si="4">SUM(DI3:DK3)</f>
        <v>6.578622657978336</v>
      </c>
      <c r="DM3" s="10">
        <v>12.11747846876033</v>
      </c>
      <c r="DN3" s="10">
        <v>0</v>
      </c>
      <c r="DO3" s="10">
        <v>0</v>
      </c>
      <c r="DP3" s="16">
        <f t="shared" ref="DP3:DP21" si="5">SUM(DM3:DO3)</f>
        <v>12.11747846876033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 s="10">
        <v>0.50396533131745869</v>
      </c>
      <c r="DY3" s="10">
        <v>0</v>
      </c>
      <c r="DZ3" s="16">
        <f t="shared" ref="DZ3:DZ21" si="6">SUM(DX3:DY3)</f>
        <v>0.50396533131745869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0.24956204901657672</v>
      </c>
      <c r="ET3">
        <v>0</v>
      </c>
      <c r="EU3">
        <v>0</v>
      </c>
      <c r="EV3">
        <v>0</v>
      </c>
      <c r="EW3">
        <v>0</v>
      </c>
      <c r="EX3">
        <v>0.50394841226040088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0.6667814684262181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 s="10">
        <v>0</v>
      </c>
      <c r="GT3" s="10">
        <v>0</v>
      </c>
      <c r="GU3" s="10">
        <v>0.37685126415953502</v>
      </c>
      <c r="GV3" s="10">
        <f t="shared" ref="GV3:GV21" si="7">SUM(GS3:GU3)</f>
        <v>0.37685126415953502</v>
      </c>
      <c r="GW3" s="10">
        <v>11.961607723722075</v>
      </c>
      <c r="GX3" s="10">
        <v>0</v>
      </c>
      <c r="GY3" s="16">
        <f t="shared" ref="GY3:GY21" si="8">SUM(GW3:GX3)</f>
        <v>11.961607723722075</v>
      </c>
      <c r="GZ3">
        <v>0</v>
      </c>
      <c r="HA3">
        <v>0</v>
      </c>
      <c r="HB3">
        <v>0</v>
      </c>
      <c r="HC3">
        <v>0</v>
      </c>
      <c r="HD3">
        <v>0</v>
      </c>
      <c r="HE3" s="10">
        <v>0</v>
      </c>
      <c r="HF3" s="10">
        <v>2.3923310766075461</v>
      </c>
      <c r="HG3" s="10">
        <f t="shared" ref="HG3:HG21" si="9">SUM(HE3:HF3)</f>
        <v>2.3923310766075461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0.30783223470985255</v>
      </c>
      <c r="HQ3">
        <v>0</v>
      </c>
      <c r="HR3">
        <v>0</v>
      </c>
      <c r="HS3">
        <v>0.34559032753807489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0.88196542328087424</v>
      </c>
      <c r="IK3">
        <v>0</v>
      </c>
      <c r="IL3">
        <v>0</v>
      </c>
      <c r="IM3">
        <v>0</v>
      </c>
      <c r="IN3">
        <v>0.41687150640535481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1.0658567480691592</v>
      </c>
      <c r="JE3">
        <v>0</v>
      </c>
      <c r="JF3">
        <v>0</v>
      </c>
      <c r="JG3">
        <v>0</v>
      </c>
      <c r="JH3">
        <v>0.32546522831614566</v>
      </c>
      <c r="JI3">
        <v>0</v>
      </c>
      <c r="JJ3">
        <v>0</v>
      </c>
      <c r="JK3">
        <v>0.82784946183672681</v>
      </c>
      <c r="JL3">
        <v>0</v>
      </c>
      <c r="JM3">
        <v>0</v>
      </c>
      <c r="JN3">
        <v>0.52640309883158043</v>
      </c>
      <c r="JO3">
        <v>0</v>
      </c>
      <c r="JP3">
        <v>0</v>
      </c>
      <c r="JQ3">
        <v>0</v>
      </c>
      <c r="JR3">
        <v>0.24151620334758273</v>
      </c>
      <c r="JS3">
        <v>0</v>
      </c>
      <c r="JT3" s="10">
        <v>0</v>
      </c>
      <c r="JU3" s="10">
        <v>2.0750875568351641</v>
      </c>
      <c r="JV3" s="16">
        <f t="shared" ref="JV3:JV21" si="10">SUM(JT3:JU3)</f>
        <v>2.0750875568351641</v>
      </c>
      <c r="JW3">
        <v>0</v>
      </c>
      <c r="JX3">
        <v>0</v>
      </c>
      <c r="JY3">
        <v>0</v>
      </c>
      <c r="JZ3">
        <v>0</v>
      </c>
      <c r="KA3">
        <v>0</v>
      </c>
      <c r="KB3" s="10">
        <v>1.340364159493082</v>
      </c>
      <c r="KC3" s="10">
        <v>0</v>
      </c>
      <c r="KD3" s="10">
        <f t="shared" ref="KD3:KD21" si="11">SUM(KB3:KC3)</f>
        <v>1.340364159493082</v>
      </c>
      <c r="KE3" s="10">
        <v>1.2860134759193302</v>
      </c>
      <c r="KF3" s="10">
        <v>0</v>
      </c>
      <c r="KG3" s="10">
        <f t="shared" ref="KG3:KG21" si="12">SUM(KE3:KF3)</f>
        <v>1.2860134759193302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25.026451158485489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 s="10">
        <v>5.012180100664863</v>
      </c>
      <c r="LE3" s="10">
        <v>0</v>
      </c>
      <c r="LF3" s="10">
        <v>0</v>
      </c>
      <c r="LG3" s="10">
        <v>0</v>
      </c>
      <c r="LH3" s="10">
        <v>0</v>
      </c>
      <c r="LI3" s="10">
        <f t="shared" ref="LI3:LI21" si="13">SUM(LD3:LH3)</f>
        <v>5.012180100664863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0.41395427969406989</v>
      </c>
      <c r="LR3">
        <v>0</v>
      </c>
      <c r="LS3">
        <v>0</v>
      </c>
      <c r="LT3">
        <v>0</v>
      </c>
      <c r="LU3">
        <v>0.45838825116276338</v>
      </c>
      <c r="LV3">
        <v>0</v>
      </c>
      <c r="LW3">
        <v>0</v>
      </c>
      <c r="LX3">
        <v>0.26083538354177421</v>
      </c>
      <c r="LY3">
        <v>0</v>
      </c>
      <c r="LZ3">
        <v>0</v>
      </c>
      <c r="MA3">
        <v>0.26968023763773591</v>
      </c>
      <c r="MB3">
        <v>0</v>
      </c>
      <c r="MC3">
        <v>0.39592738184388249</v>
      </c>
      <c r="MD3">
        <v>0</v>
      </c>
      <c r="ME3">
        <v>0</v>
      </c>
      <c r="MF3">
        <v>0</v>
      </c>
      <c r="MG3">
        <v>0</v>
      </c>
      <c r="MH3" s="10">
        <v>0</v>
      </c>
      <c r="MI3" s="10">
        <v>0.6440696598470762</v>
      </c>
      <c r="MJ3" s="10">
        <f t="shared" ref="MJ3:MJ21" si="14">SUM(MH3:MI3)</f>
        <v>0.6440696598470762</v>
      </c>
      <c r="MK3">
        <v>0</v>
      </c>
      <c r="ML3">
        <v>0</v>
      </c>
      <c r="MM3">
        <v>0</v>
      </c>
      <c r="MN3">
        <v>0.26007474086390936</v>
      </c>
      <c r="MO3">
        <v>0</v>
      </c>
      <c r="MP3">
        <v>0</v>
      </c>
      <c r="MQ3">
        <v>0</v>
      </c>
      <c r="MR3">
        <v>0.24373712745713799</v>
      </c>
      <c r="MS3" s="10">
        <v>0</v>
      </c>
      <c r="MT3" s="10">
        <v>0.79976001437557465</v>
      </c>
      <c r="MU3" s="10">
        <v>0</v>
      </c>
      <c r="MV3" s="16">
        <f t="shared" ref="MV3:MV21" si="15">SUM(MS3:MU3)</f>
        <v>0.79976001437557465</v>
      </c>
      <c r="MW3">
        <v>1.2254901960784315</v>
      </c>
      <c r="MX3">
        <v>0</v>
      </c>
      <c r="MY3">
        <v>1.2254901960784315</v>
      </c>
      <c r="MZ3">
        <v>0</v>
      </c>
      <c r="NA3">
        <v>0.36361174456696194</v>
      </c>
      <c r="NB3">
        <v>0</v>
      </c>
      <c r="NC3">
        <v>0</v>
      </c>
      <c r="ND3">
        <v>0</v>
      </c>
      <c r="NE3">
        <v>0</v>
      </c>
      <c r="NF3" s="10">
        <v>1.1246364118467944</v>
      </c>
      <c r="NG3" s="10">
        <v>0</v>
      </c>
      <c r="NH3" s="10">
        <v>0</v>
      </c>
      <c r="NI3" s="10">
        <f t="shared" ref="NI3:NI21" si="16">SUM(NF3:NH3)</f>
        <v>1.1246364118467944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 s="10">
        <v>0</v>
      </c>
      <c r="NQ3" s="10">
        <v>0.53268626471104863</v>
      </c>
      <c r="NR3" s="10">
        <f t="shared" ref="NR3:NR21" si="17">SUM(NP3:NQ3)</f>
        <v>0.53268626471104863</v>
      </c>
      <c r="NS3">
        <v>0</v>
      </c>
      <c r="NT3">
        <v>0</v>
      </c>
      <c r="NU3">
        <v>0</v>
      </c>
      <c r="NV3">
        <v>0.39661558236195066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 s="10">
        <v>0</v>
      </c>
      <c r="OD3" s="10">
        <v>0.93545037538574027</v>
      </c>
      <c r="OE3" s="10">
        <f t="shared" ref="OE3:OE21" si="18">SUM(OC3:OD3)</f>
        <v>0.93545037538574027</v>
      </c>
      <c r="OF3" s="10">
        <v>0</v>
      </c>
      <c r="OG3" s="10">
        <v>0.39573793606415114</v>
      </c>
      <c r="OH3" s="16">
        <f t="shared" ref="OH3:OH21" si="19">SUM(OF3:OG3)</f>
        <v>0.39573793606415114</v>
      </c>
      <c r="OI3">
        <v>0</v>
      </c>
      <c r="OJ3">
        <v>0</v>
      </c>
      <c r="OK3" s="10">
        <v>0</v>
      </c>
      <c r="OL3" s="10">
        <v>0</v>
      </c>
      <c r="OM3" s="10">
        <f t="shared" ref="OM3:OM21" si="20">SUM(OK3:OL3)</f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0.30547667303357001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 s="10">
        <v>0.30852758412526909</v>
      </c>
      <c r="PJ3">
        <v>0.63126479321328299</v>
      </c>
      <c r="PK3">
        <v>0</v>
      </c>
      <c r="PL3">
        <v>0</v>
      </c>
      <c r="PM3">
        <v>0.24257900608670466</v>
      </c>
      <c r="PN3">
        <v>0</v>
      </c>
      <c r="PO3" s="10">
        <v>12.444165920226466</v>
      </c>
      <c r="PP3" s="10">
        <v>0</v>
      </c>
      <c r="PQ3" s="16">
        <f t="shared" ref="PQ3:PQ21" si="21">SUM(PO3:PP3)</f>
        <v>12.444165920226466</v>
      </c>
      <c r="PR3">
        <v>0</v>
      </c>
      <c r="PS3">
        <v>0</v>
      </c>
      <c r="PT3">
        <v>0.63246723774727609</v>
      </c>
      <c r="PU3">
        <v>0</v>
      </c>
      <c r="PV3">
        <v>0</v>
      </c>
      <c r="PW3">
        <v>0.41559399844920403</v>
      </c>
      <c r="PX3">
        <v>0</v>
      </c>
      <c r="PY3" s="16">
        <v>1.5181941725162758</v>
      </c>
      <c r="PZ3" s="10">
        <v>4.1325778645507762</v>
      </c>
      <c r="QA3">
        <v>0</v>
      </c>
      <c r="QB3" s="10">
        <v>34.608727360538268</v>
      </c>
      <c r="QC3">
        <v>0</v>
      </c>
      <c r="QD3">
        <v>0</v>
      </c>
      <c r="QE3">
        <v>0</v>
      </c>
      <c r="QF3">
        <v>0.76177553979798784</v>
      </c>
      <c r="QG3">
        <v>0</v>
      </c>
      <c r="QH3">
        <v>0.60303022313595933</v>
      </c>
      <c r="QI3">
        <v>0</v>
      </c>
      <c r="QJ3">
        <v>0</v>
      </c>
      <c r="QK3">
        <v>0.44277696572658481</v>
      </c>
      <c r="QL3">
        <v>0</v>
      </c>
      <c r="QM3">
        <v>0</v>
      </c>
      <c r="QN3">
        <v>0.48513489740531635</v>
      </c>
      <c r="QO3">
        <v>0</v>
      </c>
      <c r="QP3">
        <v>0.37734215511078867</v>
      </c>
      <c r="QQ3">
        <v>0</v>
      </c>
      <c r="QR3">
        <v>0</v>
      </c>
      <c r="QS3">
        <v>0</v>
      </c>
      <c r="QT3" s="10">
        <v>2.6875164353150045</v>
      </c>
      <c r="QU3" s="10">
        <v>0</v>
      </c>
      <c r="QV3" s="10">
        <f t="shared" ref="QV3:QV21" si="22">SUM(QT3:QU3)</f>
        <v>2.6875164353150045</v>
      </c>
      <c r="QW3">
        <v>0</v>
      </c>
      <c r="QX3">
        <v>0</v>
      </c>
      <c r="QY3">
        <v>0.47776152468022409</v>
      </c>
      <c r="QZ3">
        <v>0</v>
      </c>
      <c r="RA3">
        <v>0</v>
      </c>
      <c r="RB3">
        <v>0</v>
      </c>
      <c r="RC3">
        <v>0.68562000442202198</v>
      </c>
      <c r="RD3">
        <v>0</v>
      </c>
      <c r="RE3">
        <v>0</v>
      </c>
      <c r="RF3">
        <v>0</v>
      </c>
      <c r="RG3">
        <v>0</v>
      </c>
      <c r="RH3">
        <v>0</v>
      </c>
      <c r="RI3">
        <v>0.3289281541916883</v>
      </c>
      <c r="RJ3">
        <v>0</v>
      </c>
      <c r="RK3">
        <v>0</v>
      </c>
      <c r="RL3">
        <v>0</v>
      </c>
      <c r="RM3">
        <v>0.4833016818286201</v>
      </c>
      <c r="RN3">
        <v>0</v>
      </c>
      <c r="RO3">
        <v>0.24565684469174928</v>
      </c>
      <c r="RP3">
        <v>0</v>
      </c>
      <c r="RQ3">
        <v>0</v>
      </c>
      <c r="RR3">
        <v>0</v>
      </c>
      <c r="RS3">
        <v>0</v>
      </c>
      <c r="RT3">
        <v>0</v>
      </c>
      <c r="RU3">
        <v>0.31390331663465298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0.2663078644619391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0.3449736159934903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1.8716232659968208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0.57541784542452079</v>
      </c>
      <c r="TY3">
        <v>0</v>
      </c>
      <c r="TZ3">
        <v>0</v>
      </c>
      <c r="UA3">
        <v>2.4928612540858808</v>
      </c>
      <c r="UB3">
        <v>0</v>
      </c>
      <c r="UC3">
        <v>0</v>
      </c>
      <c r="UD3">
        <v>0</v>
      </c>
      <c r="UE3">
        <v>0</v>
      </c>
      <c r="UF3">
        <v>0</v>
      </c>
      <c r="UG3">
        <v>1.2992456083179766</v>
      </c>
      <c r="UH3">
        <v>0</v>
      </c>
      <c r="UI3">
        <v>0</v>
      </c>
      <c r="UJ3">
        <v>0</v>
      </c>
      <c r="UK3">
        <v>0.24670582622933107</v>
      </c>
      <c r="UL3">
        <v>0</v>
      </c>
      <c r="UM3">
        <v>0.60795509851924034</v>
      </c>
      <c r="UN3">
        <v>0</v>
      </c>
    </row>
    <row r="4" spans="1:560" x14ac:dyDescent="0.25">
      <c r="A4" s="5" t="s">
        <v>1436</v>
      </c>
      <c r="B4" s="5" t="s">
        <v>1439</v>
      </c>
      <c r="C4" s="5">
        <v>7.42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0">
        <v>0</v>
      </c>
      <c r="R4" s="10">
        <v>4.3193151152969085</v>
      </c>
      <c r="S4" s="10">
        <v>0</v>
      </c>
      <c r="T4" s="10">
        <v>0</v>
      </c>
      <c r="U4" s="10">
        <f t="shared" si="0"/>
        <v>4.3193151152969085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14.327799750866781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1.1951033687558861</v>
      </c>
      <c r="AR4">
        <v>0</v>
      </c>
      <c r="AS4">
        <v>0</v>
      </c>
      <c r="AT4">
        <v>0</v>
      </c>
      <c r="AU4">
        <v>0</v>
      </c>
      <c r="AV4">
        <v>0.54735178373162097</v>
      </c>
      <c r="AW4">
        <v>0</v>
      </c>
      <c r="AX4">
        <v>0</v>
      </c>
      <c r="AY4">
        <v>0</v>
      </c>
      <c r="AZ4">
        <v>0.78115610640849154</v>
      </c>
      <c r="BA4">
        <v>0</v>
      </c>
      <c r="BB4">
        <v>0</v>
      </c>
      <c r="BC4">
        <v>0</v>
      </c>
      <c r="BD4">
        <v>0.57900579860153489</v>
      </c>
      <c r="BE4">
        <v>0</v>
      </c>
      <c r="BF4">
        <v>0</v>
      </c>
      <c r="BG4">
        <v>0</v>
      </c>
      <c r="BH4">
        <v>0</v>
      </c>
      <c r="BI4" s="10">
        <v>3.323347095133494</v>
      </c>
      <c r="BJ4" s="10">
        <v>0</v>
      </c>
      <c r="BK4" s="10">
        <v>0</v>
      </c>
      <c r="BL4" s="10">
        <f t="shared" si="1"/>
        <v>3.323347095133494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1.0714048849587288</v>
      </c>
      <c r="BW4">
        <v>0</v>
      </c>
      <c r="BX4">
        <v>0</v>
      </c>
      <c r="BY4">
        <v>0</v>
      </c>
      <c r="BZ4">
        <v>0</v>
      </c>
      <c r="CA4">
        <v>0</v>
      </c>
      <c r="CB4">
        <v>1.852212943497298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0.80111623688595801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 s="10">
        <v>0</v>
      </c>
      <c r="CV4" s="10">
        <v>1.7144440677692772</v>
      </c>
      <c r="CW4" s="10">
        <v>0</v>
      </c>
      <c r="CX4" s="16">
        <f t="shared" si="2"/>
        <v>1.7144440677692772</v>
      </c>
      <c r="CY4" s="10">
        <v>0</v>
      </c>
      <c r="CZ4" s="10">
        <v>1.5690495811195704</v>
      </c>
      <c r="DA4" s="10">
        <v>0</v>
      </c>
      <c r="DB4" s="16">
        <f t="shared" si="3"/>
        <v>1.5690495811195704</v>
      </c>
      <c r="DC4">
        <v>0</v>
      </c>
      <c r="DD4">
        <v>0</v>
      </c>
      <c r="DE4">
        <v>0</v>
      </c>
      <c r="DF4">
        <v>0.44450691340046355</v>
      </c>
      <c r="DG4">
        <v>0</v>
      </c>
      <c r="DH4">
        <v>0</v>
      </c>
      <c r="DI4" s="10">
        <v>11.816316016933913</v>
      </c>
      <c r="DJ4" s="10">
        <v>0</v>
      </c>
      <c r="DK4" s="10">
        <v>0</v>
      </c>
      <c r="DL4" s="16">
        <f t="shared" si="4"/>
        <v>11.816316016933913</v>
      </c>
      <c r="DM4" s="10">
        <v>0</v>
      </c>
      <c r="DN4" s="10">
        <v>2.7593654356998498</v>
      </c>
      <c r="DO4" s="10">
        <v>0</v>
      </c>
      <c r="DP4" s="16">
        <f t="shared" si="5"/>
        <v>2.7593654356998498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 s="10">
        <v>0</v>
      </c>
      <c r="DY4" s="10">
        <v>0</v>
      </c>
      <c r="DZ4" s="16">
        <f t="shared" si="6"/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1.4776186721135827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1.1261427271863533</v>
      </c>
      <c r="EZ4">
        <v>0</v>
      </c>
      <c r="FA4">
        <v>0</v>
      </c>
      <c r="FB4">
        <v>0</v>
      </c>
      <c r="FC4">
        <v>0</v>
      </c>
      <c r="FD4">
        <v>0.94949904420552533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 s="10">
        <v>0</v>
      </c>
      <c r="GT4" s="10">
        <v>3.963918063940528</v>
      </c>
      <c r="GU4" s="10">
        <v>0</v>
      </c>
      <c r="GV4" s="10">
        <f t="shared" si="7"/>
        <v>3.963918063940528</v>
      </c>
      <c r="GW4" s="10">
        <v>21.501435796011489</v>
      </c>
      <c r="GX4" s="10">
        <v>0</v>
      </c>
      <c r="GY4" s="16">
        <f t="shared" si="8"/>
        <v>21.501435796011489</v>
      </c>
      <c r="GZ4">
        <v>0</v>
      </c>
      <c r="HA4">
        <v>0</v>
      </c>
      <c r="HB4">
        <v>0</v>
      </c>
      <c r="HC4">
        <v>0</v>
      </c>
      <c r="HD4">
        <v>0</v>
      </c>
      <c r="HE4" s="10">
        <v>0</v>
      </c>
      <c r="HF4" s="10">
        <v>4.9988884070129824</v>
      </c>
      <c r="HG4" s="10">
        <f t="shared" si="9"/>
        <v>4.9988884070129824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0.49546906945073721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2.8766466504273596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0.45842882819735747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1.0384001648671464</v>
      </c>
      <c r="JE4">
        <v>0</v>
      </c>
      <c r="JF4">
        <v>0</v>
      </c>
      <c r="JG4">
        <v>0</v>
      </c>
      <c r="JH4">
        <v>0</v>
      </c>
      <c r="JI4">
        <v>0.45988084722808753</v>
      </c>
      <c r="JJ4">
        <v>0</v>
      </c>
      <c r="JK4">
        <v>0</v>
      </c>
      <c r="JL4">
        <v>0</v>
      </c>
      <c r="JM4">
        <v>0</v>
      </c>
      <c r="JN4">
        <v>0</v>
      </c>
      <c r="JO4">
        <v>0.69927489730145242</v>
      </c>
      <c r="JP4">
        <v>0</v>
      </c>
      <c r="JQ4">
        <v>0</v>
      </c>
      <c r="JR4">
        <v>0.77071030333629265</v>
      </c>
      <c r="JS4">
        <v>0</v>
      </c>
      <c r="JT4" s="10">
        <v>0</v>
      </c>
      <c r="JU4" s="10">
        <v>5.7823537695521496</v>
      </c>
      <c r="JV4" s="16">
        <f t="shared" si="10"/>
        <v>5.7823537695521496</v>
      </c>
      <c r="JW4">
        <v>0</v>
      </c>
      <c r="JX4">
        <v>0</v>
      </c>
      <c r="JY4">
        <v>0</v>
      </c>
      <c r="JZ4">
        <v>0</v>
      </c>
      <c r="KA4">
        <v>0</v>
      </c>
      <c r="KB4" s="10">
        <v>1.7894547158506098</v>
      </c>
      <c r="KC4" s="10">
        <v>0</v>
      </c>
      <c r="KD4" s="10">
        <f t="shared" si="11"/>
        <v>1.7894547158506098</v>
      </c>
      <c r="KE4" s="10">
        <v>0</v>
      </c>
      <c r="KF4" s="10">
        <v>3.3282717323092967</v>
      </c>
      <c r="KG4" s="10">
        <f t="shared" si="12"/>
        <v>3.3282717323092967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58.843337605779361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 s="10">
        <v>10.143824163367684</v>
      </c>
      <c r="LE4" s="10">
        <v>0</v>
      </c>
      <c r="LF4" s="10">
        <v>0</v>
      </c>
      <c r="LG4" s="10">
        <v>0</v>
      </c>
      <c r="LH4" s="10">
        <v>0</v>
      </c>
      <c r="LI4" s="10">
        <f t="shared" si="13"/>
        <v>10.143824163367684</v>
      </c>
      <c r="LJ4">
        <v>0</v>
      </c>
      <c r="LK4">
        <v>0</v>
      </c>
      <c r="LL4">
        <v>0</v>
      </c>
      <c r="LM4">
        <v>1.029568832278138</v>
      </c>
      <c r="LN4">
        <v>0</v>
      </c>
      <c r="LO4">
        <v>0</v>
      </c>
      <c r="LP4">
        <v>0.66704444179377498</v>
      </c>
      <c r="LQ4">
        <v>0</v>
      </c>
      <c r="LR4">
        <v>0</v>
      </c>
      <c r="LS4">
        <v>0</v>
      </c>
      <c r="LT4">
        <v>0</v>
      </c>
      <c r="LU4">
        <v>0.7121255932465026</v>
      </c>
      <c r="LV4">
        <v>0</v>
      </c>
      <c r="LW4">
        <v>0</v>
      </c>
      <c r="LX4">
        <v>0.65534007666245919</v>
      </c>
      <c r="LY4">
        <v>0</v>
      </c>
      <c r="LZ4">
        <v>0</v>
      </c>
      <c r="MA4">
        <v>0</v>
      </c>
      <c r="MB4">
        <v>0</v>
      </c>
      <c r="MC4">
        <v>0</v>
      </c>
      <c r="MD4">
        <v>1.2012114560289149</v>
      </c>
      <c r="ME4">
        <v>0</v>
      </c>
      <c r="MF4">
        <v>0</v>
      </c>
      <c r="MG4">
        <v>0</v>
      </c>
      <c r="MH4" s="10">
        <v>0</v>
      </c>
      <c r="MI4" s="10">
        <v>1.3714474772840581</v>
      </c>
      <c r="MJ4" s="10">
        <f t="shared" si="14"/>
        <v>1.3714474772840581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1.3370986024326001</v>
      </c>
      <c r="MS4" s="10">
        <v>0</v>
      </c>
      <c r="MT4" s="10">
        <v>1.1026361766942827</v>
      </c>
      <c r="MU4" s="10">
        <v>0</v>
      </c>
      <c r="MV4" s="16">
        <f t="shared" si="15"/>
        <v>1.1026361766942827</v>
      </c>
      <c r="MW4">
        <v>0</v>
      </c>
      <c r="MX4">
        <v>2.0215633423180592</v>
      </c>
      <c r="MY4">
        <v>2.0215633423180592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 s="10">
        <v>3.1314617976532562</v>
      </c>
      <c r="NG4" s="10">
        <v>0</v>
      </c>
      <c r="NH4" s="10">
        <v>0</v>
      </c>
      <c r="NI4" s="10">
        <f t="shared" si="16"/>
        <v>3.1314617976532562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 s="10">
        <v>0</v>
      </c>
      <c r="NQ4" s="10">
        <v>1.0557877106498668</v>
      </c>
      <c r="NR4" s="10">
        <f t="shared" si="17"/>
        <v>1.0557877106498668</v>
      </c>
      <c r="NS4">
        <v>0</v>
      </c>
      <c r="NT4">
        <v>0.73926459315138859</v>
      </c>
      <c r="NU4">
        <v>0</v>
      </c>
      <c r="NV4">
        <v>0.91250596627705338</v>
      </c>
      <c r="NW4">
        <v>0</v>
      </c>
      <c r="NX4">
        <v>0</v>
      </c>
      <c r="NY4">
        <v>0</v>
      </c>
      <c r="NZ4">
        <v>0.81087817174699206</v>
      </c>
      <c r="OA4">
        <v>0</v>
      </c>
      <c r="OB4">
        <v>0</v>
      </c>
      <c r="OC4" s="10">
        <v>0</v>
      </c>
      <c r="OD4" s="10">
        <v>2.046145915333955</v>
      </c>
      <c r="OE4" s="10">
        <f t="shared" si="18"/>
        <v>2.046145915333955</v>
      </c>
      <c r="OF4" s="10">
        <v>1.7047284228382455</v>
      </c>
      <c r="OG4" s="10">
        <v>0</v>
      </c>
      <c r="OH4" s="16">
        <f t="shared" si="19"/>
        <v>1.7047284228382455</v>
      </c>
      <c r="OI4">
        <v>0</v>
      </c>
      <c r="OJ4">
        <v>0</v>
      </c>
      <c r="OK4" s="10">
        <v>0.63688917258204614</v>
      </c>
      <c r="OL4" s="10">
        <v>0</v>
      </c>
      <c r="OM4" s="10">
        <f t="shared" si="20"/>
        <v>0.63688917258204614</v>
      </c>
      <c r="ON4">
        <v>0</v>
      </c>
      <c r="OO4">
        <v>0</v>
      </c>
      <c r="OP4">
        <v>0</v>
      </c>
      <c r="OQ4">
        <v>0</v>
      </c>
      <c r="OR4">
        <v>0</v>
      </c>
      <c r="OS4">
        <v>0.67799201023929989</v>
      </c>
      <c r="OT4">
        <v>0</v>
      </c>
      <c r="OU4">
        <v>0</v>
      </c>
      <c r="OV4">
        <v>0</v>
      </c>
      <c r="OW4">
        <v>0.67639588104912896</v>
      </c>
      <c r="OX4">
        <v>0</v>
      </c>
      <c r="OY4">
        <v>0</v>
      </c>
      <c r="OZ4">
        <v>0</v>
      </c>
      <c r="PA4">
        <v>0.71242866127878113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0.56462447808424177</v>
      </c>
      <c r="PI4" s="10">
        <v>0.58572613570346099</v>
      </c>
      <c r="PJ4">
        <v>1.1673167465284218</v>
      </c>
      <c r="PK4">
        <v>0</v>
      </c>
      <c r="PL4">
        <v>0.54032139143817082</v>
      </c>
      <c r="PM4">
        <v>0</v>
      </c>
      <c r="PN4">
        <v>0</v>
      </c>
      <c r="PO4" s="10">
        <v>6.1107292926184602</v>
      </c>
      <c r="PP4" s="10">
        <v>0</v>
      </c>
      <c r="PQ4" s="16">
        <f t="shared" si="21"/>
        <v>6.1107292926184602</v>
      </c>
      <c r="PR4">
        <v>0</v>
      </c>
      <c r="PS4">
        <v>0</v>
      </c>
      <c r="PT4">
        <v>0</v>
      </c>
      <c r="PU4">
        <v>0</v>
      </c>
      <c r="PV4">
        <v>0.7129347936266357</v>
      </c>
      <c r="PW4">
        <v>0</v>
      </c>
      <c r="PX4">
        <v>0</v>
      </c>
      <c r="PY4" s="16">
        <v>1.8820546639378797</v>
      </c>
      <c r="PZ4" s="10">
        <v>2.6641317652744343</v>
      </c>
      <c r="QA4">
        <v>0</v>
      </c>
      <c r="QB4" s="10">
        <v>16.663675648176987</v>
      </c>
      <c r="QC4">
        <v>0.56781848325439477</v>
      </c>
      <c r="QD4">
        <v>0</v>
      </c>
      <c r="QE4">
        <v>0</v>
      </c>
      <c r="QF4">
        <v>1.5640978687016915</v>
      </c>
      <c r="QG4">
        <v>0</v>
      </c>
      <c r="QH4">
        <v>0</v>
      </c>
      <c r="QI4">
        <v>0.72384218590649829</v>
      </c>
      <c r="QJ4">
        <v>0</v>
      </c>
      <c r="QK4">
        <v>0</v>
      </c>
      <c r="QL4">
        <v>0.94451283268887121</v>
      </c>
      <c r="QM4">
        <v>0</v>
      </c>
      <c r="QN4">
        <v>1.0104768563369395</v>
      </c>
      <c r="QO4">
        <v>0.67814660113760916</v>
      </c>
      <c r="QP4">
        <v>0</v>
      </c>
      <c r="QQ4">
        <v>0.53309972566037167</v>
      </c>
      <c r="QR4">
        <v>0</v>
      </c>
      <c r="QS4">
        <v>0</v>
      </c>
      <c r="QT4" s="10">
        <v>2.3363663085497564</v>
      </c>
      <c r="QU4" s="10">
        <v>0</v>
      </c>
      <c r="QV4" s="10">
        <f t="shared" si="22"/>
        <v>2.3363663085497564</v>
      </c>
      <c r="QW4">
        <v>1.0101165809383374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1.0389180880462277</v>
      </c>
      <c r="RH4">
        <v>0</v>
      </c>
      <c r="RI4">
        <v>0</v>
      </c>
      <c r="RJ4">
        <v>0</v>
      </c>
      <c r="RK4">
        <v>0</v>
      </c>
      <c r="RL4">
        <v>0</v>
      </c>
      <c r="RM4">
        <v>0.47744263529449554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2.0658379135753706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0.67937983474446084</v>
      </c>
      <c r="TY4">
        <v>0</v>
      </c>
      <c r="TZ4">
        <v>0.45173643973241401</v>
      </c>
      <c r="UA4">
        <v>9.7890044260439719</v>
      </c>
      <c r="UB4">
        <v>0</v>
      </c>
      <c r="UC4">
        <v>0</v>
      </c>
      <c r="UD4">
        <v>0.53669549248714787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</row>
    <row r="5" spans="1:560" x14ac:dyDescent="0.25">
      <c r="A5" s="5" t="s">
        <v>1436</v>
      </c>
      <c r="B5" s="5" t="s">
        <v>1440</v>
      </c>
      <c r="C5" s="5">
        <v>11.35</v>
      </c>
      <c r="D5">
        <v>0</v>
      </c>
      <c r="E5">
        <v>0</v>
      </c>
      <c r="F5">
        <v>0.38532352898886912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0.33718954788994876</v>
      </c>
      <c r="O5">
        <v>0</v>
      </c>
      <c r="P5">
        <v>0</v>
      </c>
      <c r="Q5" s="10">
        <v>0</v>
      </c>
      <c r="R5" s="10">
        <v>6.4782196186399474</v>
      </c>
      <c r="S5" s="10">
        <v>0</v>
      </c>
      <c r="T5" s="10">
        <v>0</v>
      </c>
      <c r="U5" s="10">
        <f t="shared" si="0"/>
        <v>6.4782196186399474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0.83595806923060645</v>
      </c>
      <c r="BA5">
        <v>0</v>
      </c>
      <c r="BB5">
        <v>0</v>
      </c>
      <c r="BC5">
        <v>0</v>
      </c>
      <c r="BD5">
        <v>0.37465750567564643</v>
      </c>
      <c r="BE5">
        <v>0</v>
      </c>
      <c r="BF5">
        <v>0</v>
      </c>
      <c r="BG5">
        <v>0.5166802398160274</v>
      </c>
      <c r="BH5">
        <v>0</v>
      </c>
      <c r="BI5" s="10">
        <v>1.9102845174116487</v>
      </c>
      <c r="BJ5" s="10">
        <v>0</v>
      </c>
      <c r="BK5" s="10">
        <v>0</v>
      </c>
      <c r="BL5" s="10">
        <f t="shared" si="1"/>
        <v>1.9102845174116487</v>
      </c>
      <c r="BM5">
        <v>0</v>
      </c>
      <c r="BN5">
        <v>0.30877577087695268</v>
      </c>
      <c r="BO5">
        <v>0</v>
      </c>
      <c r="BP5">
        <v>0</v>
      </c>
      <c r="BQ5">
        <v>0.61750940395318388</v>
      </c>
      <c r="BR5">
        <v>0</v>
      </c>
      <c r="BS5">
        <v>0</v>
      </c>
      <c r="BT5">
        <v>0.33156343486437373</v>
      </c>
      <c r="BU5">
        <v>0</v>
      </c>
      <c r="BV5">
        <v>0</v>
      </c>
      <c r="BW5">
        <v>0</v>
      </c>
      <c r="BX5">
        <v>0.65285011943171323</v>
      </c>
      <c r="BY5">
        <v>0</v>
      </c>
      <c r="BZ5">
        <v>0</v>
      </c>
      <c r="CA5">
        <v>0</v>
      </c>
      <c r="CB5">
        <v>1.1832529496976478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1.124640702152665</v>
      </c>
      <c r="CJ5">
        <v>0</v>
      </c>
      <c r="CK5">
        <v>0</v>
      </c>
      <c r="CL5">
        <v>0.6823331073065525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 s="10">
        <v>0</v>
      </c>
      <c r="CV5" s="10">
        <v>0.5512343830144234</v>
      </c>
      <c r="CW5" s="10">
        <v>0</v>
      </c>
      <c r="CX5" s="16">
        <f t="shared" si="2"/>
        <v>0.5512343830144234</v>
      </c>
      <c r="CY5" s="10">
        <v>0</v>
      </c>
      <c r="CZ5" s="10">
        <v>2.668144042803108</v>
      </c>
      <c r="DA5" s="10">
        <v>0</v>
      </c>
      <c r="DB5" s="16">
        <f t="shared" si="3"/>
        <v>2.668144042803108</v>
      </c>
      <c r="DC5">
        <v>0</v>
      </c>
      <c r="DD5">
        <v>0</v>
      </c>
      <c r="DE5">
        <v>0</v>
      </c>
      <c r="DF5">
        <v>0</v>
      </c>
      <c r="DG5">
        <v>0.64636577119960792</v>
      </c>
      <c r="DH5">
        <v>0</v>
      </c>
      <c r="DI5" s="10">
        <v>0</v>
      </c>
      <c r="DJ5" s="10">
        <v>6.7879358937629348</v>
      </c>
      <c r="DK5" s="10">
        <v>0</v>
      </c>
      <c r="DL5" s="16">
        <f t="shared" si="4"/>
        <v>6.7879358937629348</v>
      </c>
      <c r="DM5" s="10">
        <v>0</v>
      </c>
      <c r="DN5" s="10">
        <v>0.48259305224603422</v>
      </c>
      <c r="DO5" s="10">
        <v>0</v>
      </c>
      <c r="DP5" s="16">
        <f t="shared" si="5"/>
        <v>0.48259305224603422</v>
      </c>
      <c r="DQ5">
        <v>0</v>
      </c>
      <c r="DR5">
        <v>0</v>
      </c>
      <c r="DS5">
        <v>0</v>
      </c>
      <c r="DT5">
        <v>0</v>
      </c>
      <c r="DU5">
        <v>0</v>
      </c>
      <c r="DV5">
        <v>1.9845728867801211</v>
      </c>
      <c r="DW5">
        <v>0</v>
      </c>
      <c r="DX5" s="10">
        <v>1.8206184306452047</v>
      </c>
      <c r="DY5" s="10">
        <v>0</v>
      </c>
      <c r="DZ5" s="16">
        <f t="shared" si="6"/>
        <v>1.8206184306452047</v>
      </c>
      <c r="EA5">
        <v>0.50926255363052753</v>
      </c>
      <c r="EB5">
        <v>0</v>
      </c>
      <c r="EC5">
        <v>0</v>
      </c>
      <c r="ED5">
        <v>0</v>
      </c>
      <c r="EE5">
        <v>0.97687289452888992</v>
      </c>
      <c r="EF5">
        <v>0</v>
      </c>
      <c r="EG5">
        <v>0</v>
      </c>
      <c r="EH5">
        <v>0</v>
      </c>
      <c r="EI5">
        <v>0</v>
      </c>
      <c r="EJ5">
        <v>0.30688444292348327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0.29835483477200769</v>
      </c>
      <c r="EU5">
        <v>0</v>
      </c>
      <c r="EV5">
        <v>0</v>
      </c>
      <c r="EW5">
        <v>1.3680446916151647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0.30885975982668995</v>
      </c>
      <c r="FE5">
        <v>0</v>
      </c>
      <c r="FF5">
        <v>0</v>
      </c>
      <c r="FG5">
        <v>0</v>
      </c>
      <c r="FH5">
        <v>0.751395816082156</v>
      </c>
      <c r="FI5">
        <v>0</v>
      </c>
      <c r="FJ5">
        <v>0</v>
      </c>
      <c r="FK5">
        <v>0</v>
      </c>
      <c r="FL5">
        <v>0</v>
      </c>
      <c r="FM5">
        <v>0.74431351239219401</v>
      </c>
      <c r="FN5">
        <v>0</v>
      </c>
      <c r="FO5">
        <v>0</v>
      </c>
      <c r="FP5">
        <v>0.35138396704725378</v>
      </c>
      <c r="FQ5">
        <v>0</v>
      </c>
      <c r="FR5">
        <v>0.6468201141529647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0.30058326513124856</v>
      </c>
      <c r="GA5">
        <v>0</v>
      </c>
      <c r="GB5">
        <v>0.78078248898391767</v>
      </c>
      <c r="GC5">
        <v>0.61165282295631618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0.86674388910734301</v>
      </c>
      <c r="GK5">
        <v>0</v>
      </c>
      <c r="GL5">
        <v>0</v>
      </c>
      <c r="GM5">
        <v>0</v>
      </c>
      <c r="GN5">
        <v>0</v>
      </c>
      <c r="GO5">
        <v>0.61297715383613249</v>
      </c>
      <c r="GP5">
        <v>0</v>
      </c>
      <c r="GQ5">
        <v>0.72475497986822135</v>
      </c>
      <c r="GR5">
        <v>0</v>
      </c>
      <c r="GS5" s="10">
        <v>0</v>
      </c>
      <c r="GT5" s="10">
        <v>1.0382906023164622</v>
      </c>
      <c r="GU5" s="10">
        <v>0</v>
      </c>
      <c r="GV5" s="10">
        <f t="shared" si="7"/>
        <v>1.0382906023164622</v>
      </c>
      <c r="GW5" s="10">
        <v>13.012640170677471</v>
      </c>
      <c r="GX5" s="10">
        <v>0</v>
      </c>
      <c r="GY5" s="16">
        <f t="shared" si="8"/>
        <v>13.012640170677471</v>
      </c>
      <c r="GZ5">
        <v>0</v>
      </c>
      <c r="HA5">
        <v>0</v>
      </c>
      <c r="HB5">
        <v>0</v>
      </c>
      <c r="HC5">
        <v>0</v>
      </c>
      <c r="HD5">
        <v>0.38461234610730544</v>
      </c>
      <c r="HE5" s="10">
        <v>0</v>
      </c>
      <c r="HF5" s="10">
        <v>0.92758743352862272</v>
      </c>
      <c r="HG5" s="10">
        <f t="shared" si="9"/>
        <v>0.92758743352862272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0.5300542617919396</v>
      </c>
      <c r="HO5">
        <v>0</v>
      </c>
      <c r="HP5">
        <v>0</v>
      </c>
      <c r="HQ5">
        <v>0.51497724203312933</v>
      </c>
      <c r="HR5">
        <v>0</v>
      </c>
      <c r="HS5">
        <v>0</v>
      </c>
      <c r="HT5">
        <v>0</v>
      </c>
      <c r="HU5">
        <v>0.29978522678289166</v>
      </c>
      <c r="HV5">
        <v>0</v>
      </c>
      <c r="HW5">
        <v>0.31566257810370357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0.51980044363135247</v>
      </c>
      <c r="IH5">
        <v>0</v>
      </c>
      <c r="II5">
        <v>0</v>
      </c>
      <c r="IJ5">
        <v>1.0685598758197294</v>
      </c>
      <c r="IK5">
        <v>0</v>
      </c>
      <c r="IL5">
        <v>0</v>
      </c>
      <c r="IM5">
        <v>0</v>
      </c>
      <c r="IN5">
        <v>0.34671297750469782</v>
      </c>
      <c r="IO5">
        <v>0</v>
      </c>
      <c r="IP5">
        <v>0</v>
      </c>
      <c r="IQ5">
        <v>0</v>
      </c>
      <c r="IR5">
        <v>0</v>
      </c>
      <c r="IS5">
        <v>0</v>
      </c>
      <c r="IT5">
        <v>0.39857085091091149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0.37449268094493343</v>
      </c>
      <c r="JF5">
        <v>0</v>
      </c>
      <c r="JG5">
        <v>0</v>
      </c>
      <c r="JH5">
        <v>0.7174654269951195</v>
      </c>
      <c r="JI5">
        <v>0.80392330787262312</v>
      </c>
      <c r="JJ5">
        <v>0</v>
      </c>
      <c r="JK5">
        <v>0</v>
      </c>
      <c r="JL5">
        <v>0</v>
      </c>
      <c r="JM5">
        <v>0</v>
      </c>
      <c r="JN5">
        <v>0.46226743975790818</v>
      </c>
      <c r="JO5">
        <v>0</v>
      </c>
      <c r="JP5">
        <v>0</v>
      </c>
      <c r="JQ5">
        <v>0</v>
      </c>
      <c r="JR5">
        <v>0.95554744089167309</v>
      </c>
      <c r="JS5">
        <v>0</v>
      </c>
      <c r="JT5" s="10">
        <v>0</v>
      </c>
      <c r="JU5" s="10">
        <v>3.0850743621535179</v>
      </c>
      <c r="JV5" s="16">
        <f t="shared" si="10"/>
        <v>3.0850743621535179</v>
      </c>
      <c r="JW5">
        <v>0</v>
      </c>
      <c r="JX5">
        <v>0.32248546200010841</v>
      </c>
      <c r="JY5">
        <v>0</v>
      </c>
      <c r="JZ5">
        <v>0</v>
      </c>
      <c r="KA5">
        <v>0</v>
      </c>
      <c r="KB5" s="10">
        <v>1.589193042655815</v>
      </c>
      <c r="KC5" s="10">
        <v>0</v>
      </c>
      <c r="KD5" s="10">
        <f t="shared" si="11"/>
        <v>1.589193042655815</v>
      </c>
      <c r="KE5" s="10">
        <v>0</v>
      </c>
      <c r="KF5" s="10">
        <v>0.74263917977985472</v>
      </c>
      <c r="KG5" s="10">
        <f t="shared" si="12"/>
        <v>0.74263917977985472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68.025942300405632</v>
      </c>
      <c r="KX5">
        <v>0</v>
      </c>
      <c r="KY5">
        <v>0.50356133785808843</v>
      </c>
      <c r="KZ5">
        <v>0</v>
      </c>
      <c r="LA5">
        <v>0</v>
      </c>
      <c r="LB5">
        <v>0</v>
      </c>
      <c r="LC5">
        <v>0.57815126482083912</v>
      </c>
      <c r="LD5" s="10">
        <v>0</v>
      </c>
      <c r="LE5" s="10">
        <v>5.3409693946101733</v>
      </c>
      <c r="LF5" s="10">
        <v>0</v>
      </c>
      <c r="LG5" s="10">
        <v>0</v>
      </c>
      <c r="LH5" s="10">
        <v>0</v>
      </c>
      <c r="LI5" s="10">
        <f t="shared" si="13"/>
        <v>5.3409693946101733</v>
      </c>
      <c r="LJ5">
        <v>0</v>
      </c>
      <c r="LK5">
        <v>0</v>
      </c>
      <c r="LL5">
        <v>0.65716566085934014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0.40971472261734931</v>
      </c>
      <c r="LT5">
        <v>0</v>
      </c>
      <c r="LU5">
        <v>0</v>
      </c>
      <c r="LV5">
        <v>0.73418123455477624</v>
      </c>
      <c r="LW5">
        <v>0</v>
      </c>
      <c r="LX5">
        <v>0</v>
      </c>
      <c r="LY5">
        <v>0.55197480436995716</v>
      </c>
      <c r="LZ5">
        <v>0</v>
      </c>
      <c r="MA5">
        <v>0</v>
      </c>
      <c r="MB5">
        <v>0</v>
      </c>
      <c r="MC5">
        <v>0</v>
      </c>
      <c r="MD5">
        <v>0</v>
      </c>
      <c r="ME5">
        <v>0.65199876386611699</v>
      </c>
      <c r="MF5">
        <v>0</v>
      </c>
      <c r="MG5">
        <v>0</v>
      </c>
      <c r="MH5" s="10">
        <v>0</v>
      </c>
      <c r="MI5" s="10">
        <v>1.1553924104764366</v>
      </c>
      <c r="MJ5" s="10">
        <f t="shared" si="14"/>
        <v>1.1553924104764366</v>
      </c>
      <c r="MK5">
        <v>0</v>
      </c>
      <c r="ML5">
        <v>0</v>
      </c>
      <c r="MM5">
        <v>0</v>
      </c>
      <c r="MN5">
        <v>0</v>
      </c>
      <c r="MO5">
        <v>0</v>
      </c>
      <c r="MP5">
        <v>0.47191728277482159</v>
      </c>
      <c r="MQ5">
        <v>0</v>
      </c>
      <c r="MR5">
        <v>0.41500401988885849</v>
      </c>
      <c r="MS5" s="10">
        <v>0</v>
      </c>
      <c r="MT5" s="10">
        <v>0.68372709455082681</v>
      </c>
      <c r="MU5" s="10">
        <v>0</v>
      </c>
      <c r="MV5" s="16">
        <f t="shared" si="15"/>
        <v>0.68372709455082681</v>
      </c>
      <c r="MW5">
        <v>0</v>
      </c>
      <c r="MX5">
        <v>1.3215859030837005</v>
      </c>
      <c r="MY5">
        <v>1.3215859030837005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 s="10">
        <v>0</v>
      </c>
      <c r="NG5" s="10">
        <v>1.3587841216144398</v>
      </c>
      <c r="NH5" s="10">
        <v>0</v>
      </c>
      <c r="NI5" s="10">
        <f t="shared" si="16"/>
        <v>1.3587841216144398</v>
      </c>
      <c r="NJ5">
        <v>0</v>
      </c>
      <c r="NK5">
        <v>0</v>
      </c>
      <c r="NL5">
        <v>0.79803548183984618</v>
      </c>
      <c r="NM5">
        <v>0</v>
      </c>
      <c r="NN5">
        <v>0.29765053153137805</v>
      </c>
      <c r="NO5">
        <v>0</v>
      </c>
      <c r="NP5" s="10">
        <v>0</v>
      </c>
      <c r="NQ5" s="10">
        <v>1.1059619037131418</v>
      </c>
      <c r="NR5" s="10">
        <f t="shared" si="17"/>
        <v>1.1059619037131418</v>
      </c>
      <c r="NS5">
        <v>0</v>
      </c>
      <c r="NT5">
        <v>0.70661766650055391</v>
      </c>
      <c r="NU5">
        <v>0</v>
      </c>
      <c r="NV5">
        <v>0.50425274177196666</v>
      </c>
      <c r="NW5">
        <v>0</v>
      </c>
      <c r="NX5">
        <v>0</v>
      </c>
      <c r="NY5">
        <v>0</v>
      </c>
      <c r="NZ5">
        <v>0.31871627872333219</v>
      </c>
      <c r="OA5">
        <v>0</v>
      </c>
      <c r="OB5">
        <v>0</v>
      </c>
      <c r="OC5" s="10">
        <v>0</v>
      </c>
      <c r="OD5" s="10">
        <v>1.9005243134880843</v>
      </c>
      <c r="OE5" s="10">
        <f t="shared" si="18"/>
        <v>1.9005243134880843</v>
      </c>
      <c r="OF5" s="10">
        <v>0</v>
      </c>
      <c r="OG5" s="10">
        <v>0.72178182837786309</v>
      </c>
      <c r="OH5" s="16">
        <f t="shared" si="19"/>
        <v>0.72178182837786309</v>
      </c>
      <c r="OI5">
        <v>0</v>
      </c>
      <c r="OJ5">
        <v>0.36691446980430426</v>
      </c>
      <c r="OK5" s="10">
        <v>0</v>
      </c>
      <c r="OL5" s="10">
        <v>0.31154625961146037</v>
      </c>
      <c r="OM5" s="10">
        <f t="shared" si="20"/>
        <v>0.31154625961146037</v>
      </c>
      <c r="ON5">
        <v>0.49361108385371893</v>
      </c>
      <c r="OO5">
        <v>0.41941415637932938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0.57956159121233197</v>
      </c>
      <c r="OX5">
        <v>0</v>
      </c>
      <c r="OY5">
        <v>0</v>
      </c>
      <c r="OZ5">
        <v>0</v>
      </c>
      <c r="PA5">
        <v>0.46499091761269951</v>
      </c>
      <c r="PB5">
        <v>0</v>
      </c>
      <c r="PC5">
        <v>0</v>
      </c>
      <c r="PD5">
        <v>0</v>
      </c>
      <c r="PE5">
        <v>0</v>
      </c>
      <c r="PF5">
        <v>0</v>
      </c>
      <c r="PG5">
        <v>0.43674024542018286</v>
      </c>
      <c r="PH5">
        <v>0</v>
      </c>
      <c r="PI5" s="10">
        <v>0.51003679988732065</v>
      </c>
      <c r="PJ5">
        <v>0.75650308952061684</v>
      </c>
      <c r="PK5">
        <v>0</v>
      </c>
      <c r="PL5">
        <v>0.39941676009410154</v>
      </c>
      <c r="PM5">
        <v>0</v>
      </c>
      <c r="PN5">
        <v>0</v>
      </c>
      <c r="PO5" s="10">
        <v>7.3004734431298033</v>
      </c>
      <c r="PP5" s="10">
        <v>0</v>
      </c>
      <c r="PQ5" s="16">
        <f t="shared" si="21"/>
        <v>7.3004734431298033</v>
      </c>
      <c r="PR5">
        <v>0</v>
      </c>
      <c r="PS5">
        <v>0</v>
      </c>
      <c r="PT5">
        <v>0</v>
      </c>
      <c r="PU5">
        <v>0.42620952171199777</v>
      </c>
      <c r="PV5">
        <v>0</v>
      </c>
      <c r="PW5">
        <v>0.36245588917558902</v>
      </c>
      <c r="PX5">
        <v>0</v>
      </c>
      <c r="PY5" s="16">
        <v>2.006360996270157</v>
      </c>
      <c r="PZ5" s="10">
        <v>2.6985712613961539</v>
      </c>
      <c r="QA5">
        <v>0</v>
      </c>
      <c r="QB5" s="10">
        <v>21.368469738764212</v>
      </c>
      <c r="QC5">
        <v>0.38110544914114219</v>
      </c>
      <c r="QD5">
        <v>0</v>
      </c>
      <c r="QE5">
        <v>0.31847577794234389</v>
      </c>
      <c r="QF5">
        <v>0.46941567334015538</v>
      </c>
      <c r="QG5">
        <v>0</v>
      </c>
      <c r="QH5">
        <v>0</v>
      </c>
      <c r="QI5">
        <v>0.31507150228678116</v>
      </c>
      <c r="QJ5">
        <v>0.3638647823085539</v>
      </c>
      <c r="QK5">
        <v>0</v>
      </c>
      <c r="QL5">
        <v>0</v>
      </c>
      <c r="QM5">
        <v>0</v>
      </c>
      <c r="QN5">
        <v>0</v>
      </c>
      <c r="QO5">
        <v>0</v>
      </c>
      <c r="QP5">
        <v>0.43508569177552914</v>
      </c>
      <c r="QQ5">
        <v>0</v>
      </c>
      <c r="QR5">
        <v>0</v>
      </c>
      <c r="QS5">
        <v>0</v>
      </c>
      <c r="QT5" s="10">
        <v>3.537200064567724</v>
      </c>
      <c r="QU5" s="10">
        <v>0</v>
      </c>
      <c r="QV5" s="10">
        <f t="shared" si="22"/>
        <v>3.537200064567724</v>
      </c>
      <c r="QW5">
        <v>0</v>
      </c>
      <c r="QX5">
        <v>2.3020218783130488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0.29285169532812988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1.3222363158036796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0.31325441712505908</v>
      </c>
      <c r="TY5">
        <v>0</v>
      </c>
      <c r="TZ5">
        <v>0</v>
      </c>
      <c r="UA5">
        <v>0</v>
      </c>
      <c r="UB5">
        <v>1.711011704631239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</row>
    <row r="6" spans="1:560" x14ac:dyDescent="0.25">
      <c r="A6" s="5" t="s">
        <v>1436</v>
      </c>
      <c r="B6" s="5" t="s">
        <v>1441</v>
      </c>
      <c r="C6" s="5">
        <v>7.37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0">
        <v>0</v>
      </c>
      <c r="R6" s="10">
        <v>5.4701153363036559</v>
      </c>
      <c r="S6" s="10">
        <v>0</v>
      </c>
      <c r="T6" s="10">
        <v>0</v>
      </c>
      <c r="U6" s="10">
        <f t="shared" si="0"/>
        <v>5.4701153363036559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2.4438739218607042</v>
      </c>
      <c r="AC6">
        <v>0</v>
      </c>
      <c r="AD6">
        <v>0</v>
      </c>
      <c r="AE6">
        <v>0</v>
      </c>
      <c r="AF6">
        <v>0</v>
      </c>
      <c r="AG6">
        <v>0.75009557050013176</v>
      </c>
      <c r="AH6">
        <v>0</v>
      </c>
      <c r="AI6">
        <v>0</v>
      </c>
      <c r="AJ6">
        <v>0</v>
      </c>
      <c r="AK6">
        <v>0.97251700171330657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0.3550681350441009</v>
      </c>
      <c r="AW6">
        <v>0</v>
      </c>
      <c r="AX6">
        <v>0</v>
      </c>
      <c r="AY6">
        <v>0</v>
      </c>
      <c r="AZ6">
        <v>0.48174188597464723</v>
      </c>
      <c r="BA6">
        <v>0</v>
      </c>
      <c r="BB6">
        <v>0</v>
      </c>
      <c r="BC6">
        <v>0</v>
      </c>
      <c r="BD6">
        <v>0.47954059268070248</v>
      </c>
      <c r="BE6">
        <v>0</v>
      </c>
      <c r="BF6">
        <v>0.48389200703802859</v>
      </c>
      <c r="BG6">
        <v>0</v>
      </c>
      <c r="BH6">
        <v>0</v>
      </c>
      <c r="BI6" s="10">
        <v>2.61585402760719</v>
      </c>
      <c r="BJ6" s="10">
        <v>0</v>
      </c>
      <c r="BK6" s="10">
        <v>0</v>
      </c>
      <c r="BL6" s="10">
        <f t="shared" si="1"/>
        <v>2.61585402760719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0.34822377525794301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0.85910987340123857</v>
      </c>
      <c r="CD6">
        <v>0</v>
      </c>
      <c r="CE6">
        <v>0</v>
      </c>
      <c r="CF6">
        <v>0</v>
      </c>
      <c r="CG6">
        <v>0</v>
      </c>
      <c r="CH6">
        <v>0.31944516353424446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0.90664443869598543</v>
      </c>
      <c r="CQ6">
        <v>0</v>
      </c>
      <c r="CR6">
        <v>0</v>
      </c>
      <c r="CS6">
        <v>0</v>
      </c>
      <c r="CT6">
        <v>0</v>
      </c>
      <c r="CU6" s="10">
        <v>1.3989834132958494</v>
      </c>
      <c r="CV6" s="10">
        <v>0</v>
      </c>
      <c r="CW6" s="10">
        <v>0</v>
      </c>
      <c r="CX6" s="16">
        <f t="shared" si="2"/>
        <v>1.3989834132958494</v>
      </c>
      <c r="CY6" s="10">
        <v>1.1571839753273794</v>
      </c>
      <c r="CZ6" s="10">
        <v>0</v>
      </c>
      <c r="DA6" s="10">
        <v>0</v>
      </c>
      <c r="DB6" s="16">
        <f t="shared" si="3"/>
        <v>1.1571839753273794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 s="10">
        <v>9.4452632402298757</v>
      </c>
      <c r="DJ6" s="10">
        <v>0</v>
      </c>
      <c r="DK6" s="10">
        <v>0</v>
      </c>
      <c r="DL6" s="16">
        <f t="shared" si="4"/>
        <v>9.4452632402298757</v>
      </c>
      <c r="DM6" s="10">
        <v>6.6210746386832033</v>
      </c>
      <c r="DN6" s="10">
        <v>0</v>
      </c>
      <c r="DO6" s="10">
        <v>0</v>
      </c>
      <c r="DP6" s="16">
        <f t="shared" si="5"/>
        <v>6.6210746386832033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 s="10">
        <v>0</v>
      </c>
      <c r="DY6" s="10">
        <v>0</v>
      </c>
      <c r="DZ6" s="16">
        <f t="shared" si="6"/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0.33383402570623333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0.46573059787988391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 s="10">
        <v>0</v>
      </c>
      <c r="GT6" s="10">
        <v>0</v>
      </c>
      <c r="GU6" s="10">
        <v>0.38250591600974371</v>
      </c>
      <c r="GV6" s="10">
        <f t="shared" si="7"/>
        <v>0.38250591600974371</v>
      </c>
      <c r="GW6" s="10">
        <v>20.203269008214622</v>
      </c>
      <c r="GX6" s="10">
        <v>0</v>
      </c>
      <c r="GY6" s="16">
        <f t="shared" si="8"/>
        <v>20.203269008214622</v>
      </c>
      <c r="GZ6">
        <v>0</v>
      </c>
      <c r="HA6">
        <v>0</v>
      </c>
      <c r="HB6">
        <v>0</v>
      </c>
      <c r="HC6">
        <v>0</v>
      </c>
      <c r="HD6">
        <v>0</v>
      </c>
      <c r="HE6" s="10">
        <v>0</v>
      </c>
      <c r="HF6" s="10">
        <v>0.92708256842433878</v>
      </c>
      <c r="HG6" s="10">
        <f t="shared" si="9"/>
        <v>0.92708256842433878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1.1419248894425733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1.5656951456402324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0.3999938039598378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0.7692174203093699</v>
      </c>
      <c r="JE6">
        <v>0</v>
      </c>
      <c r="JF6">
        <v>0</v>
      </c>
      <c r="JG6">
        <v>1.0024172614040354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0.56664726503589125</v>
      </c>
      <c r="JP6">
        <v>0</v>
      </c>
      <c r="JQ6">
        <v>0</v>
      </c>
      <c r="JR6">
        <v>0.34031958829196729</v>
      </c>
      <c r="JS6">
        <v>0</v>
      </c>
      <c r="JT6" s="10">
        <v>0</v>
      </c>
      <c r="JU6" s="10">
        <v>5.2542117091394029</v>
      </c>
      <c r="JV6" s="16">
        <f t="shared" si="10"/>
        <v>5.2542117091394029</v>
      </c>
      <c r="JW6">
        <v>0</v>
      </c>
      <c r="JX6">
        <v>0</v>
      </c>
      <c r="JY6">
        <v>0</v>
      </c>
      <c r="JZ6">
        <v>0</v>
      </c>
      <c r="KA6">
        <v>0</v>
      </c>
      <c r="KB6" s="10">
        <v>1.2655605480025061</v>
      </c>
      <c r="KC6" s="10">
        <v>0</v>
      </c>
      <c r="KD6" s="10">
        <f t="shared" si="11"/>
        <v>1.2655605480025061</v>
      </c>
      <c r="KE6" s="10">
        <v>0</v>
      </c>
      <c r="KF6" s="10">
        <v>0.74107032715360632</v>
      </c>
      <c r="KG6" s="10">
        <f t="shared" si="12"/>
        <v>0.74107032715360632</v>
      </c>
      <c r="KH6">
        <v>0</v>
      </c>
      <c r="KI6">
        <v>0</v>
      </c>
      <c r="KJ6">
        <v>7.600429492731382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0.79619051009457908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 s="10">
        <v>5.4640506874987995</v>
      </c>
      <c r="LE6" s="10">
        <v>0</v>
      </c>
      <c r="LF6" s="10">
        <v>0</v>
      </c>
      <c r="LG6" s="10">
        <v>0</v>
      </c>
      <c r="LH6" s="10">
        <v>0</v>
      </c>
      <c r="LI6" s="10">
        <f t="shared" si="13"/>
        <v>5.4640506874987995</v>
      </c>
      <c r="LJ6">
        <v>0</v>
      </c>
      <c r="LK6">
        <v>0</v>
      </c>
      <c r="LL6">
        <v>0</v>
      </c>
      <c r="LM6">
        <v>0</v>
      </c>
      <c r="LN6">
        <v>0</v>
      </c>
      <c r="LO6">
        <v>0.427544282150016</v>
      </c>
      <c r="LP6">
        <v>0</v>
      </c>
      <c r="LQ6">
        <v>0</v>
      </c>
      <c r="LR6">
        <v>0</v>
      </c>
      <c r="LS6">
        <v>0</v>
      </c>
      <c r="LT6">
        <v>0</v>
      </c>
      <c r="LU6">
        <v>0.85597416926134229</v>
      </c>
      <c r="LV6">
        <v>0</v>
      </c>
      <c r="LW6">
        <v>0</v>
      </c>
      <c r="LX6">
        <v>0.45484984353726676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0.3266648849422803</v>
      </c>
      <c r="MG6">
        <v>0</v>
      </c>
      <c r="MH6" s="10">
        <v>0</v>
      </c>
      <c r="MI6" s="10">
        <v>0.37918770744061281</v>
      </c>
      <c r="MJ6" s="10">
        <f t="shared" si="14"/>
        <v>0.37918770744061281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 s="10">
        <v>0.67154175968678809</v>
      </c>
      <c r="MT6" s="10">
        <v>0</v>
      </c>
      <c r="MU6" s="10">
        <v>0</v>
      </c>
      <c r="MV6" s="16">
        <f t="shared" si="15"/>
        <v>0.67154175968678809</v>
      </c>
      <c r="MW6">
        <v>2.0352781546811398</v>
      </c>
      <c r="MX6">
        <v>0</v>
      </c>
      <c r="MY6">
        <v>2.0352781546811398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 s="10">
        <v>0</v>
      </c>
      <c r="NG6" s="10">
        <v>1.3794924135227786</v>
      </c>
      <c r="NH6" s="10">
        <v>0</v>
      </c>
      <c r="NI6" s="10">
        <f t="shared" si="16"/>
        <v>1.3794924135227786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 s="10">
        <v>0.31825548312195662</v>
      </c>
      <c r="NQ6" s="10">
        <v>0</v>
      </c>
      <c r="NR6" s="10">
        <f t="shared" si="17"/>
        <v>0.31825548312195662</v>
      </c>
      <c r="NS6">
        <v>0.33874419349439278</v>
      </c>
      <c r="NT6">
        <v>0</v>
      </c>
      <c r="NU6">
        <v>0</v>
      </c>
      <c r="NV6">
        <v>0.54965216862405464</v>
      </c>
      <c r="NW6">
        <v>0</v>
      </c>
      <c r="NX6">
        <v>0</v>
      </c>
      <c r="NY6">
        <v>0.37172661874853247</v>
      </c>
      <c r="NZ6">
        <v>0.64596215185639949</v>
      </c>
      <c r="OA6">
        <v>0</v>
      </c>
      <c r="OB6">
        <v>0</v>
      </c>
      <c r="OC6" s="10">
        <v>0.60724429567380134</v>
      </c>
      <c r="OD6" s="10">
        <v>0</v>
      </c>
      <c r="OE6" s="10">
        <f t="shared" si="18"/>
        <v>0.60724429567380134</v>
      </c>
      <c r="OF6" s="10">
        <v>0.52584643285544852</v>
      </c>
      <c r="OG6" s="10">
        <v>0</v>
      </c>
      <c r="OH6" s="16">
        <f t="shared" si="19"/>
        <v>0.52584643285544852</v>
      </c>
      <c r="OI6">
        <v>0</v>
      </c>
      <c r="OJ6">
        <v>0</v>
      </c>
      <c r="OK6" s="10">
        <v>0.43446347762595727</v>
      </c>
      <c r="OL6" s="10">
        <v>0</v>
      </c>
      <c r="OM6" s="10">
        <f t="shared" si="20"/>
        <v>0.43446347762595727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0.86331723645056269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 s="10">
        <v>0.35264588419968901</v>
      </c>
      <c r="PJ6">
        <v>0.99911265932395599</v>
      </c>
      <c r="PK6">
        <v>0</v>
      </c>
      <c r="PL6">
        <v>0.35964790178290046</v>
      </c>
      <c r="PM6">
        <v>3.1130942961980059</v>
      </c>
      <c r="PN6">
        <v>0</v>
      </c>
      <c r="PO6" s="10">
        <v>13.597189016259442</v>
      </c>
      <c r="PP6" s="10">
        <v>0</v>
      </c>
      <c r="PQ6" s="16">
        <f t="shared" si="21"/>
        <v>13.597189016259442</v>
      </c>
      <c r="PR6">
        <v>0.79068047361519145</v>
      </c>
      <c r="PS6">
        <v>0.88755394297021373</v>
      </c>
      <c r="PT6">
        <v>1.4905820017974836</v>
      </c>
      <c r="PU6">
        <v>0</v>
      </c>
      <c r="PV6">
        <v>0</v>
      </c>
      <c r="PW6">
        <v>0</v>
      </c>
      <c r="PX6">
        <v>0</v>
      </c>
      <c r="PY6" s="16">
        <v>1.4995398042852317</v>
      </c>
      <c r="PZ6" s="10">
        <v>4.0527755861043371</v>
      </c>
      <c r="QA6">
        <v>0</v>
      </c>
      <c r="QB6" s="10">
        <v>40.976906952013969</v>
      </c>
      <c r="QC6">
        <v>0.57603396772200277</v>
      </c>
      <c r="QD6">
        <v>0</v>
      </c>
      <c r="QE6">
        <v>0</v>
      </c>
      <c r="QF6">
        <v>0.67781642169222345</v>
      </c>
      <c r="QG6">
        <v>0</v>
      </c>
      <c r="QH6">
        <v>0</v>
      </c>
      <c r="QI6">
        <v>0.36607312254762331</v>
      </c>
      <c r="QJ6">
        <v>0</v>
      </c>
      <c r="QK6">
        <v>0</v>
      </c>
      <c r="QL6">
        <v>1.5507720808763508</v>
      </c>
      <c r="QM6">
        <v>1.0127303885186116</v>
      </c>
      <c r="QN6">
        <v>0</v>
      </c>
      <c r="QO6">
        <v>0.97149917717360446</v>
      </c>
      <c r="QP6">
        <v>0</v>
      </c>
      <c r="QQ6">
        <v>0.34857192390171793</v>
      </c>
      <c r="QR6">
        <v>0.3936324745350091</v>
      </c>
      <c r="QS6">
        <v>0</v>
      </c>
      <c r="QT6" s="10">
        <v>8.5397312799104714</v>
      </c>
      <c r="QU6" s="10">
        <v>0</v>
      </c>
      <c r="QV6" s="10">
        <f t="shared" si="22"/>
        <v>8.5397312799104714</v>
      </c>
      <c r="QW6">
        <v>0</v>
      </c>
      <c r="QX6">
        <v>0</v>
      </c>
      <c r="QY6">
        <v>7.1237690388309991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0.35312270290297293</v>
      </c>
      <c r="RH6">
        <v>0</v>
      </c>
      <c r="RI6">
        <v>1.4173962467082071</v>
      </c>
      <c r="RJ6">
        <v>0</v>
      </c>
      <c r="RK6">
        <v>0</v>
      </c>
      <c r="RL6">
        <v>0</v>
      </c>
      <c r="RM6">
        <v>1.9790798053794536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3.7060307770476468</v>
      </c>
      <c r="RU6">
        <v>0</v>
      </c>
      <c r="RV6">
        <v>0</v>
      </c>
      <c r="RW6">
        <v>0</v>
      </c>
      <c r="RX6">
        <v>0</v>
      </c>
      <c r="RY6">
        <v>0</v>
      </c>
      <c r="RZ6">
        <v>2.3639582789692475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0.51440396714959558</v>
      </c>
      <c r="SH6">
        <v>0</v>
      </c>
      <c r="SI6">
        <v>0</v>
      </c>
      <c r="SJ6">
        <v>0</v>
      </c>
      <c r="SK6">
        <v>0.6775253611438169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1.3259635982143538</v>
      </c>
      <c r="SU6">
        <v>0</v>
      </c>
      <c r="SV6">
        <v>0</v>
      </c>
      <c r="SW6">
        <v>0</v>
      </c>
      <c r="SX6">
        <v>0.63630184042305615</v>
      </c>
      <c r="SY6">
        <v>0</v>
      </c>
      <c r="SZ6">
        <v>0</v>
      </c>
      <c r="TA6">
        <v>0</v>
      </c>
      <c r="TB6">
        <v>0</v>
      </c>
      <c r="TC6">
        <v>0.60254976115778458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0.56760918465318611</v>
      </c>
      <c r="TK6">
        <v>9.4045390184986566</v>
      </c>
      <c r="TL6">
        <v>0.60965027788999937</v>
      </c>
      <c r="TM6">
        <v>0.34180151242562268</v>
      </c>
      <c r="TN6">
        <v>0</v>
      </c>
      <c r="TO6">
        <v>0</v>
      </c>
      <c r="TP6">
        <v>0</v>
      </c>
      <c r="TQ6">
        <v>0.79588820940304295</v>
      </c>
      <c r="TR6">
        <v>0</v>
      </c>
      <c r="TS6">
        <v>0</v>
      </c>
      <c r="TT6">
        <v>0</v>
      </c>
      <c r="TU6">
        <v>3.1675545644199796</v>
      </c>
      <c r="TV6">
        <v>0</v>
      </c>
      <c r="TW6">
        <v>40.623794010287924</v>
      </c>
      <c r="TX6">
        <v>0</v>
      </c>
      <c r="TY6">
        <v>0</v>
      </c>
      <c r="TZ6">
        <v>0</v>
      </c>
      <c r="UA6">
        <v>5.6404597054315566</v>
      </c>
      <c r="UB6">
        <v>0</v>
      </c>
      <c r="UC6">
        <v>0</v>
      </c>
      <c r="UD6">
        <v>0</v>
      </c>
      <c r="UE6">
        <v>0</v>
      </c>
      <c r="UF6">
        <v>31.488373597634041</v>
      </c>
      <c r="UG6">
        <v>0</v>
      </c>
      <c r="UH6">
        <v>0</v>
      </c>
      <c r="UI6">
        <v>0</v>
      </c>
      <c r="UJ6">
        <v>0</v>
      </c>
      <c r="UK6">
        <v>0</v>
      </c>
      <c r="UL6">
        <v>7.7714722296995138</v>
      </c>
      <c r="UM6">
        <v>24.021035681766921</v>
      </c>
      <c r="UN6">
        <v>0</v>
      </c>
    </row>
    <row r="7" spans="1:560" x14ac:dyDescent="0.25">
      <c r="A7" s="5" t="s">
        <v>1436</v>
      </c>
      <c r="B7" s="5" t="s">
        <v>1442</v>
      </c>
      <c r="C7" s="5">
        <v>11.86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10">
        <v>3.0664868698773735</v>
      </c>
      <c r="R7" s="10">
        <v>0</v>
      </c>
      <c r="S7" s="10">
        <v>0</v>
      </c>
      <c r="T7" s="10">
        <v>0</v>
      </c>
      <c r="U7" s="10">
        <f t="shared" si="0"/>
        <v>3.0664868698773735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0.37645829302619849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 s="10">
        <v>1.3851041867768141</v>
      </c>
      <c r="BJ7" s="10">
        <v>0</v>
      </c>
      <c r="BK7" s="10">
        <v>0</v>
      </c>
      <c r="BL7" s="10">
        <f t="shared" si="1"/>
        <v>1.3851041867768141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0.45844838460401427</v>
      </c>
      <c r="BW7">
        <v>0</v>
      </c>
      <c r="BX7">
        <v>0</v>
      </c>
      <c r="BY7">
        <v>0</v>
      </c>
      <c r="BZ7">
        <v>0</v>
      </c>
      <c r="CA7">
        <v>0</v>
      </c>
      <c r="CB7">
        <v>0.56957245138524193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0.36782519899497079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 s="10">
        <v>0</v>
      </c>
      <c r="CV7" s="10">
        <v>0.70543273709279175</v>
      </c>
      <c r="CW7" s="10">
        <v>0</v>
      </c>
      <c r="CX7" s="16">
        <f t="shared" si="2"/>
        <v>0.70543273709279175</v>
      </c>
      <c r="CY7" s="10">
        <v>0</v>
      </c>
      <c r="CZ7" s="10">
        <v>0</v>
      </c>
      <c r="DA7" s="10">
        <v>0</v>
      </c>
      <c r="DB7" s="16">
        <f t="shared" si="3"/>
        <v>0</v>
      </c>
      <c r="DC7">
        <v>0</v>
      </c>
      <c r="DD7">
        <v>0</v>
      </c>
      <c r="DE7">
        <v>0</v>
      </c>
      <c r="DF7">
        <v>0.29170342298250168</v>
      </c>
      <c r="DG7">
        <v>0</v>
      </c>
      <c r="DH7">
        <v>0</v>
      </c>
      <c r="DI7" s="10">
        <v>4.7136874146904848</v>
      </c>
      <c r="DJ7" s="10">
        <v>0</v>
      </c>
      <c r="DK7" s="10">
        <v>0</v>
      </c>
      <c r="DL7" s="16">
        <f t="shared" si="4"/>
        <v>4.7136874146904848</v>
      </c>
      <c r="DM7" s="10">
        <v>0</v>
      </c>
      <c r="DN7" s="10">
        <v>0</v>
      </c>
      <c r="DO7" s="10">
        <v>0</v>
      </c>
      <c r="DP7" s="16">
        <f t="shared" si="5"/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0.29663386316719614</v>
      </c>
      <c r="DW7">
        <v>0</v>
      </c>
      <c r="DX7" s="10">
        <v>0</v>
      </c>
      <c r="DY7" s="10">
        <v>0</v>
      </c>
      <c r="DZ7" s="16">
        <f t="shared" si="6"/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0.27791885303233727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0.29513741461061899</v>
      </c>
      <c r="EZ7">
        <v>0</v>
      </c>
      <c r="FA7">
        <v>0</v>
      </c>
      <c r="FB7">
        <v>0</v>
      </c>
      <c r="FC7">
        <v>0</v>
      </c>
      <c r="FD7">
        <v>0.44709447501537358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0.25903507417663713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 s="10">
        <v>0</v>
      </c>
      <c r="GT7" s="10">
        <v>0</v>
      </c>
      <c r="GU7" s="10">
        <v>0</v>
      </c>
      <c r="GV7" s="10">
        <f t="shared" si="7"/>
        <v>0</v>
      </c>
      <c r="GW7" s="10">
        <v>9.2692165564984137</v>
      </c>
      <c r="GX7" s="10">
        <v>0</v>
      </c>
      <c r="GY7" s="16">
        <f t="shared" si="8"/>
        <v>9.2692165564984137</v>
      </c>
      <c r="GZ7">
        <v>0</v>
      </c>
      <c r="HA7">
        <v>0</v>
      </c>
      <c r="HB7">
        <v>0.42201461268785917</v>
      </c>
      <c r="HC7">
        <v>0</v>
      </c>
      <c r="HD7">
        <v>0</v>
      </c>
      <c r="HE7" s="10">
        <v>0.51000710670184923</v>
      </c>
      <c r="HF7" s="10">
        <v>0</v>
      </c>
      <c r="HG7" s="10">
        <f t="shared" si="9"/>
        <v>0.51000710670184923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1.1898849378172911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0.37475985932904859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0.41478247000648077</v>
      </c>
      <c r="JP7">
        <v>0</v>
      </c>
      <c r="JQ7">
        <v>0</v>
      </c>
      <c r="JR7">
        <v>0.31602345970865953</v>
      </c>
      <c r="JS7">
        <v>0</v>
      </c>
      <c r="JT7" s="10">
        <v>5.0150587697218771</v>
      </c>
      <c r="JU7" s="10">
        <v>0</v>
      </c>
      <c r="JV7" s="16">
        <f t="shared" si="10"/>
        <v>5.0150587697218771</v>
      </c>
      <c r="JW7">
        <v>0</v>
      </c>
      <c r="JX7">
        <v>0</v>
      </c>
      <c r="JY7">
        <v>0</v>
      </c>
      <c r="JZ7">
        <v>0</v>
      </c>
      <c r="KA7">
        <v>0</v>
      </c>
      <c r="KB7" s="10">
        <v>0.48448785952803447</v>
      </c>
      <c r="KC7" s="10">
        <v>0</v>
      </c>
      <c r="KD7" s="10">
        <f t="shared" si="11"/>
        <v>0.48448785952803447</v>
      </c>
      <c r="KE7" s="10">
        <v>0.31264955072211531</v>
      </c>
      <c r="KF7" s="10">
        <v>0</v>
      </c>
      <c r="KG7" s="10">
        <f t="shared" si="12"/>
        <v>0.31264955072211531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19.998391967068709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 s="10">
        <v>0</v>
      </c>
      <c r="LE7" s="10">
        <v>4.7130145379525432</v>
      </c>
      <c r="LF7" s="10">
        <v>0</v>
      </c>
      <c r="LG7" s="10">
        <v>0</v>
      </c>
      <c r="LH7" s="10">
        <v>0</v>
      </c>
      <c r="LI7" s="10">
        <f t="shared" si="13"/>
        <v>4.7130145379525432</v>
      </c>
      <c r="LJ7">
        <v>0</v>
      </c>
      <c r="LK7">
        <v>0</v>
      </c>
      <c r="LL7">
        <v>0</v>
      </c>
      <c r="LM7">
        <v>0.73990942686697636</v>
      </c>
      <c r="LN7">
        <v>0</v>
      </c>
      <c r="LO7">
        <v>0</v>
      </c>
      <c r="LP7">
        <v>0</v>
      </c>
      <c r="LQ7">
        <v>0.36524872832036137</v>
      </c>
      <c r="LR7">
        <v>0</v>
      </c>
      <c r="LS7">
        <v>0</v>
      </c>
      <c r="LT7">
        <v>0</v>
      </c>
      <c r="LU7">
        <v>0.45563646813072023</v>
      </c>
      <c r="LV7">
        <v>0</v>
      </c>
      <c r="LW7">
        <v>0</v>
      </c>
      <c r="LX7">
        <v>0.48608859787303316</v>
      </c>
      <c r="LY7">
        <v>0</v>
      </c>
      <c r="LZ7">
        <v>0</v>
      </c>
      <c r="MA7">
        <v>0</v>
      </c>
      <c r="MB7">
        <v>0.29397752654220299</v>
      </c>
      <c r="MC7">
        <v>0</v>
      </c>
      <c r="MD7">
        <v>0</v>
      </c>
      <c r="ME7">
        <v>0.32597348708688645</v>
      </c>
      <c r="MF7">
        <v>0</v>
      </c>
      <c r="MG7">
        <v>0</v>
      </c>
      <c r="MH7" s="10">
        <v>0</v>
      </c>
      <c r="MI7" s="10">
        <v>0.35936917778951727</v>
      </c>
      <c r="MJ7" s="10">
        <f t="shared" si="14"/>
        <v>0.35936917778951727</v>
      </c>
      <c r="MK7">
        <v>0</v>
      </c>
      <c r="ML7">
        <v>0</v>
      </c>
      <c r="MM7">
        <v>0.28025719128607801</v>
      </c>
      <c r="MN7">
        <v>0</v>
      </c>
      <c r="MO7">
        <v>0</v>
      </c>
      <c r="MP7">
        <v>0</v>
      </c>
      <c r="MQ7">
        <v>0</v>
      </c>
      <c r="MR7">
        <v>0</v>
      </c>
      <c r="MS7" s="10">
        <v>0</v>
      </c>
      <c r="MT7" s="10">
        <v>0.90383880843948927</v>
      </c>
      <c r="MU7" s="10">
        <v>0</v>
      </c>
      <c r="MV7" s="16">
        <f t="shared" si="15"/>
        <v>0.90383880843948927</v>
      </c>
      <c r="MW7">
        <v>1.2647554806070826</v>
      </c>
      <c r="MX7">
        <v>0</v>
      </c>
      <c r="MY7">
        <v>1.2647554806070826</v>
      </c>
      <c r="MZ7">
        <v>0</v>
      </c>
      <c r="NA7">
        <v>0</v>
      </c>
      <c r="NB7">
        <v>0.33411761588059702</v>
      </c>
      <c r="NC7">
        <v>0</v>
      </c>
      <c r="ND7">
        <v>0.26101462624960231</v>
      </c>
      <c r="NE7">
        <v>0</v>
      </c>
      <c r="NF7" s="10">
        <v>1.8503731723912695</v>
      </c>
      <c r="NG7" s="10">
        <v>0</v>
      </c>
      <c r="NH7" s="10">
        <v>0</v>
      </c>
      <c r="NI7" s="10">
        <f t="shared" si="16"/>
        <v>1.8503731723912695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 s="10">
        <v>0</v>
      </c>
      <c r="NQ7" s="10">
        <v>0</v>
      </c>
      <c r="NR7" s="10">
        <f t="shared" si="17"/>
        <v>0</v>
      </c>
      <c r="NS7">
        <v>0</v>
      </c>
      <c r="NT7">
        <v>0.46561702530649435</v>
      </c>
      <c r="NU7">
        <v>0</v>
      </c>
      <c r="NV7">
        <v>0.5754229375488209</v>
      </c>
      <c r="NW7">
        <v>0</v>
      </c>
      <c r="NX7">
        <v>0</v>
      </c>
      <c r="NY7">
        <v>0</v>
      </c>
      <c r="NZ7">
        <v>0.37095022907190972</v>
      </c>
      <c r="OA7">
        <v>0</v>
      </c>
      <c r="OB7">
        <v>0</v>
      </c>
      <c r="OC7" s="10">
        <v>0</v>
      </c>
      <c r="OD7" s="10">
        <v>0.34048320078839367</v>
      </c>
      <c r="OE7" s="10">
        <f t="shared" si="18"/>
        <v>0.34048320078839367</v>
      </c>
      <c r="OF7" s="10">
        <v>0</v>
      </c>
      <c r="OG7" s="10">
        <v>0.32328149165835807</v>
      </c>
      <c r="OH7" s="16">
        <f t="shared" si="19"/>
        <v>0.32328149165835807</v>
      </c>
      <c r="OI7">
        <v>0</v>
      </c>
      <c r="OJ7">
        <v>0</v>
      </c>
      <c r="OK7" s="10">
        <v>0.41090933777044347</v>
      </c>
      <c r="OL7" s="10">
        <v>0</v>
      </c>
      <c r="OM7" s="10">
        <f t="shared" si="20"/>
        <v>0.41090933777044347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0.30809865698052852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 s="10">
        <v>0</v>
      </c>
      <c r="PJ7">
        <v>0.26146451334625892</v>
      </c>
      <c r="PK7">
        <v>0</v>
      </c>
      <c r="PL7">
        <v>0.2905076318721701</v>
      </c>
      <c r="PM7">
        <v>0</v>
      </c>
      <c r="PN7">
        <v>0</v>
      </c>
      <c r="PO7" s="10">
        <v>8.1002779906591176</v>
      </c>
      <c r="PP7" s="10">
        <v>0</v>
      </c>
      <c r="PQ7" s="16">
        <f t="shared" si="21"/>
        <v>8.1002779906591176</v>
      </c>
      <c r="PR7">
        <v>0</v>
      </c>
      <c r="PS7">
        <v>0</v>
      </c>
      <c r="PT7">
        <v>0.63065134131183809</v>
      </c>
      <c r="PU7">
        <v>0</v>
      </c>
      <c r="PV7">
        <v>0</v>
      </c>
      <c r="PW7">
        <v>0</v>
      </c>
      <c r="PX7">
        <v>0</v>
      </c>
      <c r="PY7" s="16">
        <v>1.4264090489512316</v>
      </c>
      <c r="PZ7" s="10">
        <v>2.4998465002485721</v>
      </c>
      <c r="QA7">
        <v>0</v>
      </c>
      <c r="QB7" s="10">
        <v>21.637356305218706</v>
      </c>
      <c r="QC7">
        <v>0.28389121414772506</v>
      </c>
      <c r="QD7">
        <v>0</v>
      </c>
      <c r="QE7">
        <v>0</v>
      </c>
      <c r="QF7">
        <v>0.34113507302562307</v>
      </c>
      <c r="QG7">
        <v>0</v>
      </c>
      <c r="QH7">
        <v>0</v>
      </c>
      <c r="QI7">
        <v>0</v>
      </c>
      <c r="QJ7">
        <v>0</v>
      </c>
      <c r="QK7">
        <v>0</v>
      </c>
      <c r="QL7">
        <v>0.26746545035215097</v>
      </c>
      <c r="QM7">
        <v>0</v>
      </c>
      <c r="QN7">
        <v>0.32922991741246876</v>
      </c>
      <c r="QO7">
        <v>0</v>
      </c>
      <c r="QP7">
        <v>0</v>
      </c>
      <c r="QQ7">
        <v>0</v>
      </c>
      <c r="QR7">
        <v>0</v>
      </c>
      <c r="QS7">
        <v>0</v>
      </c>
      <c r="QT7" s="10">
        <v>2.131683275335158</v>
      </c>
      <c r="QU7" s="10">
        <v>0</v>
      </c>
      <c r="QV7" s="10">
        <f t="shared" si="22"/>
        <v>2.131683275335158</v>
      </c>
      <c r="QW7">
        <v>0</v>
      </c>
      <c r="QX7">
        <v>1.3672728311021634</v>
      </c>
      <c r="QY7">
        <v>0</v>
      </c>
      <c r="QZ7">
        <v>0</v>
      </c>
      <c r="RA7">
        <v>0</v>
      </c>
      <c r="RB7">
        <v>0.37152418926579844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0.84630088655161595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6.6249177085589679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0.66372610278265198</v>
      </c>
      <c r="SN7">
        <v>0</v>
      </c>
      <c r="SO7">
        <v>0</v>
      </c>
      <c r="SP7">
        <v>0.28341397235246613</v>
      </c>
      <c r="SQ7">
        <v>0</v>
      </c>
      <c r="SR7">
        <v>0</v>
      </c>
      <c r="SS7">
        <v>0</v>
      </c>
      <c r="ST7">
        <v>0.5041905696731428</v>
      </c>
      <c r="SU7">
        <v>0</v>
      </c>
      <c r="SV7">
        <v>0</v>
      </c>
      <c r="SW7">
        <v>0.25931912341301694</v>
      </c>
      <c r="SX7">
        <v>0</v>
      </c>
      <c r="SY7">
        <v>0</v>
      </c>
      <c r="SZ7">
        <v>0</v>
      </c>
      <c r="TA7">
        <v>0</v>
      </c>
      <c r="TB7">
        <v>0.2572277101618386</v>
      </c>
      <c r="TC7">
        <v>0</v>
      </c>
      <c r="TD7">
        <v>0</v>
      </c>
      <c r="TE7">
        <v>0</v>
      </c>
      <c r="TF7">
        <v>0</v>
      </c>
      <c r="TG7">
        <v>0.66225993978524167</v>
      </c>
      <c r="TH7">
        <v>0</v>
      </c>
      <c r="TI7">
        <v>0</v>
      </c>
      <c r="TJ7">
        <v>0</v>
      </c>
      <c r="TK7">
        <v>1.1827993381641395</v>
      </c>
      <c r="TL7">
        <v>0</v>
      </c>
      <c r="TM7">
        <v>0</v>
      </c>
      <c r="TN7">
        <v>0.77599662452137486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0.43938167120141081</v>
      </c>
      <c r="TY7">
        <v>0</v>
      </c>
      <c r="TZ7">
        <v>0</v>
      </c>
      <c r="UA7">
        <v>1.0154823702557811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0.34947801186096145</v>
      </c>
    </row>
    <row r="8" spans="1:560" x14ac:dyDescent="0.25">
      <c r="A8" s="5" t="s">
        <v>1436</v>
      </c>
      <c r="B8" s="5" t="s">
        <v>1443</v>
      </c>
      <c r="C8" s="5">
        <v>13.78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10">
        <v>0</v>
      </c>
      <c r="R8" s="10">
        <v>5.3777042481687172</v>
      </c>
      <c r="S8" s="10">
        <v>0</v>
      </c>
      <c r="T8" s="10">
        <v>0</v>
      </c>
      <c r="U8" s="10">
        <f t="shared" si="0"/>
        <v>5.3777042481687172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0.652458730005403</v>
      </c>
      <c r="AE8">
        <v>0</v>
      </c>
      <c r="AF8">
        <v>0</v>
      </c>
      <c r="AG8">
        <v>0</v>
      </c>
      <c r="AH8">
        <v>0</v>
      </c>
      <c r="AI8">
        <v>0.30200652677362988</v>
      </c>
      <c r="AJ8">
        <v>0</v>
      </c>
      <c r="AK8">
        <v>0</v>
      </c>
      <c r="AL8">
        <v>0.3135771123761939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0.24796595266986507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 s="10">
        <v>1.1062344279511183</v>
      </c>
      <c r="BJ8" s="10">
        <v>0</v>
      </c>
      <c r="BK8" s="10">
        <v>0</v>
      </c>
      <c r="BL8" s="10">
        <f t="shared" si="1"/>
        <v>1.1062344279511183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0.97128407248405502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0.4150513014158706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 s="10">
        <v>0</v>
      </c>
      <c r="CV8" s="10">
        <v>0.59657577368757853</v>
      </c>
      <c r="CW8" s="10">
        <v>0</v>
      </c>
      <c r="CX8" s="16">
        <f t="shared" si="2"/>
        <v>0.59657577368757853</v>
      </c>
      <c r="CY8" s="10">
        <v>0</v>
      </c>
      <c r="CZ8" s="10">
        <v>0.72470157552317693</v>
      </c>
      <c r="DA8" s="10">
        <v>0</v>
      </c>
      <c r="DB8" s="16">
        <f t="shared" si="3"/>
        <v>0.72470157552317693</v>
      </c>
      <c r="DC8">
        <v>0</v>
      </c>
      <c r="DD8">
        <v>0</v>
      </c>
      <c r="DE8">
        <v>0</v>
      </c>
      <c r="DF8">
        <v>0.33059571936144139</v>
      </c>
      <c r="DG8">
        <v>0</v>
      </c>
      <c r="DH8">
        <v>0</v>
      </c>
      <c r="DI8" s="10">
        <v>0</v>
      </c>
      <c r="DJ8" s="10">
        <v>4.0294298549510561</v>
      </c>
      <c r="DK8" s="10">
        <v>0</v>
      </c>
      <c r="DL8" s="16">
        <f t="shared" si="4"/>
        <v>4.0294298549510561</v>
      </c>
      <c r="DM8" s="10">
        <v>0</v>
      </c>
      <c r="DN8" s="10">
        <v>2.5828811476409927</v>
      </c>
      <c r="DO8" s="10">
        <v>0</v>
      </c>
      <c r="DP8" s="16">
        <f t="shared" si="5"/>
        <v>2.5828811476409927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0.30261801666966659</v>
      </c>
      <c r="DX8" s="10">
        <v>0</v>
      </c>
      <c r="DY8" s="10">
        <v>0</v>
      </c>
      <c r="DZ8" s="16">
        <f t="shared" si="6"/>
        <v>0</v>
      </c>
      <c r="EA8">
        <v>0</v>
      </c>
      <c r="EB8">
        <v>0</v>
      </c>
      <c r="EC8">
        <v>0</v>
      </c>
      <c r="ED8">
        <v>0.35013817485815135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0.35533225361114235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0.36877390433433294</v>
      </c>
      <c r="EY8">
        <v>0</v>
      </c>
      <c r="EZ8">
        <v>0</v>
      </c>
      <c r="FA8">
        <v>0.34533996966907249</v>
      </c>
      <c r="FB8">
        <v>0</v>
      </c>
      <c r="FC8">
        <v>0</v>
      </c>
      <c r="FD8">
        <v>0.25075808526430354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0.45847277116250168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 s="10">
        <v>0</v>
      </c>
      <c r="GT8" s="10">
        <v>0</v>
      </c>
      <c r="GU8" s="10">
        <v>0.26785309757825115</v>
      </c>
      <c r="GV8" s="10">
        <f t="shared" si="7"/>
        <v>0.26785309757825115</v>
      </c>
      <c r="GW8" s="10">
        <v>8.2095431341540603</v>
      </c>
      <c r="GX8" s="10">
        <v>0</v>
      </c>
      <c r="GY8" s="16">
        <f t="shared" si="8"/>
        <v>8.2095431341540603</v>
      </c>
      <c r="GZ8">
        <v>0</v>
      </c>
      <c r="HA8">
        <v>0</v>
      </c>
      <c r="HB8">
        <v>0</v>
      </c>
      <c r="HC8">
        <v>0</v>
      </c>
      <c r="HD8">
        <v>0</v>
      </c>
      <c r="HE8" s="10">
        <v>0</v>
      </c>
      <c r="HF8" s="10">
        <v>0.3151084334138628</v>
      </c>
      <c r="HG8" s="10">
        <f t="shared" si="9"/>
        <v>0.3151084334138628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0.60395395686907427</v>
      </c>
      <c r="IL8">
        <v>0</v>
      </c>
      <c r="IM8">
        <v>0.92138372758337883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0.42636992252022943</v>
      </c>
      <c r="IY8">
        <v>0</v>
      </c>
      <c r="IZ8">
        <v>0</v>
      </c>
      <c r="JA8">
        <v>0</v>
      </c>
      <c r="JB8">
        <v>0.25722830609309122</v>
      </c>
      <c r="JC8">
        <v>0</v>
      </c>
      <c r="JD8">
        <v>0.86340246829031486</v>
      </c>
      <c r="JE8">
        <v>0</v>
      </c>
      <c r="JF8">
        <v>0</v>
      </c>
      <c r="JG8">
        <v>0</v>
      </c>
      <c r="JH8">
        <v>0</v>
      </c>
      <c r="JI8">
        <v>0.31353730248001038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0.5097983597998359</v>
      </c>
      <c r="JS8">
        <v>0</v>
      </c>
      <c r="JT8" s="10">
        <v>0</v>
      </c>
      <c r="JU8" s="10">
        <v>2.3819976915680297</v>
      </c>
      <c r="JV8" s="16">
        <f t="shared" si="10"/>
        <v>2.3819976915680297</v>
      </c>
      <c r="JW8">
        <v>0</v>
      </c>
      <c r="JX8">
        <v>0</v>
      </c>
      <c r="JY8">
        <v>0</v>
      </c>
      <c r="JZ8">
        <v>0</v>
      </c>
      <c r="KA8">
        <v>0</v>
      </c>
      <c r="KB8" s="10">
        <v>1.7080611516719502</v>
      </c>
      <c r="KC8" s="10">
        <v>0</v>
      </c>
      <c r="KD8" s="10">
        <f t="shared" si="11"/>
        <v>1.7080611516719502</v>
      </c>
      <c r="KE8" s="10">
        <v>0</v>
      </c>
      <c r="KF8" s="10">
        <v>0.96921865594479317</v>
      </c>
      <c r="KG8" s="10">
        <f t="shared" si="12"/>
        <v>0.96921865594479317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40.373017055718705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 s="10">
        <v>0</v>
      </c>
      <c r="LE8" s="10">
        <v>3.2825729595027746</v>
      </c>
      <c r="LF8" s="10">
        <v>0</v>
      </c>
      <c r="LG8" s="10">
        <v>0</v>
      </c>
      <c r="LH8" s="10">
        <v>0</v>
      </c>
      <c r="LI8" s="10">
        <f t="shared" si="13"/>
        <v>3.2825729595027746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0.29362073286574947</v>
      </c>
      <c r="LR8">
        <v>0</v>
      </c>
      <c r="LS8">
        <v>0</v>
      </c>
      <c r="LT8">
        <v>0</v>
      </c>
      <c r="LU8">
        <v>0.52054975170018813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0.9473743971960793</v>
      </c>
      <c r="MF8">
        <v>0</v>
      </c>
      <c r="MG8">
        <v>0</v>
      </c>
      <c r="MH8" s="10">
        <v>0</v>
      </c>
      <c r="MI8" s="10">
        <v>0.56415123141217094</v>
      </c>
      <c r="MJ8" s="10">
        <f t="shared" si="14"/>
        <v>0.56415123141217094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 s="10">
        <v>0</v>
      </c>
      <c r="MT8" s="10">
        <v>0.45560893130164565</v>
      </c>
      <c r="MU8" s="10">
        <v>0</v>
      </c>
      <c r="MV8" s="16">
        <f t="shared" si="15"/>
        <v>0.45560893130164565</v>
      </c>
      <c r="MW8">
        <v>1.088534107402032</v>
      </c>
      <c r="MX8">
        <v>0</v>
      </c>
      <c r="MY8">
        <v>1.088534107402032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 s="10">
        <v>0</v>
      </c>
      <c r="NG8" s="10">
        <v>0.70442028791593014</v>
      </c>
      <c r="NH8" s="10">
        <v>0</v>
      </c>
      <c r="NI8" s="10">
        <f t="shared" si="16"/>
        <v>0.70442028791593014</v>
      </c>
      <c r="NJ8">
        <v>0</v>
      </c>
      <c r="NK8">
        <v>0</v>
      </c>
      <c r="NL8">
        <v>0</v>
      </c>
      <c r="NM8">
        <v>0</v>
      </c>
      <c r="NN8">
        <v>0.26884710865066019</v>
      </c>
      <c r="NO8">
        <v>0</v>
      </c>
      <c r="NP8" s="10">
        <v>0</v>
      </c>
      <c r="NQ8" s="10">
        <v>0.53206964768338805</v>
      </c>
      <c r="NR8" s="10">
        <f t="shared" si="17"/>
        <v>0.53206964768338805</v>
      </c>
      <c r="NS8">
        <v>0.37684196087205279</v>
      </c>
      <c r="NT8">
        <v>0</v>
      </c>
      <c r="NU8">
        <v>0</v>
      </c>
      <c r="NV8">
        <v>0.52785894754606144</v>
      </c>
      <c r="NW8">
        <v>0</v>
      </c>
      <c r="NX8">
        <v>0</v>
      </c>
      <c r="NY8">
        <v>0</v>
      </c>
      <c r="NZ8">
        <v>0.26500508276929419</v>
      </c>
      <c r="OA8">
        <v>0</v>
      </c>
      <c r="OB8">
        <v>0</v>
      </c>
      <c r="OC8" s="10">
        <v>0</v>
      </c>
      <c r="OD8" s="10">
        <v>0.94391093622811084</v>
      </c>
      <c r="OE8" s="10">
        <f t="shared" si="18"/>
        <v>0.94391093622811084</v>
      </c>
      <c r="OF8" s="10">
        <v>0</v>
      </c>
      <c r="OG8" s="10">
        <v>0.55798094477015747</v>
      </c>
      <c r="OH8" s="16">
        <f t="shared" si="19"/>
        <v>0.55798094477015747</v>
      </c>
      <c r="OI8">
        <v>0</v>
      </c>
      <c r="OJ8">
        <v>0</v>
      </c>
      <c r="OK8" s="10">
        <v>0.35364836918250914</v>
      </c>
      <c r="OL8" s="10">
        <v>0</v>
      </c>
      <c r="OM8" s="10">
        <f t="shared" si="20"/>
        <v>0.35364836918250914</v>
      </c>
      <c r="ON8">
        <v>0.46918039690369567</v>
      </c>
      <c r="OO8">
        <v>0.35448190433800442</v>
      </c>
      <c r="OP8">
        <v>0</v>
      </c>
      <c r="OQ8">
        <v>0</v>
      </c>
      <c r="OR8">
        <v>0</v>
      </c>
      <c r="OS8">
        <v>0.47145252818338884</v>
      </c>
      <c r="OT8">
        <v>0</v>
      </c>
      <c r="OU8">
        <v>0</v>
      </c>
      <c r="OV8">
        <v>0</v>
      </c>
      <c r="OW8">
        <v>0.44170513960971564</v>
      </c>
      <c r="OX8">
        <v>0</v>
      </c>
      <c r="OY8">
        <v>0</v>
      </c>
      <c r="OZ8">
        <v>0</v>
      </c>
      <c r="PA8">
        <v>0.34637008164112626</v>
      </c>
      <c r="PB8">
        <v>0</v>
      </c>
      <c r="PC8">
        <v>0.33129943963807729</v>
      </c>
      <c r="PD8">
        <v>0</v>
      </c>
      <c r="PE8">
        <v>0</v>
      </c>
      <c r="PF8">
        <v>0</v>
      </c>
      <c r="PG8">
        <v>0.28097701093128119</v>
      </c>
      <c r="PH8">
        <v>0</v>
      </c>
      <c r="PI8" s="10">
        <v>0.30978824877855132</v>
      </c>
      <c r="PJ8">
        <v>0.81947434961647836</v>
      </c>
      <c r="PK8">
        <v>0.46355953628230218</v>
      </c>
      <c r="PL8">
        <v>0</v>
      </c>
      <c r="PM8">
        <v>0</v>
      </c>
      <c r="PN8">
        <v>0</v>
      </c>
      <c r="PO8" s="10">
        <v>9.2403373143044885</v>
      </c>
      <c r="PP8" s="10">
        <v>0</v>
      </c>
      <c r="PQ8" s="16">
        <f t="shared" si="21"/>
        <v>9.2403373143044885</v>
      </c>
      <c r="PR8">
        <v>0</v>
      </c>
      <c r="PS8">
        <v>0</v>
      </c>
      <c r="PT8">
        <v>0</v>
      </c>
      <c r="PU8">
        <v>0.72190449760002007</v>
      </c>
      <c r="PV8">
        <v>0</v>
      </c>
      <c r="PW8">
        <v>0</v>
      </c>
      <c r="PX8">
        <v>0</v>
      </c>
      <c r="PY8" s="16">
        <v>1.9174184285039821</v>
      </c>
      <c r="PZ8" s="10">
        <v>3.3039239217118221</v>
      </c>
      <c r="QA8">
        <v>0</v>
      </c>
      <c r="QB8" s="10">
        <v>27.040267168970693</v>
      </c>
      <c r="QC8">
        <v>0.5340992105894411</v>
      </c>
      <c r="QD8">
        <v>0</v>
      </c>
      <c r="QE8">
        <v>0</v>
      </c>
      <c r="QF8">
        <v>1.1632862127115489</v>
      </c>
      <c r="QG8">
        <v>0</v>
      </c>
      <c r="QH8">
        <v>0</v>
      </c>
      <c r="QI8">
        <v>0</v>
      </c>
      <c r="QJ8">
        <v>0</v>
      </c>
      <c r="QK8">
        <v>0.50152383578812065</v>
      </c>
      <c r="QL8">
        <v>0</v>
      </c>
      <c r="QM8">
        <v>0.62902108634360376</v>
      </c>
      <c r="QN8">
        <v>0</v>
      </c>
      <c r="QO8">
        <v>0</v>
      </c>
      <c r="QP8">
        <v>0</v>
      </c>
      <c r="QQ8">
        <v>0.34626449887298733</v>
      </c>
      <c r="QR8">
        <v>0</v>
      </c>
      <c r="QS8">
        <v>0</v>
      </c>
      <c r="QT8" s="10">
        <v>3.3475150162334963</v>
      </c>
      <c r="QU8" s="10">
        <v>0</v>
      </c>
      <c r="QV8" s="10">
        <f t="shared" si="22"/>
        <v>3.3475150162334963</v>
      </c>
      <c r="QW8">
        <v>0</v>
      </c>
      <c r="QX8">
        <v>3.4795434242272618</v>
      </c>
      <c r="QY8">
        <v>0</v>
      </c>
      <c r="QZ8">
        <v>0</v>
      </c>
      <c r="RA8">
        <v>0.82445948823111459</v>
      </c>
      <c r="RB8">
        <v>0</v>
      </c>
      <c r="RC8">
        <v>0</v>
      </c>
      <c r="RD8">
        <v>0</v>
      </c>
      <c r="RE8">
        <v>0</v>
      </c>
      <c r="RF8">
        <v>0.29604097674056029</v>
      </c>
      <c r="RG8">
        <v>0</v>
      </c>
      <c r="RH8">
        <v>0</v>
      </c>
      <c r="RI8">
        <v>0</v>
      </c>
      <c r="RJ8">
        <v>0.30767115355418162</v>
      </c>
      <c r="RK8">
        <v>0.34030018517209731</v>
      </c>
      <c r="RL8">
        <v>0</v>
      </c>
      <c r="RM8">
        <v>0.41003574902961576</v>
      </c>
      <c r="RN8">
        <v>0</v>
      </c>
      <c r="RO8">
        <v>0</v>
      </c>
      <c r="RP8">
        <v>0</v>
      </c>
      <c r="RQ8">
        <v>0.29403910767533059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1.0573951033269862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0.65114623976352559</v>
      </c>
      <c r="TX8">
        <v>0</v>
      </c>
      <c r="TY8">
        <v>0</v>
      </c>
      <c r="TZ8">
        <v>0</v>
      </c>
      <c r="UA8">
        <v>2.3833596350970909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0.3936137959542495</v>
      </c>
      <c r="UI8">
        <v>0</v>
      </c>
      <c r="UJ8">
        <v>0</v>
      </c>
      <c r="UK8">
        <v>0</v>
      </c>
      <c r="UL8">
        <v>0</v>
      </c>
      <c r="UM8">
        <v>0.52126311536782499</v>
      </c>
      <c r="UN8">
        <v>0</v>
      </c>
    </row>
    <row r="9" spans="1:560" x14ac:dyDescent="0.25">
      <c r="A9" s="5" t="s">
        <v>1436</v>
      </c>
      <c r="B9" s="5" t="s">
        <v>1444</v>
      </c>
      <c r="C9" s="5">
        <v>13.22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10">
        <v>0</v>
      </c>
      <c r="R9" s="10">
        <v>0</v>
      </c>
      <c r="S9" s="10">
        <v>2.4813498831390914</v>
      </c>
      <c r="T9" s="10">
        <v>0</v>
      </c>
      <c r="U9" s="10">
        <f t="shared" si="0"/>
        <v>2.4813498831390914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0.69937302629997378</v>
      </c>
      <c r="AY9">
        <v>0.36939385847613865</v>
      </c>
      <c r="AZ9">
        <v>0</v>
      </c>
      <c r="BA9">
        <v>0</v>
      </c>
      <c r="BB9">
        <v>0</v>
      </c>
      <c r="BC9">
        <v>0</v>
      </c>
      <c r="BD9">
        <v>0.29212027029442039</v>
      </c>
      <c r="BE9">
        <v>0</v>
      </c>
      <c r="BF9">
        <v>0</v>
      </c>
      <c r="BG9">
        <v>0</v>
      </c>
      <c r="BH9">
        <v>0</v>
      </c>
      <c r="BI9" s="10">
        <v>0</v>
      </c>
      <c r="BJ9" s="10">
        <v>1.0152610089967939</v>
      </c>
      <c r="BK9" s="10">
        <v>0</v>
      </c>
      <c r="BL9" s="10">
        <f t="shared" si="1"/>
        <v>1.0152610089967939</v>
      </c>
      <c r="BM9">
        <v>0</v>
      </c>
      <c r="BN9">
        <v>0.32708994615610976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1.0321118928518729</v>
      </c>
      <c r="BV9">
        <v>0</v>
      </c>
      <c r="BW9">
        <v>0</v>
      </c>
      <c r="BX9">
        <v>0</v>
      </c>
      <c r="BY9">
        <v>2.3547880099007861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1.0085521254815082</v>
      </c>
      <c r="CI9">
        <v>0</v>
      </c>
      <c r="CJ9">
        <v>0.59212170789786089</v>
      </c>
      <c r="CK9">
        <v>0</v>
      </c>
      <c r="CL9">
        <v>1.4411893538648077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 s="10">
        <v>0</v>
      </c>
      <c r="CV9" s="10">
        <v>0</v>
      </c>
      <c r="CW9" s="10">
        <v>6.2490267375631117</v>
      </c>
      <c r="CX9" s="16">
        <f t="shared" si="2"/>
        <v>6.2490267375631117</v>
      </c>
      <c r="CY9" s="10">
        <v>0</v>
      </c>
      <c r="CZ9" s="10">
        <v>0</v>
      </c>
      <c r="DA9" s="10">
        <v>0</v>
      </c>
      <c r="DB9" s="16">
        <f t="shared" si="3"/>
        <v>0</v>
      </c>
      <c r="DC9">
        <v>1.9138726972312612</v>
      </c>
      <c r="DD9">
        <v>0</v>
      </c>
      <c r="DE9">
        <v>0</v>
      </c>
      <c r="DF9">
        <v>1.4488372786926402</v>
      </c>
      <c r="DG9">
        <v>0</v>
      </c>
      <c r="DH9">
        <v>0.69341294727960689</v>
      </c>
      <c r="DI9" s="10">
        <v>0</v>
      </c>
      <c r="DJ9" s="10">
        <v>4.0971230049942093</v>
      </c>
      <c r="DK9" s="10">
        <v>0</v>
      </c>
      <c r="DL9" s="16">
        <f t="shared" si="4"/>
        <v>4.0971230049942093</v>
      </c>
      <c r="DM9" s="10">
        <v>0</v>
      </c>
      <c r="DN9" s="10">
        <v>0</v>
      </c>
      <c r="DO9" s="10">
        <v>1.506151179492909</v>
      </c>
      <c r="DP9" s="16">
        <f t="shared" si="5"/>
        <v>1.506151179492909</v>
      </c>
      <c r="DQ9">
        <v>0.76677453792435768</v>
      </c>
      <c r="DR9">
        <v>0</v>
      </c>
      <c r="DS9">
        <v>1.0650587846793154</v>
      </c>
      <c r="DT9">
        <v>1.536827119309917</v>
      </c>
      <c r="DU9">
        <v>0</v>
      </c>
      <c r="DV9">
        <v>5.9755150178908965</v>
      </c>
      <c r="DW9">
        <v>0</v>
      </c>
      <c r="DX9" s="10">
        <v>0</v>
      </c>
      <c r="DY9" s="10">
        <v>0.77392612679981487</v>
      </c>
      <c r="DZ9" s="16">
        <f t="shared" si="6"/>
        <v>0.77392612679981487</v>
      </c>
      <c r="EA9">
        <v>0</v>
      </c>
      <c r="EB9">
        <v>0</v>
      </c>
      <c r="EC9">
        <v>0</v>
      </c>
      <c r="ED9">
        <v>0</v>
      </c>
      <c r="EE9">
        <v>24.92075116169099</v>
      </c>
      <c r="EF9">
        <v>0</v>
      </c>
      <c r="EG9">
        <v>0</v>
      </c>
      <c r="EH9">
        <v>0</v>
      </c>
      <c r="EI9">
        <v>13.406308045028702</v>
      </c>
      <c r="EJ9">
        <v>0</v>
      </c>
      <c r="EK9">
        <v>0</v>
      </c>
      <c r="EL9">
        <v>0</v>
      </c>
      <c r="EM9">
        <v>0</v>
      </c>
      <c r="EN9">
        <v>3.745510723527476</v>
      </c>
      <c r="EO9">
        <v>0</v>
      </c>
      <c r="EP9">
        <v>2.1708656885557711</v>
      </c>
      <c r="EQ9">
        <v>0</v>
      </c>
      <c r="ER9">
        <v>0</v>
      </c>
      <c r="ES9">
        <v>0</v>
      </c>
      <c r="ET9">
        <v>0</v>
      </c>
      <c r="EU9">
        <v>3.6576030996199447</v>
      </c>
      <c r="EV9">
        <v>0</v>
      </c>
      <c r="EW9">
        <v>11.412720049823509</v>
      </c>
      <c r="EX9">
        <v>0</v>
      </c>
      <c r="EY9">
        <v>0</v>
      </c>
      <c r="EZ9">
        <v>0</v>
      </c>
      <c r="FA9">
        <v>0</v>
      </c>
      <c r="FB9">
        <v>0</v>
      </c>
      <c r="FC9">
        <v>3.8082699002578542</v>
      </c>
      <c r="FD9">
        <v>0</v>
      </c>
      <c r="FE9">
        <v>0</v>
      </c>
      <c r="FF9">
        <v>2.6744885711594035</v>
      </c>
      <c r="FG9">
        <v>0</v>
      </c>
      <c r="FH9">
        <v>6.1194774885543683</v>
      </c>
      <c r="FI9">
        <v>0</v>
      </c>
      <c r="FJ9">
        <v>8.0791365449560129</v>
      </c>
      <c r="FK9">
        <v>0</v>
      </c>
      <c r="FL9">
        <v>0</v>
      </c>
      <c r="FM9">
        <v>0</v>
      </c>
      <c r="FN9">
        <v>0</v>
      </c>
      <c r="FO9">
        <v>0</v>
      </c>
      <c r="FP9">
        <v>3.8420665334023352</v>
      </c>
      <c r="FQ9">
        <v>0</v>
      </c>
      <c r="FR9">
        <v>5.401444304835918</v>
      </c>
      <c r="FS9">
        <v>0</v>
      </c>
      <c r="FT9">
        <v>2.4203357244512627</v>
      </c>
      <c r="FU9">
        <v>0</v>
      </c>
      <c r="FV9">
        <v>0</v>
      </c>
      <c r="FW9">
        <v>2.2314290466996991</v>
      </c>
      <c r="FX9">
        <v>2.6901949984148157</v>
      </c>
      <c r="FY9">
        <v>0</v>
      </c>
      <c r="FZ9">
        <v>0</v>
      </c>
      <c r="GA9">
        <v>22.519583820411682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1.2710437703538404</v>
      </c>
      <c r="GI9">
        <v>0</v>
      </c>
      <c r="GJ9">
        <v>0</v>
      </c>
      <c r="GK9">
        <v>1.82192835936244</v>
      </c>
      <c r="GL9">
        <v>0</v>
      </c>
      <c r="GM9">
        <v>0</v>
      </c>
      <c r="GN9">
        <v>0.41257736310320553</v>
      </c>
      <c r="GO9">
        <v>0</v>
      </c>
      <c r="GP9">
        <v>0</v>
      </c>
      <c r="GQ9">
        <v>0</v>
      </c>
      <c r="GR9">
        <v>1.9052996446879158</v>
      </c>
      <c r="GS9" s="10">
        <v>0</v>
      </c>
      <c r="GT9" s="10">
        <v>4.7961919559553676</v>
      </c>
      <c r="GU9" s="10">
        <v>0</v>
      </c>
      <c r="GV9" s="10">
        <f t="shared" si="7"/>
        <v>4.7961919559553676</v>
      </c>
      <c r="GW9" s="10">
        <v>0</v>
      </c>
      <c r="GX9" s="10">
        <v>27.681883243223766</v>
      </c>
      <c r="GY9" s="16">
        <f t="shared" si="8"/>
        <v>27.681883243223766</v>
      </c>
      <c r="GZ9">
        <v>0</v>
      </c>
      <c r="HA9">
        <v>0</v>
      </c>
      <c r="HB9">
        <v>0</v>
      </c>
      <c r="HC9">
        <v>0</v>
      </c>
      <c r="HD9">
        <v>2.0462856174840853</v>
      </c>
      <c r="HE9" s="10">
        <v>0</v>
      </c>
      <c r="HF9" s="10">
        <v>0</v>
      </c>
      <c r="HG9" s="10">
        <f t="shared" si="9"/>
        <v>0</v>
      </c>
      <c r="HH9">
        <v>2.0684378347835959</v>
      </c>
      <c r="HI9">
        <v>1.1538447360214266</v>
      </c>
      <c r="HJ9">
        <v>0</v>
      </c>
      <c r="HK9">
        <v>0</v>
      </c>
      <c r="HL9">
        <v>2.8443293204080811</v>
      </c>
      <c r="HM9">
        <v>1.83416600039004</v>
      </c>
      <c r="HN9">
        <v>0</v>
      </c>
      <c r="HO9">
        <v>1.9352793987042427</v>
      </c>
      <c r="HP9">
        <v>0</v>
      </c>
      <c r="HQ9">
        <v>0</v>
      </c>
      <c r="HR9">
        <v>0</v>
      </c>
      <c r="HS9">
        <v>0</v>
      </c>
      <c r="HT9">
        <v>1.0145716535073839</v>
      </c>
      <c r="HU9">
        <v>0</v>
      </c>
      <c r="HV9">
        <v>2.027454449309336</v>
      </c>
      <c r="HW9">
        <v>0</v>
      </c>
      <c r="HX9">
        <v>1.0372369030757105</v>
      </c>
      <c r="HY9">
        <v>0</v>
      </c>
      <c r="HZ9">
        <v>0.95789423652779604</v>
      </c>
      <c r="IA9">
        <v>0</v>
      </c>
      <c r="IB9">
        <v>1.4664883208644177</v>
      </c>
      <c r="IC9">
        <v>0</v>
      </c>
      <c r="ID9">
        <v>0</v>
      </c>
      <c r="IE9">
        <v>1.2368122740584258</v>
      </c>
      <c r="IF9">
        <v>0</v>
      </c>
      <c r="IG9">
        <v>2.8332497966026904</v>
      </c>
      <c r="IH9">
        <v>0</v>
      </c>
      <c r="II9">
        <v>0</v>
      </c>
      <c r="IJ9">
        <v>0</v>
      </c>
      <c r="IK9">
        <v>1.7845248159177733</v>
      </c>
      <c r="IL9">
        <v>0</v>
      </c>
      <c r="IM9">
        <v>0.51245371615384328</v>
      </c>
      <c r="IN9">
        <v>0</v>
      </c>
      <c r="IO9">
        <v>0</v>
      </c>
      <c r="IP9">
        <v>0</v>
      </c>
      <c r="IQ9">
        <v>2.9891354610007941</v>
      </c>
      <c r="IR9">
        <v>0</v>
      </c>
      <c r="IS9">
        <v>0</v>
      </c>
      <c r="IT9">
        <v>2.5594937035716607</v>
      </c>
      <c r="IU9">
        <v>0</v>
      </c>
      <c r="IV9">
        <v>0</v>
      </c>
      <c r="IW9">
        <v>0</v>
      </c>
      <c r="IX9">
        <v>1.1523845672563349</v>
      </c>
      <c r="IY9">
        <v>0.32203298607049285</v>
      </c>
      <c r="IZ9">
        <v>0.34960745862138487</v>
      </c>
      <c r="JA9">
        <v>0.40880020097022168</v>
      </c>
      <c r="JB9">
        <v>0</v>
      </c>
      <c r="JC9">
        <v>1.196163320861964</v>
      </c>
      <c r="JD9">
        <v>0</v>
      </c>
      <c r="JE9">
        <v>0</v>
      </c>
      <c r="JF9">
        <v>0.62221226474147651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1.2064399036312494</v>
      </c>
      <c r="JN9">
        <v>0</v>
      </c>
      <c r="JO9">
        <v>0</v>
      </c>
      <c r="JP9">
        <v>0</v>
      </c>
      <c r="JQ9">
        <v>0</v>
      </c>
      <c r="JR9">
        <v>2.0134697664432535</v>
      </c>
      <c r="JS9">
        <v>0</v>
      </c>
      <c r="JT9" s="10">
        <v>0</v>
      </c>
      <c r="JU9" s="10">
        <v>4.0354721095112076</v>
      </c>
      <c r="JV9" s="16">
        <f t="shared" si="10"/>
        <v>4.0354721095112076</v>
      </c>
      <c r="JW9">
        <v>0</v>
      </c>
      <c r="JX9">
        <v>1.2285288773078784</v>
      </c>
      <c r="JY9">
        <v>0.26065277329342545</v>
      </c>
      <c r="JZ9">
        <v>0.32974288964874937</v>
      </c>
      <c r="KA9">
        <v>0</v>
      </c>
      <c r="KB9" s="10">
        <v>0</v>
      </c>
      <c r="KC9" s="10">
        <v>0.59577061196364067</v>
      </c>
      <c r="KD9" s="10">
        <f t="shared" si="11"/>
        <v>0.59577061196364067</v>
      </c>
      <c r="KE9" s="10">
        <v>0</v>
      </c>
      <c r="KF9" s="10">
        <v>0</v>
      </c>
      <c r="KG9" s="10">
        <f t="shared" si="12"/>
        <v>0</v>
      </c>
      <c r="KH9">
        <v>4.4111556727701728</v>
      </c>
      <c r="KI9">
        <v>0</v>
      </c>
      <c r="KJ9">
        <v>0</v>
      </c>
      <c r="KK9">
        <v>0</v>
      </c>
      <c r="KL9">
        <v>0</v>
      </c>
      <c r="KM9">
        <v>0</v>
      </c>
      <c r="KN9">
        <v>9.1063306136926094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0.97178101826565788</v>
      </c>
      <c r="LA9">
        <v>0</v>
      </c>
      <c r="LB9">
        <v>0</v>
      </c>
      <c r="LC9">
        <v>0</v>
      </c>
      <c r="LD9" s="10">
        <v>0</v>
      </c>
      <c r="LE9" s="10">
        <v>1.0762855396387747</v>
      </c>
      <c r="LF9" s="10">
        <v>0</v>
      </c>
      <c r="LG9" s="10">
        <v>0</v>
      </c>
      <c r="LH9" s="10">
        <v>0</v>
      </c>
      <c r="LI9" s="10">
        <f t="shared" si="13"/>
        <v>1.0762855396387747</v>
      </c>
      <c r="LJ9">
        <v>0</v>
      </c>
      <c r="LK9">
        <v>0</v>
      </c>
      <c r="LL9">
        <v>0</v>
      </c>
      <c r="LM9">
        <v>0</v>
      </c>
      <c r="LN9">
        <v>0.54935991174816889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4.0875580394695881</v>
      </c>
      <c r="LV9">
        <v>0</v>
      </c>
      <c r="LW9">
        <v>0</v>
      </c>
      <c r="LX9">
        <v>0.32794525291196125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 s="10">
        <v>0</v>
      </c>
      <c r="MI9" s="10">
        <v>0</v>
      </c>
      <c r="MJ9" s="10">
        <f t="shared" si="14"/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1.3013857838420335</v>
      </c>
      <c r="MR9">
        <v>0</v>
      </c>
      <c r="MS9" s="10">
        <v>0</v>
      </c>
      <c r="MT9" s="10">
        <v>0.65606202252917756</v>
      </c>
      <c r="MU9" s="10">
        <v>0</v>
      </c>
      <c r="MV9" s="16">
        <f t="shared" si="15"/>
        <v>0.65606202252917756</v>
      </c>
      <c r="MW9">
        <v>1.1346444780635401</v>
      </c>
      <c r="MX9">
        <v>0</v>
      </c>
      <c r="MY9">
        <v>1.1346444780635401</v>
      </c>
      <c r="MZ9">
        <v>0</v>
      </c>
      <c r="NA9">
        <v>0</v>
      </c>
      <c r="NB9">
        <v>0</v>
      </c>
      <c r="NC9">
        <v>0.2906322743352609</v>
      </c>
      <c r="ND9">
        <v>0</v>
      </c>
      <c r="NE9">
        <v>0</v>
      </c>
      <c r="NF9" s="10">
        <v>0</v>
      </c>
      <c r="NG9" s="10">
        <v>0.35196290411198911</v>
      </c>
      <c r="NH9" s="10">
        <v>0</v>
      </c>
      <c r="NI9" s="10">
        <f t="shared" si="16"/>
        <v>0.35196290411198911</v>
      </c>
      <c r="NJ9">
        <v>0</v>
      </c>
      <c r="NK9">
        <v>0</v>
      </c>
      <c r="NL9">
        <v>0</v>
      </c>
      <c r="NM9">
        <v>0.97267882473608569</v>
      </c>
      <c r="NN9">
        <v>0</v>
      </c>
      <c r="NO9">
        <v>0</v>
      </c>
      <c r="NP9" s="10">
        <v>0</v>
      </c>
      <c r="NQ9" s="10">
        <v>0</v>
      </c>
      <c r="NR9" s="10">
        <f t="shared" si="17"/>
        <v>0</v>
      </c>
      <c r="NS9">
        <v>0</v>
      </c>
      <c r="NT9">
        <v>0</v>
      </c>
      <c r="NU9">
        <v>0</v>
      </c>
      <c r="NV9">
        <v>0</v>
      </c>
      <c r="NW9">
        <v>0.50726141471525954</v>
      </c>
      <c r="NX9">
        <v>0</v>
      </c>
      <c r="NY9">
        <v>0</v>
      </c>
      <c r="NZ9">
        <v>0</v>
      </c>
      <c r="OA9">
        <v>0</v>
      </c>
      <c r="OB9">
        <v>0</v>
      </c>
      <c r="OC9" s="10">
        <v>0</v>
      </c>
      <c r="OD9" s="10">
        <v>0</v>
      </c>
      <c r="OE9" s="10">
        <f t="shared" si="18"/>
        <v>0</v>
      </c>
      <c r="OF9" s="10">
        <v>0</v>
      </c>
      <c r="OG9" s="10">
        <v>0</v>
      </c>
      <c r="OH9" s="16">
        <f t="shared" si="19"/>
        <v>0</v>
      </c>
      <c r="OI9">
        <v>0</v>
      </c>
      <c r="OJ9">
        <v>0.86596912472033116</v>
      </c>
      <c r="OK9" s="10">
        <v>0</v>
      </c>
      <c r="OL9" s="10">
        <v>0</v>
      </c>
      <c r="OM9" s="10">
        <f t="shared" si="20"/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 s="10">
        <v>0</v>
      </c>
      <c r="PJ9">
        <v>0</v>
      </c>
      <c r="PK9">
        <v>0</v>
      </c>
      <c r="PL9">
        <v>0</v>
      </c>
      <c r="PM9">
        <v>0</v>
      </c>
      <c r="PN9">
        <v>0</v>
      </c>
      <c r="PO9" s="10">
        <v>2.0294150016186672</v>
      </c>
      <c r="PP9" s="10">
        <v>0</v>
      </c>
      <c r="PQ9" s="16">
        <f t="shared" si="21"/>
        <v>2.0294150016186672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 s="16">
        <v>0.54087590622584092</v>
      </c>
      <c r="PZ9" s="10">
        <v>0.79926556971806928</v>
      </c>
      <c r="QA9">
        <v>0</v>
      </c>
      <c r="QB9" s="10">
        <v>7.5071862640890101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0.40807315228157426</v>
      </c>
      <c r="QL9">
        <v>0</v>
      </c>
      <c r="QM9">
        <v>0</v>
      </c>
      <c r="QN9">
        <v>0.40790290044877686</v>
      </c>
      <c r="QO9">
        <v>0</v>
      </c>
      <c r="QP9">
        <v>0</v>
      </c>
      <c r="QQ9">
        <v>0</v>
      </c>
      <c r="QR9">
        <v>0</v>
      </c>
      <c r="QS9">
        <v>0</v>
      </c>
      <c r="QT9" s="10">
        <v>1.5162567515059224</v>
      </c>
      <c r="QU9" s="10">
        <v>0</v>
      </c>
      <c r="QV9" s="10">
        <f t="shared" si="22"/>
        <v>1.5162567515059224</v>
      </c>
      <c r="QW9">
        <v>0</v>
      </c>
      <c r="QX9">
        <v>1.2078388525693917</v>
      </c>
      <c r="QY9">
        <v>0</v>
      </c>
      <c r="QZ9">
        <v>0</v>
      </c>
      <c r="RA9">
        <v>0</v>
      </c>
      <c r="RB9">
        <v>0</v>
      </c>
      <c r="RC9">
        <v>0.73948112003355171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0.26145925597241226</v>
      </c>
      <c r="RN9">
        <v>0</v>
      </c>
      <c r="RO9">
        <v>0</v>
      </c>
      <c r="RP9">
        <v>0</v>
      </c>
      <c r="RQ9">
        <v>0.37981488968008581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0.35061404412316921</v>
      </c>
      <c r="SA9">
        <v>0.28186139573954183</v>
      </c>
      <c r="SB9">
        <v>0</v>
      </c>
      <c r="SC9">
        <v>0</v>
      </c>
      <c r="SD9">
        <v>0</v>
      </c>
      <c r="SE9">
        <v>0.32872745003976156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0.2703209524105894</v>
      </c>
      <c r="SM9">
        <v>0</v>
      </c>
      <c r="SN9">
        <v>0</v>
      </c>
      <c r="SO9">
        <v>0.28252595972878219</v>
      </c>
      <c r="SP9">
        <v>0</v>
      </c>
      <c r="SQ9">
        <v>0</v>
      </c>
      <c r="SR9">
        <v>0.34446979967297098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11.095890243094734</v>
      </c>
      <c r="TJ9">
        <v>0</v>
      </c>
      <c r="TK9">
        <v>1.1245776111477301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0.70865263659815292</v>
      </c>
      <c r="TX9">
        <v>0</v>
      </c>
      <c r="TY9">
        <v>0</v>
      </c>
      <c r="TZ9">
        <v>0</v>
      </c>
      <c r="UA9">
        <v>2.0442782648938218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</row>
    <row r="10" spans="1:560" x14ac:dyDescent="0.25">
      <c r="A10" s="5" t="s">
        <v>1436</v>
      </c>
      <c r="B10" s="5" t="s">
        <v>1445</v>
      </c>
      <c r="C10" s="5">
        <v>10.199999999999999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10">
        <v>0</v>
      </c>
      <c r="R10" s="10">
        <v>0</v>
      </c>
      <c r="S10" s="10">
        <v>0</v>
      </c>
      <c r="T10" s="10">
        <v>1.032707257612</v>
      </c>
      <c r="U10" s="10">
        <f t="shared" si="0"/>
        <v>1.032707257612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0.62964592742812764</v>
      </c>
      <c r="BE10">
        <v>0</v>
      </c>
      <c r="BF10">
        <v>0</v>
      </c>
      <c r="BG10">
        <v>0</v>
      </c>
      <c r="BH10">
        <v>0</v>
      </c>
      <c r="BI10" s="10">
        <v>0</v>
      </c>
      <c r="BJ10" s="10">
        <v>0.59616450580418179</v>
      </c>
      <c r="BK10" s="10">
        <v>0</v>
      </c>
      <c r="BL10" s="10">
        <f t="shared" si="1"/>
        <v>0.59616450580418179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0.85735086785425707</v>
      </c>
      <c r="BV10">
        <v>0</v>
      </c>
      <c r="BW10">
        <v>0</v>
      </c>
      <c r="BX10">
        <v>0</v>
      </c>
      <c r="BY10">
        <v>0</v>
      </c>
      <c r="BZ10">
        <v>0.63057966130087351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0.62241284063398672</v>
      </c>
      <c r="CQ10">
        <v>0</v>
      </c>
      <c r="CR10">
        <v>0</v>
      </c>
      <c r="CS10">
        <v>0</v>
      </c>
      <c r="CT10">
        <v>0</v>
      </c>
      <c r="CU10" s="10">
        <v>0</v>
      </c>
      <c r="CV10" s="10">
        <v>0.4533760799472496</v>
      </c>
      <c r="CW10" s="10">
        <v>0</v>
      </c>
      <c r="CX10" s="16">
        <f t="shared" si="2"/>
        <v>0.4533760799472496</v>
      </c>
      <c r="CY10" s="10">
        <v>0</v>
      </c>
      <c r="CZ10" s="10">
        <v>0</v>
      </c>
      <c r="DA10" s="10">
        <v>0</v>
      </c>
      <c r="DB10" s="16">
        <f t="shared" si="3"/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 s="10">
        <v>0</v>
      </c>
      <c r="DJ10" s="10">
        <v>0</v>
      </c>
      <c r="DK10" s="10">
        <v>1.2533000808145465</v>
      </c>
      <c r="DL10" s="16">
        <f t="shared" si="4"/>
        <v>1.2533000808145465</v>
      </c>
      <c r="DM10" s="10">
        <v>0</v>
      </c>
      <c r="DN10" s="10">
        <v>0</v>
      </c>
      <c r="DO10" s="10">
        <v>0</v>
      </c>
      <c r="DP10" s="16">
        <f t="shared" si="5"/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0.48354527225006028</v>
      </c>
      <c r="DW10">
        <v>0</v>
      </c>
      <c r="DX10" s="10">
        <v>0</v>
      </c>
      <c r="DY10" s="10">
        <v>0</v>
      </c>
      <c r="DZ10" s="16">
        <f t="shared" si="6"/>
        <v>0</v>
      </c>
      <c r="EA10">
        <v>0</v>
      </c>
      <c r="EB10">
        <v>0</v>
      </c>
      <c r="EC10">
        <v>0</v>
      </c>
      <c r="ED10">
        <v>0</v>
      </c>
      <c r="EE10">
        <v>4.4416012318661293</v>
      </c>
      <c r="EF10">
        <v>0</v>
      </c>
      <c r="EG10">
        <v>0</v>
      </c>
      <c r="EH10">
        <v>0</v>
      </c>
      <c r="EI10">
        <v>0</v>
      </c>
      <c r="EJ10">
        <v>1.4949563868269802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0.69578844577567178</v>
      </c>
      <c r="EW10">
        <v>1.9453154444448828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0.92596432714587262</v>
      </c>
      <c r="FJ10">
        <v>0</v>
      </c>
      <c r="FK10">
        <v>0</v>
      </c>
      <c r="FL10">
        <v>0</v>
      </c>
      <c r="FM10">
        <v>0</v>
      </c>
      <c r="FN10">
        <v>0.98729040080201724</v>
      </c>
      <c r="FO10">
        <v>0</v>
      </c>
      <c r="FP10">
        <v>0</v>
      </c>
      <c r="FQ10">
        <v>0.52535572373777772</v>
      </c>
      <c r="FR10">
        <v>0</v>
      </c>
      <c r="FS10">
        <v>0.79099562176757798</v>
      </c>
      <c r="FT10">
        <v>0</v>
      </c>
      <c r="FU10">
        <v>0.35388719975197941</v>
      </c>
      <c r="FV10">
        <v>0</v>
      </c>
      <c r="FW10">
        <v>0</v>
      </c>
      <c r="FX10">
        <v>0</v>
      </c>
      <c r="FY10">
        <v>0.52797925129925782</v>
      </c>
      <c r="FZ10">
        <v>0</v>
      </c>
      <c r="GA10">
        <v>0</v>
      </c>
      <c r="GB10">
        <v>1.2147829571525643</v>
      </c>
      <c r="GC10">
        <v>0.50877430098249143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0.82383129957595913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 s="10">
        <v>0</v>
      </c>
      <c r="GT10" s="10">
        <v>0.42237556551040423</v>
      </c>
      <c r="GU10" s="10">
        <v>0</v>
      </c>
      <c r="GV10" s="10">
        <f t="shared" si="7"/>
        <v>0.42237556551040423</v>
      </c>
      <c r="GW10" s="10">
        <v>0</v>
      </c>
      <c r="GX10" s="10">
        <v>9.0913873143637733</v>
      </c>
      <c r="GY10" s="16">
        <f t="shared" si="8"/>
        <v>9.0913873143637733</v>
      </c>
      <c r="GZ10">
        <v>0</v>
      </c>
      <c r="HA10">
        <v>0</v>
      </c>
      <c r="HB10">
        <v>0</v>
      </c>
      <c r="HC10">
        <v>0</v>
      </c>
      <c r="HD10">
        <v>0</v>
      </c>
      <c r="HE10" s="10">
        <v>0</v>
      </c>
      <c r="HF10" s="10">
        <v>0</v>
      </c>
      <c r="HG10" s="10">
        <f t="shared" si="9"/>
        <v>0</v>
      </c>
      <c r="HH10">
        <v>0</v>
      </c>
      <c r="HI10">
        <v>0.47088539429488535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0.35681383856696042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 s="10">
        <v>0</v>
      </c>
      <c r="JU10" s="10">
        <v>2.0434104252703125</v>
      </c>
      <c r="JV10" s="16">
        <f t="shared" si="10"/>
        <v>2.0434104252703125</v>
      </c>
      <c r="JW10">
        <v>0</v>
      </c>
      <c r="JX10">
        <v>0</v>
      </c>
      <c r="JY10">
        <v>0</v>
      </c>
      <c r="JZ10">
        <v>0</v>
      </c>
      <c r="KA10">
        <v>0</v>
      </c>
      <c r="KB10" s="10">
        <v>0</v>
      </c>
      <c r="KC10" s="10">
        <v>0</v>
      </c>
      <c r="KD10" s="10">
        <f t="shared" si="11"/>
        <v>0</v>
      </c>
      <c r="KE10" s="10">
        <v>0</v>
      </c>
      <c r="KF10" s="10">
        <v>0</v>
      </c>
      <c r="KG10" s="10">
        <f t="shared" si="12"/>
        <v>0</v>
      </c>
      <c r="KH10">
        <v>2.1623510062132034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 s="10">
        <v>0</v>
      </c>
      <c r="LE10" s="10">
        <v>0</v>
      </c>
      <c r="LF10" s="10">
        <v>0</v>
      </c>
      <c r="LG10" s="10">
        <v>0</v>
      </c>
      <c r="LH10" s="10">
        <v>0</v>
      </c>
      <c r="LI10" s="10">
        <f t="shared" si="13"/>
        <v>0</v>
      </c>
      <c r="LJ10">
        <v>0.54379567898618486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 s="10">
        <v>0</v>
      </c>
      <c r="MI10" s="10">
        <v>0</v>
      </c>
      <c r="MJ10" s="10">
        <f t="shared" si="14"/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 s="10">
        <v>0</v>
      </c>
      <c r="MT10" s="10">
        <v>0</v>
      </c>
      <c r="MU10" s="10">
        <v>0</v>
      </c>
      <c r="MV10" s="16">
        <f t="shared" si="15"/>
        <v>0</v>
      </c>
      <c r="MW10">
        <v>1.4705882352941178</v>
      </c>
      <c r="MX10">
        <v>0</v>
      </c>
      <c r="MY10">
        <v>1.4705882352941178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 s="10">
        <v>0</v>
      </c>
      <c r="NG10" s="10">
        <v>0</v>
      </c>
      <c r="NH10" s="10">
        <v>0</v>
      </c>
      <c r="NI10" s="10">
        <f t="shared" si="16"/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 s="10">
        <v>0</v>
      </c>
      <c r="NQ10" s="10">
        <v>0</v>
      </c>
      <c r="NR10" s="10">
        <f t="shared" si="17"/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 s="10">
        <v>0</v>
      </c>
      <c r="OD10" s="10">
        <v>0</v>
      </c>
      <c r="OE10" s="10">
        <f t="shared" si="18"/>
        <v>0</v>
      </c>
      <c r="OF10" s="10">
        <v>0</v>
      </c>
      <c r="OG10" s="10">
        <v>0</v>
      </c>
      <c r="OH10" s="16">
        <f t="shared" si="19"/>
        <v>0</v>
      </c>
      <c r="OI10">
        <v>0</v>
      </c>
      <c r="OJ10">
        <v>0</v>
      </c>
      <c r="OK10" s="10">
        <v>0</v>
      </c>
      <c r="OL10" s="10">
        <v>0</v>
      </c>
      <c r="OM10" s="10">
        <f t="shared" si="20"/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 s="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 s="10">
        <v>3.3674165327489987</v>
      </c>
      <c r="PP10" s="10">
        <v>0</v>
      </c>
      <c r="PQ10" s="16">
        <f t="shared" si="21"/>
        <v>3.3674165327489987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 s="16">
        <v>0</v>
      </c>
      <c r="PZ10" s="10">
        <v>1.3839087266994565</v>
      </c>
      <c r="QA10">
        <v>0</v>
      </c>
      <c r="QB10" s="10">
        <v>12.45711164777917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 s="10">
        <v>0</v>
      </c>
      <c r="QU10" s="10">
        <v>0.68671194768472976</v>
      </c>
      <c r="QV10" s="10">
        <f t="shared" si="22"/>
        <v>0.68671194768472976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0.86170439774013996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0.46891035985739177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2.5319814333153801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0.76429846233791809</v>
      </c>
      <c r="TY10">
        <v>0</v>
      </c>
      <c r="TZ10">
        <v>0</v>
      </c>
      <c r="UA10">
        <v>1.9830019332999358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</row>
    <row r="11" spans="1:560" s="12" customFormat="1" x14ac:dyDescent="0.25">
      <c r="A11" s="11" t="s">
        <v>1436</v>
      </c>
      <c r="B11" s="11" t="s">
        <v>1446</v>
      </c>
      <c r="C11" s="11">
        <v>5.43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3">
        <v>0</v>
      </c>
      <c r="R11" s="13">
        <v>0</v>
      </c>
      <c r="S11" s="13">
        <v>5.4668178405590844</v>
      </c>
      <c r="T11" s="13">
        <v>0</v>
      </c>
      <c r="U11" s="10">
        <f t="shared" si="0"/>
        <v>5.4668178405590844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3">
        <v>0</v>
      </c>
      <c r="BJ11" s="13">
        <v>1.2095365054187501</v>
      </c>
      <c r="BK11" s="13">
        <v>0</v>
      </c>
      <c r="BL11" s="10">
        <f t="shared" si="1"/>
        <v>1.2095365054187501</v>
      </c>
      <c r="BM11" s="12">
        <v>0</v>
      </c>
      <c r="BN11" s="12">
        <v>0</v>
      </c>
      <c r="BO11" s="12">
        <v>0</v>
      </c>
      <c r="BP11" s="12">
        <v>0</v>
      </c>
      <c r="BQ11" s="12">
        <v>0</v>
      </c>
      <c r="BR11" s="12">
        <v>0</v>
      </c>
      <c r="BS11" s="12">
        <v>0</v>
      </c>
      <c r="BT11" s="12">
        <v>0</v>
      </c>
      <c r="BU11" s="12">
        <v>0</v>
      </c>
      <c r="BV11" s="12">
        <v>0</v>
      </c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0</v>
      </c>
      <c r="CE11" s="12">
        <v>0</v>
      </c>
      <c r="CF11" s="12">
        <v>0</v>
      </c>
      <c r="CG11" s="12">
        <v>0</v>
      </c>
      <c r="CH11" s="12">
        <v>0</v>
      </c>
      <c r="CI11" s="12">
        <v>0</v>
      </c>
      <c r="CJ11" s="12">
        <v>0</v>
      </c>
      <c r="CK11" s="12">
        <v>0</v>
      </c>
      <c r="CL11" s="12">
        <v>0</v>
      </c>
      <c r="CM11" s="12">
        <v>0</v>
      </c>
      <c r="CN11" s="12">
        <v>0</v>
      </c>
      <c r="CO11" s="12">
        <v>0</v>
      </c>
      <c r="CP11" s="12">
        <v>0</v>
      </c>
      <c r="CQ11" s="12">
        <v>0</v>
      </c>
      <c r="CR11" s="12">
        <v>0</v>
      </c>
      <c r="CS11" s="12">
        <v>0</v>
      </c>
      <c r="CT11" s="12">
        <v>0</v>
      </c>
      <c r="CU11" s="13">
        <v>0</v>
      </c>
      <c r="CV11" s="13">
        <v>0</v>
      </c>
      <c r="CW11" s="13">
        <v>0</v>
      </c>
      <c r="CX11" s="16">
        <f t="shared" si="2"/>
        <v>0</v>
      </c>
      <c r="CY11" s="13">
        <v>0</v>
      </c>
      <c r="CZ11" s="13">
        <v>0</v>
      </c>
      <c r="DA11" s="13">
        <v>0</v>
      </c>
      <c r="DB11" s="16">
        <f t="shared" si="3"/>
        <v>0</v>
      </c>
      <c r="DC11" s="12">
        <v>0</v>
      </c>
      <c r="DD11" s="12">
        <v>0</v>
      </c>
      <c r="DE11" s="12">
        <v>0</v>
      </c>
      <c r="DF11" s="12">
        <v>0</v>
      </c>
      <c r="DG11" s="12">
        <v>0.80930894809193565</v>
      </c>
      <c r="DH11" s="12">
        <v>0</v>
      </c>
      <c r="DI11" s="13">
        <v>0</v>
      </c>
      <c r="DJ11" s="13">
        <v>0</v>
      </c>
      <c r="DK11" s="13">
        <v>3.615538204948304</v>
      </c>
      <c r="DL11" s="16">
        <f t="shared" si="4"/>
        <v>3.615538204948304</v>
      </c>
      <c r="DM11" s="13">
        <v>0</v>
      </c>
      <c r="DN11" s="13">
        <v>0</v>
      </c>
      <c r="DO11" s="13">
        <v>0</v>
      </c>
      <c r="DP11" s="17">
        <f t="shared" si="5"/>
        <v>0</v>
      </c>
      <c r="DQ11" s="12">
        <v>0</v>
      </c>
      <c r="DR11" s="12">
        <v>0</v>
      </c>
      <c r="DS11" s="12">
        <v>0</v>
      </c>
      <c r="DT11" s="12">
        <v>0</v>
      </c>
      <c r="DU11" s="12">
        <v>0</v>
      </c>
      <c r="DV11" s="12">
        <v>0</v>
      </c>
      <c r="DW11" s="12">
        <v>0</v>
      </c>
      <c r="DX11" s="13">
        <v>0</v>
      </c>
      <c r="DY11" s="13">
        <v>0</v>
      </c>
      <c r="DZ11" s="16">
        <f t="shared" si="6"/>
        <v>0</v>
      </c>
      <c r="EA11" s="12">
        <v>0</v>
      </c>
      <c r="EB11" s="12">
        <v>0</v>
      </c>
      <c r="EC11" s="12">
        <v>0</v>
      </c>
      <c r="ED11" s="12">
        <v>0</v>
      </c>
      <c r="EE11" s="12">
        <v>0</v>
      </c>
      <c r="EF11" s="12">
        <v>0</v>
      </c>
      <c r="EG11" s="12">
        <v>0</v>
      </c>
      <c r="EH11" s="12">
        <v>0</v>
      </c>
      <c r="EI11" s="12">
        <v>0</v>
      </c>
      <c r="EJ11" s="12">
        <v>0</v>
      </c>
      <c r="EK11" s="12">
        <v>0</v>
      </c>
      <c r="EL11" s="12">
        <v>0</v>
      </c>
      <c r="EM11" s="12">
        <v>0</v>
      </c>
      <c r="EN11" s="12">
        <v>0</v>
      </c>
      <c r="EO11" s="12">
        <v>0</v>
      </c>
      <c r="EP11" s="12">
        <v>0</v>
      </c>
      <c r="EQ11" s="12">
        <v>0</v>
      </c>
      <c r="ER11" s="12">
        <v>0</v>
      </c>
      <c r="ES11" s="12">
        <v>0</v>
      </c>
      <c r="ET11" s="12">
        <v>0</v>
      </c>
      <c r="EU11" s="12">
        <v>0</v>
      </c>
      <c r="EV11" s="12">
        <v>0</v>
      </c>
      <c r="EW11" s="12">
        <v>0</v>
      </c>
      <c r="EX11" s="12">
        <v>0</v>
      </c>
      <c r="EY11" s="12">
        <v>0</v>
      </c>
      <c r="EZ11" s="12">
        <v>0</v>
      </c>
      <c r="FA11" s="12">
        <v>0</v>
      </c>
      <c r="FB11" s="12">
        <v>0</v>
      </c>
      <c r="FC11" s="12">
        <v>0</v>
      </c>
      <c r="FD11" s="12">
        <v>0</v>
      </c>
      <c r="FE11" s="12">
        <v>0</v>
      </c>
      <c r="FF11" s="12">
        <v>0</v>
      </c>
      <c r="FG11" s="12">
        <v>0</v>
      </c>
      <c r="FH11" s="12">
        <v>0</v>
      </c>
      <c r="FI11" s="12">
        <v>0</v>
      </c>
      <c r="FJ11" s="12">
        <v>0</v>
      </c>
      <c r="FK11" s="12">
        <v>0</v>
      </c>
      <c r="FL11" s="12">
        <v>0</v>
      </c>
      <c r="FM11" s="12">
        <v>0</v>
      </c>
      <c r="FN11" s="12">
        <v>0</v>
      </c>
      <c r="FO11" s="12">
        <v>0</v>
      </c>
      <c r="FP11" s="12">
        <v>0</v>
      </c>
      <c r="FQ11" s="12">
        <v>0</v>
      </c>
      <c r="FR11" s="12">
        <v>0</v>
      </c>
      <c r="FS11" s="12">
        <v>0</v>
      </c>
      <c r="FT11" s="12">
        <v>0</v>
      </c>
      <c r="FU11" s="12">
        <v>0</v>
      </c>
      <c r="FV11" s="12">
        <v>0</v>
      </c>
      <c r="FW11" s="12">
        <v>0</v>
      </c>
      <c r="FX11" s="12">
        <v>0</v>
      </c>
      <c r="FY11" s="12">
        <v>0</v>
      </c>
      <c r="FZ11" s="12">
        <v>0</v>
      </c>
      <c r="GA11" s="12">
        <v>0</v>
      </c>
      <c r="GB11" s="12">
        <v>0</v>
      </c>
      <c r="GC11" s="12">
        <v>0</v>
      </c>
      <c r="GD11" s="12">
        <v>0</v>
      </c>
      <c r="GE11" s="12">
        <v>0</v>
      </c>
      <c r="GF11" s="12">
        <v>0</v>
      </c>
      <c r="GG11" s="12">
        <v>0</v>
      </c>
      <c r="GH11" s="12">
        <v>0</v>
      </c>
      <c r="GI11" s="12">
        <v>0</v>
      </c>
      <c r="GJ11" s="12">
        <v>0</v>
      </c>
      <c r="GK11" s="12">
        <v>0</v>
      </c>
      <c r="GL11" s="12">
        <v>0</v>
      </c>
      <c r="GM11" s="12">
        <v>0</v>
      </c>
      <c r="GN11" s="12">
        <v>0</v>
      </c>
      <c r="GO11" s="12">
        <v>0</v>
      </c>
      <c r="GP11" s="12">
        <v>0</v>
      </c>
      <c r="GQ11" s="12">
        <v>0</v>
      </c>
      <c r="GR11" s="12">
        <v>0</v>
      </c>
      <c r="GS11" s="13">
        <v>0</v>
      </c>
      <c r="GT11" s="13">
        <v>0.84144695170000217</v>
      </c>
      <c r="GU11" s="13">
        <v>0</v>
      </c>
      <c r="GV11" s="10">
        <f t="shared" si="7"/>
        <v>0.84144695170000217</v>
      </c>
      <c r="GW11" s="13">
        <v>0</v>
      </c>
      <c r="GX11" s="13">
        <v>16.081224500151031</v>
      </c>
      <c r="GY11" s="17">
        <f t="shared" si="8"/>
        <v>16.081224500151031</v>
      </c>
      <c r="GZ11" s="12">
        <v>0</v>
      </c>
      <c r="HA11" s="12">
        <v>0</v>
      </c>
      <c r="HB11" s="12">
        <v>0</v>
      </c>
      <c r="HC11" s="12">
        <v>0</v>
      </c>
      <c r="HD11" s="12">
        <v>0</v>
      </c>
      <c r="HE11" s="13">
        <v>0</v>
      </c>
      <c r="HF11" s="13">
        <v>0</v>
      </c>
      <c r="HG11" s="10">
        <f t="shared" si="9"/>
        <v>0</v>
      </c>
      <c r="HH11" s="12">
        <v>0</v>
      </c>
      <c r="HI11" s="12">
        <v>0</v>
      </c>
      <c r="HJ11" s="12">
        <v>0</v>
      </c>
      <c r="HK11" s="12">
        <v>0</v>
      </c>
      <c r="HL11" s="12">
        <v>0</v>
      </c>
      <c r="HM11" s="12">
        <v>0</v>
      </c>
      <c r="HN11" s="12">
        <v>0</v>
      </c>
      <c r="HO11" s="12">
        <v>0</v>
      </c>
      <c r="HP11" s="12">
        <v>0</v>
      </c>
      <c r="HQ11" s="12">
        <v>0</v>
      </c>
      <c r="HR11" s="12">
        <v>0</v>
      </c>
      <c r="HS11" s="12">
        <v>0</v>
      </c>
      <c r="HT11" s="12">
        <v>0</v>
      </c>
      <c r="HU11" s="12">
        <v>0</v>
      </c>
      <c r="HV11" s="12">
        <v>0</v>
      </c>
      <c r="HW11" s="12">
        <v>0</v>
      </c>
      <c r="HX11" s="12">
        <v>0</v>
      </c>
      <c r="HY11" s="12">
        <v>0</v>
      </c>
      <c r="HZ11" s="12">
        <v>0</v>
      </c>
      <c r="IA11" s="12">
        <v>0</v>
      </c>
      <c r="IB11" s="12">
        <v>0</v>
      </c>
      <c r="IC11" s="12">
        <v>0</v>
      </c>
      <c r="ID11" s="12">
        <v>0</v>
      </c>
      <c r="IE11" s="12">
        <v>0</v>
      </c>
      <c r="IF11" s="12">
        <v>0</v>
      </c>
      <c r="IG11" s="12">
        <v>0</v>
      </c>
      <c r="IH11" s="12">
        <v>0</v>
      </c>
      <c r="II11" s="12">
        <v>0</v>
      </c>
      <c r="IJ11" s="12">
        <v>0</v>
      </c>
      <c r="IK11" s="12">
        <v>0</v>
      </c>
      <c r="IL11" s="12">
        <v>0</v>
      </c>
      <c r="IM11" s="12">
        <v>0</v>
      </c>
      <c r="IN11" s="12">
        <v>0</v>
      </c>
      <c r="IO11" s="12">
        <v>0</v>
      </c>
      <c r="IP11" s="12">
        <v>0</v>
      </c>
      <c r="IQ11" s="12">
        <v>0</v>
      </c>
      <c r="IR11" s="12">
        <v>0</v>
      </c>
      <c r="IS11" s="12">
        <v>0</v>
      </c>
      <c r="IT11" s="12">
        <v>0</v>
      </c>
      <c r="IU11" s="12">
        <v>0</v>
      </c>
      <c r="IV11" s="12">
        <v>0</v>
      </c>
      <c r="IW11" s="12">
        <v>0</v>
      </c>
      <c r="IX11" s="12">
        <v>0</v>
      </c>
      <c r="IY11" s="12">
        <v>0</v>
      </c>
      <c r="IZ11" s="12">
        <v>0</v>
      </c>
      <c r="JA11" s="12">
        <v>0</v>
      </c>
      <c r="JB11" s="12">
        <v>0</v>
      </c>
      <c r="JC11" s="12">
        <v>0</v>
      </c>
      <c r="JD11" s="12">
        <v>0</v>
      </c>
      <c r="JE11" s="12">
        <v>0</v>
      </c>
      <c r="JF11" s="12">
        <v>0</v>
      </c>
      <c r="JG11" s="12">
        <v>0</v>
      </c>
      <c r="JH11" s="12">
        <v>0</v>
      </c>
      <c r="JI11" s="12">
        <v>0</v>
      </c>
      <c r="JJ11" s="12">
        <v>0</v>
      </c>
      <c r="JK11" s="12">
        <v>0</v>
      </c>
      <c r="JL11" s="12">
        <v>0</v>
      </c>
      <c r="JM11" s="12">
        <v>0</v>
      </c>
      <c r="JN11" s="12">
        <v>0</v>
      </c>
      <c r="JO11" s="12">
        <v>0</v>
      </c>
      <c r="JP11" s="12">
        <v>0</v>
      </c>
      <c r="JQ11" s="12">
        <v>0</v>
      </c>
      <c r="JR11" s="12">
        <v>0</v>
      </c>
      <c r="JS11" s="12">
        <v>0</v>
      </c>
      <c r="JT11" s="13">
        <v>0</v>
      </c>
      <c r="JU11" s="13">
        <v>5.1350713571269617</v>
      </c>
      <c r="JV11" s="16">
        <f t="shared" si="10"/>
        <v>5.1350713571269617</v>
      </c>
      <c r="JW11" s="12">
        <v>0</v>
      </c>
      <c r="JX11" s="12">
        <v>0</v>
      </c>
      <c r="JY11" s="12">
        <v>0</v>
      </c>
      <c r="JZ11" s="12">
        <v>0</v>
      </c>
      <c r="KA11" s="12">
        <v>0</v>
      </c>
      <c r="KB11" s="13">
        <v>0</v>
      </c>
      <c r="KC11" s="13">
        <v>0</v>
      </c>
      <c r="KD11" s="10">
        <f t="shared" si="11"/>
        <v>0</v>
      </c>
      <c r="KE11" s="13">
        <v>0</v>
      </c>
      <c r="KF11" s="13">
        <v>0</v>
      </c>
      <c r="KG11" s="10">
        <f t="shared" si="12"/>
        <v>0</v>
      </c>
      <c r="KH11" s="12">
        <v>0</v>
      </c>
      <c r="KI11" s="12">
        <v>0</v>
      </c>
      <c r="KJ11" s="12">
        <v>0</v>
      </c>
      <c r="KK11" s="12">
        <v>0</v>
      </c>
      <c r="KL11" s="12">
        <v>0</v>
      </c>
      <c r="KM11" s="12">
        <v>0</v>
      </c>
      <c r="KN11" s="12">
        <v>0</v>
      </c>
      <c r="KO11" s="12">
        <v>0</v>
      </c>
      <c r="KP11" s="12">
        <v>0</v>
      </c>
      <c r="KQ11" s="12">
        <v>0</v>
      </c>
      <c r="KR11" s="12">
        <v>0</v>
      </c>
      <c r="KS11" s="12">
        <v>0</v>
      </c>
      <c r="KT11" s="12">
        <v>0</v>
      </c>
      <c r="KU11" s="12">
        <v>0</v>
      </c>
      <c r="KV11" s="12">
        <v>0</v>
      </c>
      <c r="KW11" s="12">
        <v>0</v>
      </c>
      <c r="KX11" s="12">
        <v>0</v>
      </c>
      <c r="KY11" s="12">
        <v>0</v>
      </c>
      <c r="KZ11" s="12">
        <v>0</v>
      </c>
      <c r="LA11" s="12">
        <v>0</v>
      </c>
      <c r="LB11" s="12">
        <v>0</v>
      </c>
      <c r="LC11" s="12">
        <v>0</v>
      </c>
      <c r="LD11" s="13">
        <v>0</v>
      </c>
      <c r="LE11" s="13">
        <v>0</v>
      </c>
      <c r="LF11" s="13">
        <v>0</v>
      </c>
      <c r="LG11" s="13">
        <v>0</v>
      </c>
      <c r="LH11" s="13">
        <v>1.3807263911146745</v>
      </c>
      <c r="LI11" s="10">
        <f t="shared" si="13"/>
        <v>1.3807263911146745</v>
      </c>
      <c r="LJ11" s="12">
        <v>0</v>
      </c>
      <c r="LK11" s="12">
        <v>0</v>
      </c>
      <c r="LL11" s="12">
        <v>0</v>
      </c>
      <c r="LM11" s="12">
        <v>0</v>
      </c>
      <c r="LN11" s="12">
        <v>0</v>
      </c>
      <c r="LO11" s="12">
        <v>0</v>
      </c>
      <c r="LP11" s="12">
        <v>0</v>
      </c>
      <c r="LQ11" s="12">
        <v>0</v>
      </c>
      <c r="LR11" s="12">
        <v>0</v>
      </c>
      <c r="LS11" s="12">
        <v>0</v>
      </c>
      <c r="LT11" s="12">
        <v>0</v>
      </c>
      <c r="LU11" s="12">
        <v>0</v>
      </c>
      <c r="LV11" s="12">
        <v>0</v>
      </c>
      <c r="LW11" s="12">
        <v>0</v>
      </c>
      <c r="LX11" s="12">
        <v>0</v>
      </c>
      <c r="LY11" s="12">
        <v>0</v>
      </c>
      <c r="LZ11" s="12">
        <v>0</v>
      </c>
      <c r="MA11" s="12">
        <v>0</v>
      </c>
      <c r="MB11" s="12">
        <v>0</v>
      </c>
      <c r="MC11" s="12">
        <v>0</v>
      </c>
      <c r="MD11" s="12">
        <v>0</v>
      </c>
      <c r="ME11" s="12">
        <v>0</v>
      </c>
      <c r="MF11" s="12">
        <v>0</v>
      </c>
      <c r="MG11" s="12">
        <v>0</v>
      </c>
      <c r="MH11" s="13">
        <v>0</v>
      </c>
      <c r="MI11" s="13">
        <v>0</v>
      </c>
      <c r="MJ11" s="10">
        <f t="shared" si="14"/>
        <v>0</v>
      </c>
      <c r="MK11" s="12">
        <v>0</v>
      </c>
      <c r="ML11" s="12">
        <v>0</v>
      </c>
      <c r="MM11" s="12">
        <v>0</v>
      </c>
      <c r="MN11" s="12">
        <v>0</v>
      </c>
      <c r="MO11" s="12">
        <v>0</v>
      </c>
      <c r="MP11" s="12">
        <v>0</v>
      </c>
      <c r="MQ11" s="12">
        <v>0</v>
      </c>
      <c r="MR11" s="12">
        <v>0</v>
      </c>
      <c r="MS11" s="13">
        <v>0</v>
      </c>
      <c r="MT11" s="13">
        <v>0</v>
      </c>
      <c r="MU11" s="13">
        <v>0.78345643706759049</v>
      </c>
      <c r="MV11" s="16">
        <f t="shared" si="15"/>
        <v>0.78345643706759049</v>
      </c>
      <c r="MW11" s="12">
        <v>2.7624309392265194</v>
      </c>
      <c r="MX11" s="12">
        <v>0</v>
      </c>
      <c r="MY11" s="12">
        <v>2.7624309392265194</v>
      </c>
      <c r="MZ11" s="12">
        <v>0</v>
      </c>
      <c r="NA11" s="12">
        <v>0</v>
      </c>
      <c r="NB11" s="12">
        <v>0</v>
      </c>
      <c r="NC11" s="12">
        <v>0</v>
      </c>
      <c r="ND11" s="12">
        <v>0</v>
      </c>
      <c r="NE11" s="12">
        <v>0</v>
      </c>
      <c r="NF11" s="13">
        <v>0</v>
      </c>
      <c r="NG11" s="13">
        <v>0</v>
      </c>
      <c r="NH11" s="13">
        <v>0</v>
      </c>
      <c r="NI11" s="10">
        <f t="shared" si="16"/>
        <v>0</v>
      </c>
      <c r="NJ11" s="12">
        <v>0</v>
      </c>
      <c r="NK11" s="12">
        <v>0</v>
      </c>
      <c r="NL11" s="12">
        <v>0</v>
      </c>
      <c r="NM11" s="12">
        <v>0</v>
      </c>
      <c r="NN11" s="12">
        <v>0</v>
      </c>
      <c r="NO11" s="12">
        <v>0</v>
      </c>
      <c r="NP11" s="13">
        <v>0</v>
      </c>
      <c r="NQ11" s="13">
        <v>0</v>
      </c>
      <c r="NR11" s="10">
        <f t="shared" si="17"/>
        <v>0</v>
      </c>
      <c r="NS11" s="12">
        <v>0</v>
      </c>
      <c r="NT11" s="12">
        <v>0</v>
      </c>
      <c r="NU11" s="12">
        <v>0</v>
      </c>
      <c r="NV11" s="12">
        <v>0</v>
      </c>
      <c r="NW11" s="12">
        <v>0</v>
      </c>
      <c r="NX11" s="12">
        <v>0</v>
      </c>
      <c r="NY11" s="12">
        <v>0</v>
      </c>
      <c r="NZ11" s="12">
        <v>0</v>
      </c>
      <c r="OA11" s="12">
        <v>0</v>
      </c>
      <c r="OB11" s="12">
        <v>0</v>
      </c>
      <c r="OC11" s="13">
        <v>0</v>
      </c>
      <c r="OD11" s="13">
        <v>0</v>
      </c>
      <c r="OE11" s="10">
        <f t="shared" si="18"/>
        <v>0</v>
      </c>
      <c r="OF11" s="13">
        <v>0</v>
      </c>
      <c r="OG11" s="13">
        <v>0</v>
      </c>
      <c r="OH11" s="16">
        <f t="shared" si="19"/>
        <v>0</v>
      </c>
      <c r="OI11" s="12">
        <v>0</v>
      </c>
      <c r="OJ11" s="12">
        <v>0</v>
      </c>
      <c r="OK11" s="13">
        <v>0</v>
      </c>
      <c r="OL11" s="13">
        <v>0</v>
      </c>
      <c r="OM11" s="10">
        <f t="shared" si="20"/>
        <v>0</v>
      </c>
      <c r="ON11" s="12">
        <v>0</v>
      </c>
      <c r="OO11" s="12">
        <v>0</v>
      </c>
      <c r="OP11" s="12">
        <v>0</v>
      </c>
      <c r="OQ11" s="12">
        <v>0</v>
      </c>
      <c r="OR11" s="12">
        <v>0</v>
      </c>
      <c r="OS11" s="12">
        <v>0</v>
      </c>
      <c r="OT11" s="12">
        <v>0</v>
      </c>
      <c r="OU11" s="12">
        <v>0</v>
      </c>
      <c r="OV11" s="12">
        <v>0</v>
      </c>
      <c r="OW11" s="12">
        <v>0</v>
      </c>
      <c r="OX11" s="12">
        <v>0</v>
      </c>
      <c r="OY11" s="12">
        <v>0</v>
      </c>
      <c r="OZ11" s="12">
        <v>0</v>
      </c>
      <c r="PA11" s="12">
        <v>0</v>
      </c>
      <c r="PB11" s="12">
        <v>0</v>
      </c>
      <c r="PC11" s="12">
        <v>0</v>
      </c>
      <c r="PD11" s="12">
        <v>0</v>
      </c>
      <c r="PE11" s="12">
        <v>0</v>
      </c>
      <c r="PF11" s="12">
        <v>0</v>
      </c>
      <c r="PG11" s="12">
        <v>0</v>
      </c>
      <c r="PH11" s="12">
        <v>0</v>
      </c>
      <c r="PI11" s="13">
        <v>0</v>
      </c>
      <c r="PJ11" s="12">
        <v>0</v>
      </c>
      <c r="PK11" s="12">
        <v>0</v>
      </c>
      <c r="PL11" s="12">
        <v>0</v>
      </c>
      <c r="PM11" s="12">
        <v>0</v>
      </c>
      <c r="PN11" s="12">
        <v>0</v>
      </c>
      <c r="PO11" s="13">
        <v>0</v>
      </c>
      <c r="PP11" s="13">
        <v>4.3303754936204131</v>
      </c>
      <c r="PQ11" s="16">
        <f t="shared" si="21"/>
        <v>4.3303754936204131</v>
      </c>
      <c r="PR11" s="12">
        <v>0</v>
      </c>
      <c r="PS11" s="12">
        <v>0</v>
      </c>
      <c r="PT11" s="12">
        <v>0</v>
      </c>
      <c r="PU11" s="12">
        <v>0</v>
      </c>
      <c r="PV11" s="12">
        <v>0</v>
      </c>
      <c r="PW11" s="12">
        <v>0</v>
      </c>
      <c r="PX11" s="12">
        <v>0</v>
      </c>
      <c r="PY11" s="17">
        <v>0</v>
      </c>
      <c r="PZ11" s="13">
        <v>2.2996036611791193</v>
      </c>
      <c r="QA11" s="12">
        <v>0</v>
      </c>
      <c r="QB11" s="13">
        <v>17.451619350389169</v>
      </c>
      <c r="QC11" s="12">
        <v>0</v>
      </c>
      <c r="QD11" s="12">
        <v>0</v>
      </c>
      <c r="QE11" s="12">
        <v>0</v>
      </c>
      <c r="QF11" s="12">
        <v>0</v>
      </c>
      <c r="QG11" s="12">
        <v>0</v>
      </c>
      <c r="QH11" s="12">
        <v>0</v>
      </c>
      <c r="QI11" s="12">
        <v>0</v>
      </c>
      <c r="QJ11" s="12">
        <v>0</v>
      </c>
      <c r="QK11" s="12">
        <v>0</v>
      </c>
      <c r="QL11" s="12">
        <v>0</v>
      </c>
      <c r="QM11" s="12">
        <v>0</v>
      </c>
      <c r="QN11" s="12">
        <v>0</v>
      </c>
      <c r="QO11" s="12">
        <v>0</v>
      </c>
      <c r="QP11" s="12">
        <v>0</v>
      </c>
      <c r="QQ11" s="12">
        <v>0</v>
      </c>
      <c r="QR11" s="12">
        <v>0</v>
      </c>
      <c r="QS11" s="12">
        <v>0</v>
      </c>
      <c r="QT11" s="13">
        <v>0</v>
      </c>
      <c r="QU11" s="13">
        <v>2.2275675567388036</v>
      </c>
      <c r="QV11" s="10">
        <f t="shared" si="22"/>
        <v>2.2275675567388036</v>
      </c>
      <c r="QW11" s="12">
        <v>0.77729040219803569</v>
      </c>
      <c r="QX11" s="12">
        <v>0</v>
      </c>
      <c r="QY11" s="12">
        <v>0</v>
      </c>
      <c r="QZ11" s="12">
        <v>0</v>
      </c>
      <c r="RA11" s="12">
        <v>0</v>
      </c>
      <c r="RB11" s="12">
        <v>0</v>
      </c>
      <c r="RC11" s="12">
        <v>0</v>
      </c>
      <c r="RD11" s="12">
        <v>0</v>
      </c>
      <c r="RE11" s="12">
        <v>0</v>
      </c>
      <c r="RF11" s="12">
        <v>0</v>
      </c>
      <c r="RG11" s="12">
        <v>0.87575846514634947</v>
      </c>
      <c r="RH11" s="12">
        <v>0</v>
      </c>
      <c r="RI11" s="12">
        <v>0</v>
      </c>
      <c r="RJ11" s="12">
        <v>0</v>
      </c>
      <c r="RK11" s="12">
        <v>0</v>
      </c>
      <c r="RL11" s="12">
        <v>0</v>
      </c>
      <c r="RM11" s="12">
        <v>0</v>
      </c>
      <c r="RN11" s="12">
        <v>0</v>
      </c>
      <c r="RO11" s="12">
        <v>0</v>
      </c>
      <c r="RP11" s="12">
        <v>0</v>
      </c>
      <c r="RQ11" s="12">
        <v>0</v>
      </c>
      <c r="RR11" s="12">
        <v>0</v>
      </c>
      <c r="RS11" s="12">
        <v>0</v>
      </c>
      <c r="RT11" s="12">
        <v>0</v>
      </c>
      <c r="RU11" s="12">
        <v>0</v>
      </c>
      <c r="RV11" s="12">
        <v>0</v>
      </c>
      <c r="RW11" s="12">
        <v>0</v>
      </c>
      <c r="RX11" s="12">
        <v>0</v>
      </c>
      <c r="RY11" s="12">
        <v>0</v>
      </c>
      <c r="RZ11" s="12">
        <v>0</v>
      </c>
      <c r="SA11" s="12">
        <v>1.5948365026713778</v>
      </c>
      <c r="SB11" s="12">
        <v>0</v>
      </c>
      <c r="SC11" s="12">
        <v>0</v>
      </c>
      <c r="SD11" s="12">
        <v>0</v>
      </c>
      <c r="SE11" s="12">
        <v>0</v>
      </c>
      <c r="SF11" s="12">
        <v>0</v>
      </c>
      <c r="SG11" s="12">
        <v>0.79367627722438783</v>
      </c>
      <c r="SH11" s="12">
        <v>0</v>
      </c>
      <c r="SI11" s="12">
        <v>0</v>
      </c>
      <c r="SJ11" s="12">
        <v>0.78120690868393095</v>
      </c>
      <c r="SK11" s="12">
        <v>0</v>
      </c>
      <c r="SL11" s="12">
        <v>0</v>
      </c>
      <c r="SM11" s="12">
        <v>0</v>
      </c>
      <c r="SN11" s="12">
        <v>0</v>
      </c>
      <c r="SO11" s="12">
        <v>0</v>
      </c>
      <c r="SP11" s="12">
        <v>0</v>
      </c>
      <c r="SQ11" s="12">
        <v>0</v>
      </c>
      <c r="SR11" s="12">
        <v>0</v>
      </c>
      <c r="SS11" s="12">
        <v>0</v>
      </c>
      <c r="ST11" s="12">
        <v>0</v>
      </c>
      <c r="SU11" s="12">
        <v>0</v>
      </c>
      <c r="SV11" s="12">
        <v>0</v>
      </c>
      <c r="SW11" s="12">
        <v>0</v>
      </c>
      <c r="SX11" s="12">
        <v>0</v>
      </c>
      <c r="SY11" s="12">
        <v>0</v>
      </c>
      <c r="SZ11" s="12">
        <v>0</v>
      </c>
      <c r="TA11" s="12">
        <v>0.85208722095471134</v>
      </c>
      <c r="TB11" s="12">
        <v>0</v>
      </c>
      <c r="TC11" s="12">
        <v>0</v>
      </c>
      <c r="TD11" s="12">
        <v>0</v>
      </c>
      <c r="TE11" s="12">
        <v>0</v>
      </c>
      <c r="TF11" s="12">
        <v>0</v>
      </c>
      <c r="TG11" s="12">
        <v>1.5564471372550661</v>
      </c>
      <c r="TH11" s="12">
        <v>0</v>
      </c>
      <c r="TI11" s="12">
        <v>0</v>
      </c>
      <c r="TJ11" s="12">
        <v>0</v>
      </c>
      <c r="TK11" s="12">
        <v>11.423861439179099</v>
      </c>
      <c r="TL11" s="12">
        <v>0</v>
      </c>
      <c r="TM11" s="12">
        <v>0</v>
      </c>
      <c r="TN11" s="12">
        <v>0</v>
      </c>
      <c r="TO11" s="12">
        <v>0</v>
      </c>
      <c r="TP11" s="12">
        <v>0</v>
      </c>
      <c r="TQ11" s="12">
        <v>0</v>
      </c>
      <c r="TR11" s="12">
        <v>0</v>
      </c>
      <c r="TS11" s="12">
        <v>0</v>
      </c>
      <c r="TT11" s="12">
        <v>0</v>
      </c>
      <c r="TU11" s="12">
        <v>0</v>
      </c>
      <c r="TV11" s="12">
        <v>0</v>
      </c>
      <c r="TW11" s="12">
        <v>2.1684964927827926</v>
      </c>
      <c r="TX11" s="12">
        <v>0</v>
      </c>
      <c r="TY11" s="12">
        <v>0</v>
      </c>
      <c r="TZ11" s="12">
        <v>0</v>
      </c>
      <c r="UA11" s="12">
        <v>9.9783556119100165</v>
      </c>
      <c r="UB11" s="12">
        <v>0</v>
      </c>
      <c r="UC11" s="12">
        <v>0</v>
      </c>
      <c r="UD11" s="12">
        <v>0</v>
      </c>
      <c r="UE11" s="12">
        <v>0</v>
      </c>
      <c r="UF11" s="12">
        <v>0</v>
      </c>
      <c r="UG11" s="12">
        <v>0</v>
      </c>
      <c r="UH11" s="12">
        <v>0</v>
      </c>
      <c r="UI11" s="12">
        <v>0</v>
      </c>
      <c r="UJ11" s="12">
        <v>0</v>
      </c>
      <c r="UK11" s="12">
        <v>0</v>
      </c>
      <c r="UL11" s="12">
        <v>0</v>
      </c>
      <c r="UM11" s="12">
        <v>0</v>
      </c>
      <c r="UN11" s="12">
        <v>0</v>
      </c>
    </row>
    <row r="12" spans="1:560" x14ac:dyDescent="0.25">
      <c r="A12" s="5" t="s">
        <v>1447</v>
      </c>
      <c r="B12" s="5" t="s">
        <v>1448</v>
      </c>
      <c r="C12" s="5">
        <v>6.05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10">
        <v>0</v>
      </c>
      <c r="R12" s="10">
        <v>0</v>
      </c>
      <c r="S12" s="10">
        <v>2.5477636596769098</v>
      </c>
      <c r="T12" s="10">
        <v>0</v>
      </c>
      <c r="U12" s="10">
        <f t="shared" si="0"/>
        <v>2.5477636596769098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1.8282184644843358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0.71701322866812434</v>
      </c>
      <c r="AK12">
        <v>0</v>
      </c>
      <c r="AL12">
        <v>0</v>
      </c>
      <c r="AM12">
        <v>0</v>
      </c>
      <c r="AN12">
        <v>0.99770875624828692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0.87098271598210952</v>
      </c>
      <c r="BE12">
        <v>0</v>
      </c>
      <c r="BF12">
        <v>0</v>
      </c>
      <c r="BG12">
        <v>0</v>
      </c>
      <c r="BH12">
        <v>0</v>
      </c>
      <c r="BI12" s="10">
        <v>0</v>
      </c>
      <c r="BJ12" s="10">
        <v>2.0093772746789078</v>
      </c>
      <c r="BK12" s="10">
        <v>0</v>
      </c>
      <c r="BL12" s="10">
        <f t="shared" si="1"/>
        <v>2.0093772746789078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0.67403104352065413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 s="10">
        <v>0</v>
      </c>
      <c r="CV12" s="10">
        <v>1.9936181213231889</v>
      </c>
      <c r="CW12" s="10">
        <v>0</v>
      </c>
      <c r="CX12" s="16">
        <f t="shared" si="2"/>
        <v>1.9936181213231889</v>
      </c>
      <c r="CY12" s="10">
        <v>0.58104667378252817</v>
      </c>
      <c r="CZ12" s="10">
        <v>0</v>
      </c>
      <c r="DA12" s="10">
        <v>0</v>
      </c>
      <c r="DB12" s="16">
        <f t="shared" si="3"/>
        <v>0.58104667378252817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 s="10">
        <v>0</v>
      </c>
      <c r="DJ12" s="10">
        <v>7.508759189349874</v>
      </c>
      <c r="DK12" s="10">
        <v>0</v>
      </c>
      <c r="DL12" s="16">
        <f t="shared" si="4"/>
        <v>7.508759189349874</v>
      </c>
      <c r="DM12" s="10">
        <v>0</v>
      </c>
      <c r="DN12" s="10">
        <v>1.8771671269077772</v>
      </c>
      <c r="DO12" s="10">
        <v>0</v>
      </c>
      <c r="DP12" s="16">
        <f t="shared" si="5"/>
        <v>1.8771671269077772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 s="10">
        <v>0</v>
      </c>
      <c r="DY12" s="10">
        <v>0</v>
      </c>
      <c r="DZ12" s="16">
        <f t="shared" si="6"/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0.61465303389252823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0.50911897896018277</v>
      </c>
      <c r="GN12">
        <v>0</v>
      </c>
      <c r="GO12">
        <v>0</v>
      </c>
      <c r="GP12">
        <v>0</v>
      </c>
      <c r="GQ12">
        <v>0</v>
      </c>
      <c r="GR12">
        <v>0</v>
      </c>
      <c r="GS12" s="10">
        <v>0</v>
      </c>
      <c r="GT12" s="10">
        <v>0</v>
      </c>
      <c r="GU12" s="10">
        <v>0</v>
      </c>
      <c r="GV12" s="10">
        <f t="shared" si="7"/>
        <v>0</v>
      </c>
      <c r="GW12" s="10">
        <v>25.563068746086365</v>
      </c>
      <c r="GX12" s="10">
        <v>0</v>
      </c>
      <c r="GY12" s="16">
        <f t="shared" si="8"/>
        <v>25.563068746086365</v>
      </c>
      <c r="GZ12">
        <v>0</v>
      </c>
      <c r="HA12">
        <v>0</v>
      </c>
      <c r="HB12">
        <v>0</v>
      </c>
      <c r="HC12">
        <v>0</v>
      </c>
      <c r="HD12">
        <v>0</v>
      </c>
      <c r="HE12" s="10">
        <v>0</v>
      </c>
      <c r="HF12" s="10">
        <v>0</v>
      </c>
      <c r="HG12" s="10">
        <f t="shared" si="9"/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1.4025380613488005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0.67449537190259901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0.99931396510243353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1.0112193827973699</v>
      </c>
      <c r="JQ12">
        <v>0</v>
      </c>
      <c r="JR12">
        <v>0</v>
      </c>
      <c r="JS12">
        <v>0</v>
      </c>
      <c r="JT12" s="10">
        <v>0</v>
      </c>
      <c r="JU12" s="10">
        <v>8.7644797498321481</v>
      </c>
      <c r="JV12" s="16">
        <f t="shared" si="10"/>
        <v>8.7644797498321481</v>
      </c>
      <c r="JW12">
        <v>0</v>
      </c>
      <c r="JX12">
        <v>0</v>
      </c>
      <c r="JY12">
        <v>0</v>
      </c>
      <c r="JZ12">
        <v>0</v>
      </c>
      <c r="KA12">
        <v>0</v>
      </c>
      <c r="KB12" s="10">
        <v>0</v>
      </c>
      <c r="KC12" s="10">
        <v>0.91845103495472935</v>
      </c>
      <c r="KD12" s="10">
        <f t="shared" si="11"/>
        <v>0.91845103495472935</v>
      </c>
      <c r="KE12" s="10">
        <v>0</v>
      </c>
      <c r="KF12" s="10">
        <v>2.3679503572885041</v>
      </c>
      <c r="KG12" s="10">
        <f t="shared" si="12"/>
        <v>2.3679503572885041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63.304287340506683</v>
      </c>
      <c r="KU12">
        <v>0</v>
      </c>
      <c r="KV12">
        <v>0</v>
      </c>
      <c r="KW12">
        <v>0</v>
      </c>
      <c r="KX12">
        <v>0.56132221301780794</v>
      </c>
      <c r="KY12">
        <v>0</v>
      </c>
      <c r="KZ12">
        <v>0</v>
      </c>
      <c r="LA12">
        <v>0</v>
      </c>
      <c r="LB12">
        <v>0</v>
      </c>
      <c r="LC12">
        <v>0</v>
      </c>
      <c r="LD12" s="10">
        <v>0</v>
      </c>
      <c r="LE12" s="10">
        <v>3.8858047046346709</v>
      </c>
      <c r="LF12" s="10">
        <v>0</v>
      </c>
      <c r="LG12" s="10">
        <v>0</v>
      </c>
      <c r="LH12" s="10">
        <v>0</v>
      </c>
      <c r="LI12" s="10">
        <f t="shared" si="13"/>
        <v>3.8858047046346709</v>
      </c>
      <c r="LJ12">
        <v>0</v>
      </c>
      <c r="LK12">
        <v>0</v>
      </c>
      <c r="LL12">
        <v>0</v>
      </c>
      <c r="LM12">
        <v>0.62640842319411616</v>
      </c>
      <c r="LN12">
        <v>0</v>
      </c>
      <c r="LO12">
        <v>0</v>
      </c>
      <c r="LP12">
        <v>0</v>
      </c>
      <c r="LQ12">
        <v>0.69444914821791148</v>
      </c>
      <c r="LR12">
        <v>0</v>
      </c>
      <c r="LS12">
        <v>0</v>
      </c>
      <c r="LT12">
        <v>0</v>
      </c>
      <c r="LU12">
        <v>0.56192565000497763</v>
      </c>
      <c r="LV12">
        <v>0</v>
      </c>
      <c r="LW12">
        <v>0</v>
      </c>
      <c r="LX12">
        <v>0.7627861318412299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 s="10">
        <v>0</v>
      </c>
      <c r="MI12" s="10">
        <v>0</v>
      </c>
      <c r="MJ12" s="10">
        <f t="shared" si="14"/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 s="10">
        <v>0</v>
      </c>
      <c r="MT12" s="10">
        <v>0.92451863896419195</v>
      </c>
      <c r="MU12" s="10">
        <v>0</v>
      </c>
      <c r="MV12" s="16">
        <f t="shared" si="15"/>
        <v>0.92451863896419195</v>
      </c>
      <c r="MW12">
        <v>2.4793388429752068</v>
      </c>
      <c r="MX12">
        <v>0</v>
      </c>
      <c r="MY12">
        <v>2.4793388429752068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 s="10">
        <v>0</v>
      </c>
      <c r="NG12" s="10">
        <v>0.88539731107845487</v>
      </c>
      <c r="NH12" s="10">
        <v>0</v>
      </c>
      <c r="NI12" s="10">
        <f t="shared" si="16"/>
        <v>0.88539731107845487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 s="10">
        <v>0</v>
      </c>
      <c r="NQ12" s="10">
        <v>0</v>
      </c>
      <c r="NR12" s="10">
        <f t="shared" si="17"/>
        <v>0</v>
      </c>
      <c r="NS12">
        <v>0</v>
      </c>
      <c r="NT12">
        <v>0</v>
      </c>
      <c r="NU12">
        <v>0</v>
      </c>
      <c r="NV12">
        <v>0.54833003901789068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 s="10">
        <v>0</v>
      </c>
      <c r="OD12" s="10">
        <v>0</v>
      </c>
      <c r="OE12" s="10">
        <f t="shared" si="18"/>
        <v>0</v>
      </c>
      <c r="OF12" s="10">
        <v>0</v>
      </c>
      <c r="OG12" s="10">
        <v>0</v>
      </c>
      <c r="OH12" s="16">
        <f t="shared" si="19"/>
        <v>0</v>
      </c>
      <c r="OI12">
        <v>0</v>
      </c>
      <c r="OJ12">
        <v>0</v>
      </c>
      <c r="OK12" s="10">
        <v>0</v>
      </c>
      <c r="OL12" s="10">
        <v>0</v>
      </c>
      <c r="OM12" s="10">
        <f t="shared" si="20"/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 s="10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 s="10">
        <v>0</v>
      </c>
      <c r="PP12" s="10">
        <v>3.5988051358935036</v>
      </c>
      <c r="PQ12" s="16">
        <f t="shared" si="21"/>
        <v>3.5988051358935036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 s="16">
        <v>0.51343561868272058</v>
      </c>
      <c r="PZ12" s="10">
        <v>1.5955581353124186</v>
      </c>
      <c r="QA12">
        <v>0</v>
      </c>
      <c r="QB12" s="10">
        <v>10.300857856022853</v>
      </c>
      <c r="QC12">
        <v>0</v>
      </c>
      <c r="QD12">
        <v>0</v>
      </c>
      <c r="QE12">
        <v>0</v>
      </c>
      <c r="QF12">
        <v>0.49467399836645037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 s="10">
        <v>0</v>
      </c>
      <c r="QU12" s="10">
        <v>1.7562599093912066</v>
      </c>
      <c r="QV12" s="10">
        <f t="shared" si="22"/>
        <v>1.7562599093912066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1.0222013662357796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0.73929102076014419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0.79633741823721604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0.67707956350068221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0.59693828891591882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3.0371012050647712</v>
      </c>
      <c r="TL12">
        <v>0</v>
      </c>
      <c r="TM12">
        <v>0.61735022155901942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0.87442624742816832</v>
      </c>
      <c r="TY12">
        <v>0</v>
      </c>
      <c r="TZ12">
        <v>0</v>
      </c>
      <c r="UA12">
        <v>2.9454666160933831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</row>
    <row r="13" spans="1:560" x14ac:dyDescent="0.25">
      <c r="A13" s="5" t="s">
        <v>1447</v>
      </c>
      <c r="B13" s="5" t="s">
        <v>1449</v>
      </c>
      <c r="C13" s="5">
        <v>15.19</v>
      </c>
      <c r="D13">
        <v>0</v>
      </c>
      <c r="E13">
        <v>0</v>
      </c>
      <c r="F13">
        <v>0</v>
      </c>
      <c r="G13">
        <v>0.75956624256950944</v>
      </c>
      <c r="H13">
        <v>0</v>
      </c>
      <c r="I13">
        <v>0</v>
      </c>
      <c r="J13">
        <v>0</v>
      </c>
      <c r="K13">
        <v>0.4084493128009557</v>
      </c>
      <c r="L13">
        <v>0</v>
      </c>
      <c r="M13">
        <v>0</v>
      </c>
      <c r="N13">
        <v>0</v>
      </c>
      <c r="O13">
        <v>0.5211482476136946</v>
      </c>
      <c r="P13">
        <v>0</v>
      </c>
      <c r="Q13" s="10">
        <v>0</v>
      </c>
      <c r="R13" s="10">
        <v>0</v>
      </c>
      <c r="S13" s="10">
        <v>3.7517308601928097</v>
      </c>
      <c r="T13" s="10">
        <v>0</v>
      </c>
      <c r="U13" s="10">
        <f t="shared" si="0"/>
        <v>3.7517308601928097</v>
      </c>
      <c r="V13">
        <v>0</v>
      </c>
      <c r="W13">
        <v>0</v>
      </c>
      <c r="X13">
        <v>0.89468951106218275</v>
      </c>
      <c r="Y13">
        <v>0</v>
      </c>
      <c r="Z13">
        <v>0</v>
      </c>
      <c r="AA13">
        <v>0</v>
      </c>
      <c r="AB13">
        <v>0</v>
      </c>
      <c r="AC13">
        <v>17.04491920770889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1.046004292837476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0.65377642983566908</v>
      </c>
      <c r="BB13">
        <v>0</v>
      </c>
      <c r="BC13">
        <v>0.83380541452159629</v>
      </c>
      <c r="BD13">
        <v>0</v>
      </c>
      <c r="BE13">
        <v>0</v>
      </c>
      <c r="BF13">
        <v>0</v>
      </c>
      <c r="BG13">
        <v>0</v>
      </c>
      <c r="BH13">
        <v>0.416206071341572</v>
      </c>
      <c r="BI13" s="10">
        <v>1.7444527834134911</v>
      </c>
      <c r="BJ13" s="10">
        <v>0</v>
      </c>
      <c r="BK13" s="10">
        <v>0</v>
      </c>
      <c r="BL13" s="10">
        <f t="shared" si="1"/>
        <v>1.7444527834134911</v>
      </c>
      <c r="BM13">
        <v>0.22413206333224589</v>
      </c>
      <c r="BN13">
        <v>0</v>
      </c>
      <c r="BO13">
        <v>0.34183435028485404</v>
      </c>
      <c r="BP13">
        <v>0</v>
      </c>
      <c r="BQ13">
        <v>0</v>
      </c>
      <c r="BR13">
        <v>0.21432117022980324</v>
      </c>
      <c r="BS13">
        <v>0</v>
      </c>
      <c r="BT13">
        <v>0</v>
      </c>
      <c r="BU13">
        <v>1.7291926911828741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2.1901611976543136</v>
      </c>
      <c r="CB13">
        <v>0</v>
      </c>
      <c r="CC13">
        <v>0</v>
      </c>
      <c r="CD13">
        <v>0</v>
      </c>
      <c r="CE13">
        <v>1.0523201447051629</v>
      </c>
      <c r="CF13">
        <v>0</v>
      </c>
      <c r="CG13">
        <v>0</v>
      </c>
      <c r="CH13">
        <v>0.64016359913405496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0.67388303698434016</v>
      </c>
      <c r="CO13">
        <v>0</v>
      </c>
      <c r="CP13">
        <v>0</v>
      </c>
      <c r="CQ13">
        <v>0</v>
      </c>
      <c r="CR13">
        <v>1.5540181291740842</v>
      </c>
      <c r="CS13">
        <v>0</v>
      </c>
      <c r="CT13">
        <v>0</v>
      </c>
      <c r="CU13" s="10">
        <v>0</v>
      </c>
      <c r="CV13" s="10">
        <v>1.0318245511215942</v>
      </c>
      <c r="CW13" s="10">
        <v>0</v>
      </c>
      <c r="CX13" s="16">
        <f t="shared" si="2"/>
        <v>1.0318245511215942</v>
      </c>
      <c r="CY13" s="10">
        <v>0</v>
      </c>
      <c r="CZ13" s="10">
        <v>1.8492752136194979</v>
      </c>
      <c r="DA13" s="10">
        <v>0</v>
      </c>
      <c r="DB13" s="16">
        <f t="shared" si="3"/>
        <v>1.8492752136194979</v>
      </c>
      <c r="DC13">
        <v>0</v>
      </c>
      <c r="DD13">
        <v>0</v>
      </c>
      <c r="DE13">
        <v>0</v>
      </c>
      <c r="DF13">
        <v>0.49847839684222744</v>
      </c>
      <c r="DG13">
        <v>0</v>
      </c>
      <c r="DH13">
        <v>0</v>
      </c>
      <c r="DI13" s="10">
        <v>0</v>
      </c>
      <c r="DJ13" s="10">
        <v>3.4684783188754884</v>
      </c>
      <c r="DK13" s="10">
        <v>0</v>
      </c>
      <c r="DL13" s="16">
        <f t="shared" si="4"/>
        <v>3.4684783188754884</v>
      </c>
      <c r="DM13" s="10">
        <v>9.5902289680282973</v>
      </c>
      <c r="DN13" s="10">
        <v>0</v>
      </c>
      <c r="DO13" s="10">
        <v>0</v>
      </c>
      <c r="DP13" s="16">
        <f t="shared" si="5"/>
        <v>9.5902289680282973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1.1900471370159387</v>
      </c>
      <c r="DW13">
        <v>0</v>
      </c>
      <c r="DX13" s="10">
        <v>0.51865485586279936</v>
      </c>
      <c r="DY13" s="10">
        <v>0</v>
      </c>
      <c r="DZ13" s="16">
        <f t="shared" si="6"/>
        <v>0.51865485586279936</v>
      </c>
      <c r="EA13">
        <v>0</v>
      </c>
      <c r="EB13">
        <v>0</v>
      </c>
      <c r="EC13">
        <v>6.8803014978000494</v>
      </c>
      <c r="ED13">
        <v>0</v>
      </c>
      <c r="EE13">
        <v>0</v>
      </c>
      <c r="EF13">
        <v>0</v>
      </c>
      <c r="EG13">
        <v>26.619849674391023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2.6218760790776638</v>
      </c>
      <c r="EN13">
        <v>0</v>
      </c>
      <c r="EO13">
        <v>0.38993988470709429</v>
      </c>
      <c r="EP13">
        <v>0</v>
      </c>
      <c r="EQ13">
        <v>1.9688331880369421</v>
      </c>
      <c r="ER13">
        <v>0</v>
      </c>
      <c r="ES13">
        <v>0</v>
      </c>
      <c r="ET13">
        <v>0</v>
      </c>
      <c r="EU13">
        <v>0</v>
      </c>
      <c r="EV13">
        <v>0.90588350888425662</v>
      </c>
      <c r="EW13">
        <v>0</v>
      </c>
      <c r="EX13">
        <v>4.0130324036953136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1.1517969297709889</v>
      </c>
      <c r="FI13">
        <v>0</v>
      </c>
      <c r="FJ13">
        <v>0</v>
      </c>
      <c r="FK13">
        <v>2.6659904545226722</v>
      </c>
      <c r="FL13">
        <v>0</v>
      </c>
      <c r="FM13">
        <v>0</v>
      </c>
      <c r="FN13">
        <v>0</v>
      </c>
      <c r="FO13">
        <v>1.3506580544333597</v>
      </c>
      <c r="FP13">
        <v>0</v>
      </c>
      <c r="FQ13">
        <v>0</v>
      </c>
      <c r="FR13">
        <v>1.500502181299173</v>
      </c>
      <c r="FS13">
        <v>0</v>
      </c>
      <c r="FT13">
        <v>0</v>
      </c>
      <c r="FU13">
        <v>1.2048096052642541</v>
      </c>
      <c r="FV13">
        <v>0</v>
      </c>
      <c r="FW13">
        <v>0</v>
      </c>
      <c r="FX13">
        <v>0</v>
      </c>
      <c r="FY13">
        <v>0.92724575520733832</v>
      </c>
      <c r="FZ13">
        <v>0</v>
      </c>
      <c r="GA13">
        <v>0</v>
      </c>
      <c r="GB13">
        <v>2.7284293671229807</v>
      </c>
      <c r="GC13">
        <v>0</v>
      </c>
      <c r="GD13">
        <v>0</v>
      </c>
      <c r="GE13">
        <v>1.2010984186145601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1.8724031495778508</v>
      </c>
      <c r="GL13">
        <v>0</v>
      </c>
      <c r="GM13">
        <v>0</v>
      </c>
      <c r="GN13">
        <v>0</v>
      </c>
      <c r="GO13">
        <v>0</v>
      </c>
      <c r="GP13">
        <v>0.47706230244538933</v>
      </c>
      <c r="GQ13">
        <v>0</v>
      </c>
      <c r="GR13">
        <v>0</v>
      </c>
      <c r="GS13" s="10">
        <v>0</v>
      </c>
      <c r="GT13" s="10">
        <v>0.8635766212296726</v>
      </c>
      <c r="GU13" s="10">
        <v>0</v>
      </c>
      <c r="GV13" s="10">
        <f t="shared" si="7"/>
        <v>0.8635766212296726</v>
      </c>
      <c r="GW13" s="10">
        <v>0</v>
      </c>
      <c r="GX13" s="10">
        <v>22.051821178286616</v>
      </c>
      <c r="GY13" s="16">
        <f t="shared" si="8"/>
        <v>22.051821178286616</v>
      </c>
      <c r="GZ13">
        <v>0</v>
      </c>
      <c r="HA13">
        <v>0</v>
      </c>
      <c r="HB13">
        <v>0</v>
      </c>
      <c r="HC13">
        <v>0.32699223960577301</v>
      </c>
      <c r="HD13">
        <v>0</v>
      </c>
      <c r="HE13" s="10">
        <v>0</v>
      </c>
      <c r="HF13" s="10">
        <v>2.6187487486402725</v>
      </c>
      <c r="HG13" s="10">
        <f t="shared" si="9"/>
        <v>2.6187487486402725</v>
      </c>
      <c r="HH13">
        <v>0</v>
      </c>
      <c r="HI13">
        <v>0</v>
      </c>
      <c r="HJ13">
        <v>0</v>
      </c>
      <c r="HK13">
        <v>0.4296012503884224</v>
      </c>
      <c r="HL13">
        <v>0</v>
      </c>
      <c r="HM13">
        <v>0.37528737196602974</v>
      </c>
      <c r="HN13">
        <v>0</v>
      </c>
      <c r="HO13">
        <v>0</v>
      </c>
      <c r="HP13">
        <v>0.37972946149097653</v>
      </c>
      <c r="HQ13">
        <v>0</v>
      </c>
      <c r="HR13">
        <v>0.26089391734976775</v>
      </c>
      <c r="HS13">
        <v>0</v>
      </c>
      <c r="HT13">
        <v>0</v>
      </c>
      <c r="HU13">
        <v>0</v>
      </c>
      <c r="HV13">
        <v>0</v>
      </c>
      <c r="HW13">
        <v>0.32187478979913314</v>
      </c>
      <c r="HX13">
        <v>0</v>
      </c>
      <c r="HY13">
        <v>0.22014636447438127</v>
      </c>
      <c r="HZ13">
        <v>0</v>
      </c>
      <c r="IA13">
        <v>0</v>
      </c>
      <c r="IB13">
        <v>0</v>
      </c>
      <c r="IC13">
        <v>0.80978785566639377</v>
      </c>
      <c r="ID13">
        <v>0</v>
      </c>
      <c r="IE13">
        <v>0</v>
      </c>
      <c r="IF13">
        <v>0</v>
      </c>
      <c r="IG13">
        <v>0</v>
      </c>
      <c r="IH13">
        <v>0.58053664800770455</v>
      </c>
      <c r="II13">
        <v>0</v>
      </c>
      <c r="IJ13">
        <v>0</v>
      </c>
      <c r="IK13">
        <v>0</v>
      </c>
      <c r="IL13">
        <v>0.87296877966066677</v>
      </c>
      <c r="IM13">
        <v>0</v>
      </c>
      <c r="IN13">
        <v>0</v>
      </c>
      <c r="IO13">
        <v>0</v>
      </c>
      <c r="IP13">
        <v>0</v>
      </c>
      <c r="IQ13">
        <v>0.46623714510054898</v>
      </c>
      <c r="IR13">
        <v>0</v>
      </c>
      <c r="IS13">
        <v>0</v>
      </c>
      <c r="IT13">
        <v>0.72112361318687079</v>
      </c>
      <c r="IU13">
        <v>0</v>
      </c>
      <c r="IV13">
        <v>0.29238694445820163</v>
      </c>
      <c r="IW13">
        <v>0</v>
      </c>
      <c r="IX13">
        <v>0</v>
      </c>
      <c r="IY13">
        <v>0</v>
      </c>
      <c r="IZ13">
        <v>0.30574371438950548</v>
      </c>
      <c r="JA13">
        <v>0</v>
      </c>
      <c r="JB13">
        <v>0.26383598028864025</v>
      </c>
      <c r="JC13">
        <v>0</v>
      </c>
      <c r="JD13">
        <v>0.97285601507890163</v>
      </c>
      <c r="JE13">
        <v>0</v>
      </c>
      <c r="JF13">
        <v>0</v>
      </c>
      <c r="JG13">
        <v>0</v>
      </c>
      <c r="JH13">
        <v>0.25445417725644526</v>
      </c>
      <c r="JI13">
        <v>0</v>
      </c>
      <c r="JJ13">
        <v>1.7131905875582925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0.42114973872836164</v>
      </c>
      <c r="JS13">
        <v>0</v>
      </c>
      <c r="JT13" s="10">
        <v>0</v>
      </c>
      <c r="JU13" s="10">
        <v>2.340806455827237</v>
      </c>
      <c r="JV13" s="16">
        <f t="shared" si="10"/>
        <v>2.340806455827237</v>
      </c>
      <c r="JW13">
        <v>0.23213207960465679</v>
      </c>
      <c r="JX13">
        <v>0</v>
      </c>
      <c r="JY13">
        <v>0</v>
      </c>
      <c r="JZ13">
        <v>0</v>
      </c>
      <c r="KA13">
        <v>0</v>
      </c>
      <c r="KB13" s="10">
        <v>0.75930378027994161</v>
      </c>
      <c r="KC13" s="10">
        <v>0</v>
      </c>
      <c r="KD13" s="10">
        <f t="shared" si="11"/>
        <v>0.75930378027994161</v>
      </c>
      <c r="KE13" s="10">
        <v>3.8028385188669587</v>
      </c>
      <c r="KF13" s="10">
        <v>0</v>
      </c>
      <c r="KG13" s="10">
        <f t="shared" si="12"/>
        <v>3.8028385188669587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16.224871787752075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0.35284854072777627</v>
      </c>
      <c r="LA13">
        <v>0</v>
      </c>
      <c r="LB13">
        <v>0.22652773777447124</v>
      </c>
      <c r="LC13">
        <v>0</v>
      </c>
      <c r="LD13" s="10">
        <v>0</v>
      </c>
      <c r="LE13" s="10">
        <v>1.2222962965167001</v>
      </c>
      <c r="LF13" s="10">
        <v>0</v>
      </c>
      <c r="LG13" s="10">
        <v>0</v>
      </c>
      <c r="LH13" s="10">
        <v>0</v>
      </c>
      <c r="LI13" s="10">
        <f t="shared" si="13"/>
        <v>1.2222962965167001</v>
      </c>
      <c r="LJ13">
        <v>0</v>
      </c>
      <c r="LK13">
        <v>0</v>
      </c>
      <c r="LL13">
        <v>0.28333444310782463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0.40653808274255976</v>
      </c>
      <c r="LS13">
        <v>0</v>
      </c>
      <c r="LT13">
        <v>0</v>
      </c>
      <c r="LU13">
        <v>0.24353431508258583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 s="10">
        <v>0</v>
      </c>
      <c r="MI13" s="10">
        <v>0.28715709150459467</v>
      </c>
      <c r="MJ13" s="10">
        <f t="shared" si="14"/>
        <v>0.28715709150459467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0.25977967643896216</v>
      </c>
      <c r="MR13">
        <v>0</v>
      </c>
      <c r="MS13" s="10">
        <v>0</v>
      </c>
      <c r="MT13" s="10">
        <v>0</v>
      </c>
      <c r="MU13" s="10">
        <v>0.4807025075433134</v>
      </c>
      <c r="MV13" s="16">
        <f t="shared" si="15"/>
        <v>0.4807025075433134</v>
      </c>
      <c r="MW13">
        <v>0.9874917709019092</v>
      </c>
      <c r="MX13">
        <v>0</v>
      </c>
      <c r="MY13">
        <v>0.9874917709019092</v>
      </c>
      <c r="MZ13">
        <v>0</v>
      </c>
      <c r="NA13">
        <v>0.29818163734631625</v>
      </c>
      <c r="NB13">
        <v>0</v>
      </c>
      <c r="NC13">
        <v>0</v>
      </c>
      <c r="ND13">
        <v>0</v>
      </c>
      <c r="NE13">
        <v>0</v>
      </c>
      <c r="NF13" s="10">
        <v>0</v>
      </c>
      <c r="NG13" s="10">
        <v>0.31196599110804252</v>
      </c>
      <c r="NH13" s="10">
        <v>0</v>
      </c>
      <c r="NI13" s="10">
        <f t="shared" si="16"/>
        <v>0.31196599110804252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 s="10">
        <v>0</v>
      </c>
      <c r="NQ13" s="10">
        <v>0.41093649131257137</v>
      </c>
      <c r="NR13" s="10">
        <f t="shared" si="17"/>
        <v>0.41093649131257137</v>
      </c>
      <c r="NS13">
        <v>0.21484402372917921</v>
      </c>
      <c r="NT13">
        <v>0</v>
      </c>
      <c r="NU13">
        <v>0</v>
      </c>
      <c r="NV13">
        <v>0.21817657934277473</v>
      </c>
      <c r="NW13">
        <v>0</v>
      </c>
      <c r="NX13">
        <v>0.8026848052099812</v>
      </c>
      <c r="NY13">
        <v>0</v>
      </c>
      <c r="NZ13">
        <v>0.21656396132975519</v>
      </c>
      <c r="OA13">
        <v>0</v>
      </c>
      <c r="OB13">
        <v>0</v>
      </c>
      <c r="OC13" s="10">
        <v>0</v>
      </c>
      <c r="OD13" s="10">
        <v>0.55760847710618922</v>
      </c>
      <c r="OE13" s="10">
        <f t="shared" si="18"/>
        <v>0.55760847710618922</v>
      </c>
      <c r="OF13" s="10">
        <v>0.30527000196443171</v>
      </c>
      <c r="OG13" s="10">
        <v>0</v>
      </c>
      <c r="OH13" s="16">
        <f t="shared" si="19"/>
        <v>0.30527000196443171</v>
      </c>
      <c r="OI13">
        <v>0</v>
      </c>
      <c r="OJ13">
        <v>0</v>
      </c>
      <c r="OK13" s="10">
        <v>0</v>
      </c>
      <c r="OL13" s="10">
        <v>0.24544780450071979</v>
      </c>
      <c r="OM13" s="10">
        <f t="shared" si="20"/>
        <v>0.24544780450071979</v>
      </c>
      <c r="ON13">
        <v>0.28825193957764877</v>
      </c>
      <c r="OO13">
        <v>0.32397429983569831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0.30675948487172855</v>
      </c>
      <c r="OW13">
        <v>0</v>
      </c>
      <c r="OX13">
        <v>0</v>
      </c>
      <c r="OY13">
        <v>0.22792383381259618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 s="10">
        <v>0</v>
      </c>
      <c r="PJ13">
        <v>0.28951190919155734</v>
      </c>
      <c r="PK13">
        <v>0.2087915755509509</v>
      </c>
      <c r="PL13">
        <v>0</v>
      </c>
      <c r="PM13">
        <v>0.93284388379824423</v>
      </c>
      <c r="PN13">
        <v>0</v>
      </c>
      <c r="PO13" s="10">
        <v>6.6023411301091102</v>
      </c>
      <c r="PP13" s="10">
        <v>0</v>
      </c>
      <c r="PQ13" s="16">
        <f t="shared" si="21"/>
        <v>6.6023411301091102</v>
      </c>
      <c r="PR13">
        <v>0.98399296406759029</v>
      </c>
      <c r="PS13">
        <v>0</v>
      </c>
      <c r="PT13">
        <v>0.6756385595007901</v>
      </c>
      <c r="PU13">
        <v>0</v>
      </c>
      <c r="PV13">
        <v>0</v>
      </c>
      <c r="PW13">
        <v>0</v>
      </c>
      <c r="PX13">
        <v>0</v>
      </c>
      <c r="PY13" s="16">
        <v>0.85016656806454671</v>
      </c>
      <c r="PZ13" s="10">
        <v>2.2759428736680656</v>
      </c>
      <c r="QA13">
        <v>0</v>
      </c>
      <c r="QB13" s="10">
        <v>21.983429605896511</v>
      </c>
      <c r="QC13">
        <v>0</v>
      </c>
      <c r="QD13">
        <v>0</v>
      </c>
      <c r="QE13">
        <v>0</v>
      </c>
      <c r="QF13">
        <v>0.43290707024511788</v>
      </c>
      <c r="QG13">
        <v>0</v>
      </c>
      <c r="QH13">
        <v>0</v>
      </c>
      <c r="QI13">
        <v>0</v>
      </c>
      <c r="QJ13">
        <v>0</v>
      </c>
      <c r="QK13">
        <v>0.58377393395234634</v>
      </c>
      <c r="QL13">
        <v>0</v>
      </c>
      <c r="QM13">
        <v>0.57518384822835322</v>
      </c>
      <c r="QN13">
        <v>0</v>
      </c>
      <c r="QO13">
        <v>0.28654009801613411</v>
      </c>
      <c r="QP13">
        <v>0</v>
      </c>
      <c r="QQ13">
        <v>0</v>
      </c>
      <c r="QR13">
        <v>0</v>
      </c>
      <c r="QS13">
        <v>0</v>
      </c>
      <c r="QT13" s="10">
        <v>3.186314224111964</v>
      </c>
      <c r="QU13" s="10">
        <v>0</v>
      </c>
      <c r="QV13" s="10">
        <f t="shared" si="22"/>
        <v>3.186314224111964</v>
      </c>
      <c r="QW13">
        <v>0</v>
      </c>
      <c r="QX13">
        <v>0</v>
      </c>
      <c r="QY13">
        <v>2.3023163798900996</v>
      </c>
      <c r="QZ13">
        <v>1.1067409661551559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0.38559946637035886</v>
      </c>
      <c r="RJ13">
        <v>0</v>
      </c>
      <c r="RK13">
        <v>0</v>
      </c>
      <c r="RL13">
        <v>0</v>
      </c>
      <c r="RM13">
        <v>0.73145453558901696</v>
      </c>
      <c r="RN13">
        <v>0</v>
      </c>
      <c r="RO13">
        <v>0</v>
      </c>
      <c r="RP13">
        <v>0.2224622082058629</v>
      </c>
      <c r="RQ13">
        <v>0</v>
      </c>
      <c r="RR13">
        <v>0</v>
      </c>
      <c r="RS13">
        <v>0</v>
      </c>
      <c r="RT13">
        <v>1.206911186380579</v>
      </c>
      <c r="RU13">
        <v>0.19542482678080403</v>
      </c>
      <c r="RV13">
        <v>0</v>
      </c>
      <c r="RW13">
        <v>0</v>
      </c>
      <c r="RX13">
        <v>0.23377708177392142</v>
      </c>
      <c r="RY13">
        <v>0</v>
      </c>
      <c r="RZ13">
        <v>0.82933640095977135</v>
      </c>
      <c r="SA13">
        <v>0.53593086181967409</v>
      </c>
      <c r="SB13">
        <v>0</v>
      </c>
      <c r="SC13">
        <v>0</v>
      </c>
      <c r="SD13">
        <v>0</v>
      </c>
      <c r="SE13">
        <v>0</v>
      </c>
      <c r="SF13">
        <v>0.26809995695423894</v>
      </c>
      <c r="SG13">
        <v>0</v>
      </c>
      <c r="SH13">
        <v>0</v>
      </c>
      <c r="SI13">
        <v>0</v>
      </c>
      <c r="SJ13">
        <v>0</v>
      </c>
      <c r="SK13">
        <v>0.24043315556216033</v>
      </c>
      <c r="SL13">
        <v>0</v>
      </c>
      <c r="SM13">
        <v>0</v>
      </c>
      <c r="SN13">
        <v>0.2779842792481676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0.59657508966807293</v>
      </c>
      <c r="SV13">
        <v>0</v>
      </c>
      <c r="SW13">
        <v>0</v>
      </c>
      <c r="SX13">
        <v>0</v>
      </c>
      <c r="SY13">
        <v>0.39240917662078384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1.4791403115360475</v>
      </c>
      <c r="TL13">
        <v>0</v>
      </c>
      <c r="TM13">
        <v>0.2867383568331463</v>
      </c>
      <c r="TN13">
        <v>0</v>
      </c>
      <c r="TO13">
        <v>0</v>
      </c>
      <c r="TP13">
        <v>0</v>
      </c>
      <c r="TQ13">
        <v>0.3187822911577034</v>
      </c>
      <c r="TR13">
        <v>0</v>
      </c>
      <c r="TS13">
        <v>0</v>
      </c>
      <c r="TT13">
        <v>0</v>
      </c>
      <c r="TU13">
        <v>0.99633283383680205</v>
      </c>
      <c r="TV13">
        <v>0</v>
      </c>
      <c r="TW13">
        <v>6.9135888331004374</v>
      </c>
      <c r="TX13">
        <v>0</v>
      </c>
      <c r="TY13">
        <v>0</v>
      </c>
      <c r="TZ13">
        <v>0</v>
      </c>
      <c r="UA13">
        <v>5.514731857375665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36.129307661464587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7.7031599378309306</v>
      </c>
      <c r="UN13">
        <v>0</v>
      </c>
    </row>
    <row r="14" spans="1:560" x14ac:dyDescent="0.25">
      <c r="A14" s="5" t="s">
        <v>1447</v>
      </c>
      <c r="B14" s="5" t="s">
        <v>1450</v>
      </c>
      <c r="C14" s="5">
        <v>26.75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s="10">
        <v>0</v>
      </c>
      <c r="R14" s="10">
        <v>1.4582347268968345</v>
      </c>
      <c r="S14" s="10">
        <v>0</v>
      </c>
      <c r="T14" s="10">
        <v>0</v>
      </c>
      <c r="U14" s="10">
        <f t="shared" si="0"/>
        <v>1.4582347268968345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s="10">
        <v>0</v>
      </c>
      <c r="BJ14" s="10">
        <v>0</v>
      </c>
      <c r="BK14" s="10">
        <v>0.14621992540529144</v>
      </c>
      <c r="BL14" s="10">
        <f t="shared" si="1"/>
        <v>0.14621992540529144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0.12566917891568843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 s="10">
        <v>0</v>
      </c>
      <c r="CV14" s="10">
        <v>0.27720903378342088</v>
      </c>
      <c r="CW14" s="10">
        <v>0</v>
      </c>
      <c r="CX14" s="16">
        <f t="shared" si="2"/>
        <v>0.27720903378342088</v>
      </c>
      <c r="CY14" s="10">
        <v>0</v>
      </c>
      <c r="CZ14" s="10">
        <v>0.23156354965413295</v>
      </c>
      <c r="DA14" s="10">
        <v>0</v>
      </c>
      <c r="DB14" s="16">
        <f t="shared" si="3"/>
        <v>0.23156354965413295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 s="10">
        <v>0</v>
      </c>
      <c r="DJ14" s="10">
        <v>0.58033755472313342</v>
      </c>
      <c r="DK14" s="10">
        <v>0</v>
      </c>
      <c r="DL14" s="16">
        <f t="shared" si="4"/>
        <v>0.58033755472313342</v>
      </c>
      <c r="DM14" s="10">
        <v>0</v>
      </c>
      <c r="DN14" s="10">
        <v>0</v>
      </c>
      <c r="DO14" s="10">
        <v>0</v>
      </c>
      <c r="DP14" s="16">
        <f t="shared" si="5"/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0.15171923911709581</v>
      </c>
      <c r="DW14">
        <v>0</v>
      </c>
      <c r="DX14" s="10">
        <v>0</v>
      </c>
      <c r="DY14" s="10">
        <v>0.40593549079689434</v>
      </c>
      <c r="DZ14" s="16">
        <f t="shared" si="6"/>
        <v>0.40593549079689434</v>
      </c>
      <c r="EA14">
        <v>0.12341451930991423</v>
      </c>
      <c r="EB14">
        <v>0</v>
      </c>
      <c r="EC14">
        <v>0</v>
      </c>
      <c r="ED14">
        <v>0</v>
      </c>
      <c r="EE14">
        <v>0</v>
      </c>
      <c r="EF14">
        <v>0.19428543707413953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0.34748585648738328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0.1419535556637512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 s="10">
        <v>0</v>
      </c>
      <c r="GT14" s="10">
        <v>0</v>
      </c>
      <c r="GU14" s="10">
        <v>0</v>
      </c>
      <c r="GV14" s="10">
        <f t="shared" si="7"/>
        <v>0</v>
      </c>
      <c r="GW14" s="10">
        <v>1.9968059972519292</v>
      </c>
      <c r="GX14" s="10">
        <v>0</v>
      </c>
      <c r="GY14" s="16">
        <f t="shared" si="8"/>
        <v>1.9968059972519292</v>
      </c>
      <c r="GZ14">
        <v>0</v>
      </c>
      <c r="HA14">
        <v>0</v>
      </c>
      <c r="HB14">
        <v>0</v>
      </c>
      <c r="HC14">
        <v>0</v>
      </c>
      <c r="HD14">
        <v>0</v>
      </c>
      <c r="HE14" s="10">
        <v>0</v>
      </c>
      <c r="HF14" s="10">
        <v>1.1863702126031836</v>
      </c>
      <c r="HG14" s="10">
        <f t="shared" si="9"/>
        <v>1.1863702126031836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0.32051539156306041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0.20376673686142696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 s="10">
        <v>0</v>
      </c>
      <c r="JU14" s="10">
        <v>0.7578904618011435</v>
      </c>
      <c r="JV14" s="16">
        <f t="shared" si="10"/>
        <v>0.7578904618011435</v>
      </c>
      <c r="JW14">
        <v>0</v>
      </c>
      <c r="JX14">
        <v>0</v>
      </c>
      <c r="JY14">
        <v>0</v>
      </c>
      <c r="JZ14">
        <v>0</v>
      </c>
      <c r="KA14">
        <v>0</v>
      </c>
      <c r="KB14" s="10">
        <v>0</v>
      </c>
      <c r="KC14" s="10">
        <v>0.20982178519086134</v>
      </c>
      <c r="KD14" s="10">
        <f t="shared" si="11"/>
        <v>0.20982178519086134</v>
      </c>
      <c r="KE14" s="10">
        <v>0</v>
      </c>
      <c r="KF14" s="10">
        <v>0.20471222341221787</v>
      </c>
      <c r="KG14" s="10">
        <f t="shared" si="12"/>
        <v>0.20471222341221787</v>
      </c>
      <c r="KH14">
        <v>0</v>
      </c>
      <c r="KI14">
        <v>2.6378231329128825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 s="10">
        <v>0</v>
      </c>
      <c r="LE14" s="10">
        <v>0</v>
      </c>
      <c r="LF14" s="10">
        <v>0</v>
      </c>
      <c r="LG14" s="10">
        <v>0.32962267703467735</v>
      </c>
      <c r="LH14" s="10">
        <v>0</v>
      </c>
      <c r="LI14" s="10">
        <f t="shared" si="13"/>
        <v>0.32962267703467735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0.16589575872253712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0.13192168516457278</v>
      </c>
      <c r="MF14">
        <v>0</v>
      </c>
      <c r="MG14">
        <v>0</v>
      </c>
      <c r="MH14" s="10">
        <v>0</v>
      </c>
      <c r="MI14" s="10">
        <v>0.14466804878057327</v>
      </c>
      <c r="MJ14" s="10">
        <f t="shared" si="14"/>
        <v>0.14466804878057327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 s="10">
        <v>0</v>
      </c>
      <c r="MT14" s="10">
        <v>0.13584846662870279</v>
      </c>
      <c r="MU14" s="10">
        <v>0</v>
      </c>
      <c r="MV14" s="16">
        <f t="shared" si="15"/>
        <v>0.13584846662870279</v>
      </c>
      <c r="MW14">
        <v>0.56074766355140182</v>
      </c>
      <c r="MX14">
        <v>0</v>
      </c>
      <c r="MY14">
        <v>0.56074766355140182</v>
      </c>
      <c r="MZ14">
        <v>0</v>
      </c>
      <c r="NA14">
        <v>0</v>
      </c>
      <c r="NB14">
        <v>0.12401340942550623</v>
      </c>
      <c r="NC14">
        <v>0</v>
      </c>
      <c r="ND14">
        <v>0</v>
      </c>
      <c r="NE14">
        <v>0</v>
      </c>
      <c r="NF14" s="10">
        <v>0</v>
      </c>
      <c r="NG14" s="10">
        <v>0</v>
      </c>
      <c r="NH14" s="10">
        <v>0</v>
      </c>
      <c r="NI14" s="10">
        <f t="shared" si="16"/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 s="10">
        <v>0</v>
      </c>
      <c r="NQ14" s="10">
        <v>0</v>
      </c>
      <c r="NR14" s="10">
        <f t="shared" si="17"/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 s="10">
        <v>0</v>
      </c>
      <c r="OD14" s="10">
        <v>0.19755750906064123</v>
      </c>
      <c r="OE14" s="10">
        <f t="shared" si="18"/>
        <v>0.19755750906064123</v>
      </c>
      <c r="OF14" s="10">
        <v>0.1634732721802441</v>
      </c>
      <c r="OG14" s="10">
        <v>0</v>
      </c>
      <c r="OH14" s="16">
        <f t="shared" si="19"/>
        <v>0.1634732721802441</v>
      </c>
      <c r="OI14">
        <v>0</v>
      </c>
      <c r="OJ14">
        <v>0</v>
      </c>
      <c r="OK14" s="10">
        <v>0</v>
      </c>
      <c r="OL14" s="10">
        <v>0</v>
      </c>
      <c r="OM14" s="10">
        <f t="shared" si="20"/>
        <v>0</v>
      </c>
      <c r="ON14">
        <v>0.13811308519554513</v>
      </c>
      <c r="OO14">
        <v>0</v>
      </c>
      <c r="OP14">
        <v>0</v>
      </c>
      <c r="OQ14">
        <v>0.13310274417717324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 s="10">
        <v>0</v>
      </c>
      <c r="PJ14">
        <v>0.16079861490769465</v>
      </c>
      <c r="PK14">
        <v>0</v>
      </c>
      <c r="PL14">
        <v>0</v>
      </c>
      <c r="PM14">
        <v>0</v>
      </c>
      <c r="PN14">
        <v>0</v>
      </c>
      <c r="PO14" s="10">
        <v>3.417511055589197</v>
      </c>
      <c r="PP14" s="10">
        <v>0</v>
      </c>
      <c r="PQ14" s="16">
        <f t="shared" si="21"/>
        <v>3.417511055589197</v>
      </c>
      <c r="PR14">
        <v>0</v>
      </c>
      <c r="PS14">
        <v>0</v>
      </c>
      <c r="PT14">
        <v>0</v>
      </c>
      <c r="PU14">
        <v>0.13435339296711407</v>
      </c>
      <c r="PV14">
        <v>0</v>
      </c>
      <c r="PW14">
        <v>0.29312898632647144</v>
      </c>
      <c r="PX14">
        <v>0</v>
      </c>
      <c r="PY14" s="16">
        <v>0.88225489386676792</v>
      </c>
      <c r="PZ14" s="10">
        <v>1.2851310164135541</v>
      </c>
      <c r="QA14">
        <v>0</v>
      </c>
      <c r="QB14" s="10">
        <v>9.2865649674638799</v>
      </c>
      <c r="QC14">
        <v>0.14068716925631997</v>
      </c>
      <c r="QD14">
        <v>0</v>
      </c>
      <c r="QE14">
        <v>0</v>
      </c>
      <c r="QF14">
        <v>0.18460999902109149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0.1550095077238208</v>
      </c>
      <c r="QM14">
        <v>0</v>
      </c>
      <c r="QN14">
        <v>0.16047906750255739</v>
      </c>
      <c r="QO14">
        <v>0</v>
      </c>
      <c r="QP14">
        <v>0.21364000168433489</v>
      </c>
      <c r="QQ14">
        <v>0</v>
      </c>
      <c r="QR14">
        <v>0</v>
      </c>
      <c r="QS14">
        <v>0</v>
      </c>
      <c r="QT14" s="10">
        <v>1.1367466768027852</v>
      </c>
      <c r="QU14" s="10">
        <v>0</v>
      </c>
      <c r="QV14" s="10">
        <f t="shared" si="22"/>
        <v>1.1367466768027852</v>
      </c>
      <c r="QW14">
        <v>0</v>
      </c>
      <c r="QX14">
        <v>0.38659875395651233</v>
      </c>
      <c r="QY14">
        <v>0</v>
      </c>
      <c r="QZ14">
        <v>0</v>
      </c>
      <c r="RA14">
        <v>0</v>
      </c>
      <c r="RB14">
        <v>0.61307770070974055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0.14403571622781416</v>
      </c>
      <c r="RJ14">
        <v>0</v>
      </c>
      <c r="RK14">
        <v>0</v>
      </c>
      <c r="RL14">
        <v>0</v>
      </c>
      <c r="RM14">
        <v>0.12827104970734474</v>
      </c>
      <c r="RN14">
        <v>0</v>
      </c>
      <c r="RO14">
        <v>0.17089466537820114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0.15527409641787829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0.24167103448734734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0.51711450430856309</v>
      </c>
      <c r="TI14">
        <v>0</v>
      </c>
      <c r="TJ14">
        <v>0</v>
      </c>
      <c r="TK14">
        <v>1.2401594219832108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0.92542219504186318</v>
      </c>
      <c r="TX14">
        <v>0</v>
      </c>
      <c r="TY14">
        <v>0.13292188452617018</v>
      </c>
      <c r="TZ14">
        <v>0</v>
      </c>
      <c r="UA14">
        <v>1.0983037346282283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0.21193320788744552</v>
      </c>
      <c r="UN14">
        <v>0</v>
      </c>
    </row>
    <row r="15" spans="1:560" x14ac:dyDescent="0.25">
      <c r="A15" s="5" t="s">
        <v>1447</v>
      </c>
      <c r="B15" s="5" t="s">
        <v>1451</v>
      </c>
      <c r="C15" s="5">
        <v>13.21</v>
      </c>
      <c r="D15">
        <v>0</v>
      </c>
      <c r="E15">
        <v>0</v>
      </c>
      <c r="F15">
        <v>0.24107697087560978</v>
      </c>
      <c r="G15">
        <v>0</v>
      </c>
      <c r="H15">
        <v>0</v>
      </c>
      <c r="I15">
        <v>0</v>
      </c>
      <c r="J15">
        <v>0.23118204784123994</v>
      </c>
      <c r="K15">
        <v>0</v>
      </c>
      <c r="L15">
        <v>0</v>
      </c>
      <c r="M15">
        <v>0</v>
      </c>
      <c r="N15">
        <v>0.33202912093208525</v>
      </c>
      <c r="O15">
        <v>0</v>
      </c>
      <c r="P15">
        <v>0</v>
      </c>
      <c r="Q15" s="10">
        <v>0</v>
      </c>
      <c r="R15" s="10">
        <v>2.1150200103741374</v>
      </c>
      <c r="S15" s="10">
        <v>0</v>
      </c>
      <c r="T15" s="10">
        <v>0</v>
      </c>
      <c r="U15" s="10">
        <f t="shared" si="0"/>
        <v>2.1150200103741374</v>
      </c>
      <c r="V15">
        <v>0</v>
      </c>
      <c r="W15">
        <v>0.47925126321740574</v>
      </c>
      <c r="X15">
        <v>0</v>
      </c>
      <c r="Y15">
        <v>0</v>
      </c>
      <c r="Z15">
        <v>0</v>
      </c>
      <c r="AA15">
        <v>0.22625163463875506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0.23813491885308394</v>
      </c>
      <c r="BA15">
        <v>0</v>
      </c>
      <c r="BB15">
        <v>0</v>
      </c>
      <c r="BC15">
        <v>0.46246151462362312</v>
      </c>
      <c r="BD15">
        <v>0</v>
      </c>
      <c r="BE15">
        <v>0</v>
      </c>
      <c r="BF15">
        <v>0</v>
      </c>
      <c r="BG15">
        <v>0</v>
      </c>
      <c r="BH15">
        <v>0</v>
      </c>
      <c r="BI15" s="10">
        <v>0</v>
      </c>
      <c r="BJ15" s="10">
        <v>0.69797566100382658</v>
      </c>
      <c r="BK15" s="10">
        <v>0</v>
      </c>
      <c r="BL15" s="10">
        <f t="shared" si="1"/>
        <v>0.69797566100382658</v>
      </c>
      <c r="BM15">
        <v>0</v>
      </c>
      <c r="BN15">
        <v>0</v>
      </c>
      <c r="BO15">
        <v>0.27877160650196753</v>
      </c>
      <c r="BP15">
        <v>0</v>
      </c>
      <c r="BQ15">
        <v>0.21351329625976687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0.70866556318915064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0.38598642808941525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 s="10">
        <v>0</v>
      </c>
      <c r="CV15" s="10">
        <v>0.63015990060048854</v>
      </c>
      <c r="CW15" s="10">
        <v>0</v>
      </c>
      <c r="CX15" s="16">
        <f t="shared" si="2"/>
        <v>0.63015990060048854</v>
      </c>
      <c r="CY15" s="10">
        <v>0</v>
      </c>
      <c r="CZ15" s="10">
        <v>0.72908437029664641</v>
      </c>
      <c r="DA15" s="10">
        <v>0</v>
      </c>
      <c r="DB15" s="16">
        <f t="shared" si="3"/>
        <v>0.72908437029664641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 s="10">
        <v>0</v>
      </c>
      <c r="DJ15" s="10">
        <v>2.3281746831568206</v>
      </c>
      <c r="DK15" s="10">
        <v>0</v>
      </c>
      <c r="DL15" s="16">
        <f t="shared" si="4"/>
        <v>2.3281746831568206</v>
      </c>
      <c r="DM15" s="10">
        <v>0</v>
      </c>
      <c r="DN15" s="10">
        <v>0</v>
      </c>
      <c r="DO15" s="10">
        <v>0</v>
      </c>
      <c r="DP15" s="16">
        <f t="shared" si="5"/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0.31259059191984334</v>
      </c>
      <c r="DX15" s="10">
        <v>0</v>
      </c>
      <c r="DY15" s="10">
        <v>0.32817396929246895</v>
      </c>
      <c r="DZ15" s="16">
        <f t="shared" si="6"/>
        <v>0.32817396929246895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0.54040701830071169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0.73551057015793475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0.21330404849243631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0.21838708470271226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0.21440691208862872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 s="10">
        <v>0</v>
      </c>
      <c r="GT15" s="10">
        <v>0</v>
      </c>
      <c r="GU15" s="10">
        <v>1.3170186397269796</v>
      </c>
      <c r="GV15" s="10">
        <f t="shared" si="7"/>
        <v>1.3170186397269796</v>
      </c>
      <c r="GW15" s="10">
        <v>4.4808404167306168</v>
      </c>
      <c r="GX15" s="10">
        <v>0</v>
      </c>
      <c r="GY15" s="16">
        <f t="shared" si="8"/>
        <v>4.4808404167306168</v>
      </c>
      <c r="GZ15">
        <v>0</v>
      </c>
      <c r="HA15">
        <v>0</v>
      </c>
      <c r="HB15">
        <v>0</v>
      </c>
      <c r="HC15">
        <v>0</v>
      </c>
      <c r="HD15">
        <v>0</v>
      </c>
      <c r="HE15" s="10">
        <v>0</v>
      </c>
      <c r="HF15" s="10">
        <v>2.9863451677656467</v>
      </c>
      <c r="HG15" s="10">
        <f t="shared" si="9"/>
        <v>2.9863451677656467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0.23772515043190018</v>
      </c>
      <c r="IB15">
        <v>0</v>
      </c>
      <c r="IC15">
        <v>0</v>
      </c>
      <c r="ID15">
        <v>0</v>
      </c>
      <c r="IE15">
        <v>0</v>
      </c>
      <c r="IF15">
        <v>0.32473365997722087</v>
      </c>
      <c r="IG15">
        <v>0</v>
      </c>
      <c r="IH15">
        <v>0</v>
      </c>
      <c r="II15">
        <v>0</v>
      </c>
      <c r="IJ15">
        <v>0</v>
      </c>
      <c r="IK15">
        <v>0.41040509455535051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0.26355111468510051</v>
      </c>
      <c r="JE15">
        <v>0</v>
      </c>
      <c r="JF15">
        <v>0</v>
      </c>
      <c r="JG15">
        <v>0</v>
      </c>
      <c r="JH15">
        <v>0.4517415749314464</v>
      </c>
      <c r="JI15">
        <v>0</v>
      </c>
      <c r="JJ15">
        <v>0</v>
      </c>
      <c r="JK15">
        <v>0.60885295747957013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0.29359836343171392</v>
      </c>
      <c r="JT15" s="10">
        <v>0</v>
      </c>
      <c r="JU15" s="10">
        <v>1.5461747795046947</v>
      </c>
      <c r="JV15" s="16">
        <f t="shared" si="10"/>
        <v>1.5461747795046947</v>
      </c>
      <c r="JW15">
        <v>0</v>
      </c>
      <c r="JX15">
        <v>0</v>
      </c>
      <c r="JY15">
        <v>0</v>
      </c>
      <c r="JZ15">
        <v>0</v>
      </c>
      <c r="KA15">
        <v>0</v>
      </c>
      <c r="KB15" s="10">
        <v>0.74491636892531465</v>
      </c>
      <c r="KC15" s="10">
        <v>0</v>
      </c>
      <c r="KD15" s="10">
        <f t="shared" si="11"/>
        <v>0.74491636892531465</v>
      </c>
      <c r="KE15" s="10">
        <v>0.57757762120616973</v>
      </c>
      <c r="KF15" s="10">
        <v>0</v>
      </c>
      <c r="KG15" s="10">
        <f t="shared" si="12"/>
        <v>0.57757762120616973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17.962244407718519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 s="10">
        <v>0</v>
      </c>
      <c r="LE15" s="10">
        <v>2.2420707490712406</v>
      </c>
      <c r="LF15" s="10">
        <v>0</v>
      </c>
      <c r="LG15" s="10">
        <v>0</v>
      </c>
      <c r="LH15" s="10">
        <v>0</v>
      </c>
      <c r="LI15" s="10">
        <f t="shared" si="13"/>
        <v>2.2420707490712406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0.25725988064852101</v>
      </c>
      <c r="LS15">
        <v>0</v>
      </c>
      <c r="LT15">
        <v>0</v>
      </c>
      <c r="LU15">
        <v>0.54421650481166717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0.66642491326556907</v>
      </c>
      <c r="MF15">
        <v>0</v>
      </c>
      <c r="MG15">
        <v>0</v>
      </c>
      <c r="MH15" s="10">
        <v>0</v>
      </c>
      <c r="MI15" s="10">
        <v>0.59503205111712765</v>
      </c>
      <c r="MJ15" s="10">
        <f t="shared" si="14"/>
        <v>0.59503205111712765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 s="10">
        <v>0</v>
      </c>
      <c r="MT15" s="10">
        <v>0</v>
      </c>
      <c r="MU15" s="10">
        <v>0.42027140077575958</v>
      </c>
      <c r="MV15" s="16">
        <f t="shared" si="15"/>
        <v>0.42027140077575958</v>
      </c>
      <c r="MW15">
        <v>1.1355034065102194</v>
      </c>
      <c r="MX15">
        <v>0</v>
      </c>
      <c r="MY15">
        <v>1.1355034065102194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 s="10">
        <v>0</v>
      </c>
      <c r="NG15" s="10">
        <v>0.50883496016907925</v>
      </c>
      <c r="NH15" s="10">
        <v>0</v>
      </c>
      <c r="NI15" s="10">
        <f t="shared" si="16"/>
        <v>0.50883496016907925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 s="10">
        <v>0</v>
      </c>
      <c r="NQ15" s="10">
        <v>0.41867981882483191</v>
      </c>
      <c r="NR15" s="10">
        <f t="shared" si="17"/>
        <v>0.41867981882483191</v>
      </c>
      <c r="NS15">
        <v>0.32206438098989609</v>
      </c>
      <c r="NT15">
        <v>0</v>
      </c>
      <c r="NU15">
        <v>0</v>
      </c>
      <c r="NV15">
        <v>0.36528713561387799</v>
      </c>
      <c r="NW15">
        <v>0</v>
      </c>
      <c r="NX15">
        <v>0</v>
      </c>
      <c r="NY15">
        <v>0</v>
      </c>
      <c r="NZ15">
        <v>0.23638746659632706</v>
      </c>
      <c r="OA15">
        <v>0</v>
      </c>
      <c r="OB15">
        <v>0</v>
      </c>
      <c r="OC15" s="10">
        <v>0</v>
      </c>
      <c r="OD15" s="10">
        <v>0.81080932297783803</v>
      </c>
      <c r="OE15" s="10">
        <f t="shared" si="18"/>
        <v>0.81080932297783803</v>
      </c>
      <c r="OF15" s="10">
        <v>0.33378712690746604</v>
      </c>
      <c r="OG15" s="10">
        <v>0</v>
      </c>
      <c r="OH15" s="16">
        <f t="shared" si="19"/>
        <v>0.33378712690746604</v>
      </c>
      <c r="OI15">
        <v>0</v>
      </c>
      <c r="OJ15">
        <v>0</v>
      </c>
      <c r="OK15" s="10">
        <v>0</v>
      </c>
      <c r="OL15" s="10">
        <v>0.2342351168654436</v>
      </c>
      <c r="OM15" s="10">
        <f t="shared" si="20"/>
        <v>0.2342351168654436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0.21220625879942842</v>
      </c>
      <c r="OX15">
        <v>0</v>
      </c>
      <c r="OY15">
        <v>0</v>
      </c>
      <c r="OZ15">
        <v>0.23467269027607865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 s="10">
        <v>0.24605467285577459</v>
      </c>
      <c r="PJ15">
        <v>0.41465986680978162</v>
      </c>
      <c r="PK15">
        <v>0</v>
      </c>
      <c r="PL15">
        <v>0</v>
      </c>
      <c r="PM15">
        <v>0</v>
      </c>
      <c r="PN15">
        <v>0</v>
      </c>
      <c r="PO15" s="10">
        <v>9.777257392915141</v>
      </c>
      <c r="PP15" s="10">
        <v>0</v>
      </c>
      <c r="PQ15" s="16">
        <f t="shared" si="21"/>
        <v>9.777257392915141</v>
      </c>
      <c r="PR15">
        <v>0</v>
      </c>
      <c r="PS15">
        <v>0</v>
      </c>
      <c r="PT15">
        <v>0</v>
      </c>
      <c r="PU15">
        <v>0.40516395552184425</v>
      </c>
      <c r="PV15">
        <v>0</v>
      </c>
      <c r="PW15">
        <v>0.34611244956723231</v>
      </c>
      <c r="PX15">
        <v>0</v>
      </c>
      <c r="PY15" s="16">
        <v>1.7451943698397487</v>
      </c>
      <c r="PZ15" s="10">
        <v>3.4657914718214662</v>
      </c>
      <c r="QA15">
        <v>0</v>
      </c>
      <c r="QB15" s="10">
        <v>28.284440017434299</v>
      </c>
      <c r="QC15">
        <v>0.3959501532509675</v>
      </c>
      <c r="QD15">
        <v>0</v>
      </c>
      <c r="QE15">
        <v>0</v>
      </c>
      <c r="QF15">
        <v>0.78326046415929407</v>
      </c>
      <c r="QG15">
        <v>0</v>
      </c>
      <c r="QH15">
        <v>0</v>
      </c>
      <c r="QI15">
        <v>0.34922742021028741</v>
      </c>
      <c r="QJ15">
        <v>0</v>
      </c>
      <c r="QK15">
        <v>0</v>
      </c>
      <c r="QL15">
        <v>0.45937211645261805</v>
      </c>
      <c r="QM15">
        <v>0</v>
      </c>
      <c r="QN15">
        <v>0.3917469318528915</v>
      </c>
      <c r="QO15">
        <v>0.40304773198163474</v>
      </c>
      <c r="QP15">
        <v>0</v>
      </c>
      <c r="QQ15">
        <v>0.2703418237511665</v>
      </c>
      <c r="QR15">
        <v>0.24703637164392012</v>
      </c>
      <c r="QS15">
        <v>0</v>
      </c>
      <c r="QT15" s="10">
        <v>2.8730160898846964</v>
      </c>
      <c r="QU15" s="10">
        <v>0</v>
      </c>
      <c r="QV15" s="10">
        <f t="shared" si="22"/>
        <v>2.8730160898846964</v>
      </c>
      <c r="QW15">
        <v>1.1343159102089089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0.26728550742892476</v>
      </c>
      <c r="RH15">
        <v>0</v>
      </c>
      <c r="RI15">
        <v>0</v>
      </c>
      <c r="RJ15">
        <v>0.31548271673503331</v>
      </c>
      <c r="RK15">
        <v>0</v>
      </c>
      <c r="RL15">
        <v>0</v>
      </c>
      <c r="RM15">
        <v>0.29054570031976501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0.20433277879378078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0.30125468038106307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0.22536390453758731</v>
      </c>
      <c r="TG15">
        <v>0</v>
      </c>
      <c r="TH15">
        <v>0</v>
      </c>
      <c r="TI15">
        <v>0</v>
      </c>
      <c r="TJ15">
        <v>0</v>
      </c>
      <c r="TK15">
        <v>1.3971217699942635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0.54161501317088789</v>
      </c>
      <c r="TY15">
        <v>0</v>
      </c>
      <c r="TZ15">
        <v>0</v>
      </c>
      <c r="UA15">
        <v>1.6283760702168515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</row>
    <row r="16" spans="1:560" x14ac:dyDescent="0.25">
      <c r="A16" s="5" t="s">
        <v>1447</v>
      </c>
      <c r="B16" s="5" t="s">
        <v>1452</v>
      </c>
      <c r="C16" s="5">
        <v>11.78</v>
      </c>
      <c r="D16">
        <v>0.69445343764592837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 s="10">
        <v>0</v>
      </c>
      <c r="R16" s="10">
        <v>0</v>
      </c>
      <c r="S16" s="10">
        <v>0</v>
      </c>
      <c r="T16" s="10">
        <v>1.1015304012641625</v>
      </c>
      <c r="U16" s="10">
        <f t="shared" si="0"/>
        <v>1.1015304012641625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0.58334124175294355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0.65305306861628831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s="10">
        <v>1.6478501591732935</v>
      </c>
      <c r="BJ16" s="10">
        <v>0</v>
      </c>
      <c r="BK16" s="10">
        <v>0</v>
      </c>
      <c r="BL16" s="10">
        <f t="shared" si="1"/>
        <v>1.6478501591732935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1.0638850788419949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2.8380396265148602</v>
      </c>
      <c r="CT16">
        <v>0</v>
      </c>
      <c r="CU16" s="10">
        <v>0</v>
      </c>
      <c r="CV16" s="10">
        <v>0.53850359487976773</v>
      </c>
      <c r="CW16" s="10">
        <v>0</v>
      </c>
      <c r="CX16" s="16">
        <f t="shared" si="2"/>
        <v>0.53850359487976773</v>
      </c>
      <c r="CY16" s="10">
        <v>0</v>
      </c>
      <c r="CZ16" s="10">
        <v>0.94582971450395403</v>
      </c>
      <c r="DA16" s="10">
        <v>0</v>
      </c>
      <c r="DB16" s="16">
        <f t="shared" si="3"/>
        <v>0.94582971450395403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 s="10">
        <v>0</v>
      </c>
      <c r="DJ16" s="10">
        <v>6.9123063000396279</v>
      </c>
      <c r="DK16" s="10">
        <v>0</v>
      </c>
      <c r="DL16" s="16">
        <f t="shared" si="4"/>
        <v>6.9123063000396279</v>
      </c>
      <c r="DM16" s="10">
        <v>0</v>
      </c>
      <c r="DN16" s="10">
        <v>0</v>
      </c>
      <c r="DO16" s="10">
        <v>0</v>
      </c>
      <c r="DP16" s="16">
        <f t="shared" si="5"/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 s="10">
        <v>0</v>
      </c>
      <c r="DY16" s="10">
        <v>0</v>
      </c>
      <c r="DZ16" s="16">
        <f t="shared" si="6"/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0.69792454758671918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0.55525617440180464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0.3163158808814765</v>
      </c>
      <c r="GH16">
        <v>0</v>
      </c>
      <c r="GI16">
        <v>0</v>
      </c>
      <c r="GJ16">
        <v>0</v>
      </c>
      <c r="GK16">
        <v>0.81740813232943776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 s="10">
        <v>0</v>
      </c>
      <c r="GT16" s="10">
        <v>0</v>
      </c>
      <c r="GU16" s="10">
        <v>0.53891748474244716</v>
      </c>
      <c r="GV16" s="10">
        <f t="shared" si="7"/>
        <v>0.53891748474244716</v>
      </c>
      <c r="GW16" s="10">
        <v>11.409560192339365</v>
      </c>
      <c r="GX16" s="10">
        <v>0</v>
      </c>
      <c r="GY16" s="16">
        <f t="shared" si="8"/>
        <v>11.409560192339365</v>
      </c>
      <c r="GZ16">
        <v>0</v>
      </c>
      <c r="HA16">
        <v>0</v>
      </c>
      <c r="HB16">
        <v>0</v>
      </c>
      <c r="HC16">
        <v>0</v>
      </c>
      <c r="HD16">
        <v>0</v>
      </c>
      <c r="HE16" s="10">
        <v>0</v>
      </c>
      <c r="HF16" s="10">
        <v>0</v>
      </c>
      <c r="HG16" s="10">
        <f t="shared" si="9"/>
        <v>0</v>
      </c>
      <c r="HH16">
        <v>0</v>
      </c>
      <c r="HI16">
        <v>0</v>
      </c>
      <c r="HJ16">
        <v>0.4175718698994082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0.36600954036812161</v>
      </c>
      <c r="IJ16">
        <v>0</v>
      </c>
      <c r="IK16">
        <v>0</v>
      </c>
      <c r="IL16">
        <v>2.5792569660484288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0.32344148970144931</v>
      </c>
      <c r="IV16">
        <v>0</v>
      </c>
      <c r="IW16">
        <v>0</v>
      </c>
      <c r="IX16">
        <v>0</v>
      </c>
      <c r="IY16">
        <v>0.93540595048336272</v>
      </c>
      <c r="IZ16">
        <v>0</v>
      </c>
      <c r="JA16">
        <v>0</v>
      </c>
      <c r="JB16">
        <v>0</v>
      </c>
      <c r="JC16">
        <v>0.58519441859416921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1.9666142823822925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 s="10">
        <v>0</v>
      </c>
      <c r="JU16" s="10">
        <v>2.7588611361766318</v>
      </c>
      <c r="JV16" s="16">
        <f t="shared" si="10"/>
        <v>2.7588611361766318</v>
      </c>
      <c r="JW16">
        <v>0</v>
      </c>
      <c r="JX16">
        <v>0</v>
      </c>
      <c r="JY16">
        <v>0</v>
      </c>
      <c r="JZ16">
        <v>0</v>
      </c>
      <c r="KA16">
        <v>0</v>
      </c>
      <c r="KB16" s="10">
        <v>1.1141794951957837</v>
      </c>
      <c r="KC16" s="10">
        <v>0</v>
      </c>
      <c r="KD16" s="10">
        <f t="shared" si="11"/>
        <v>1.1141794951957837</v>
      </c>
      <c r="KE16" s="10">
        <v>0</v>
      </c>
      <c r="KF16" s="10">
        <v>2.2702216260210828</v>
      </c>
      <c r="KG16" s="10">
        <f t="shared" si="12"/>
        <v>2.2702216260210828</v>
      </c>
      <c r="KH16">
        <v>0</v>
      </c>
      <c r="KI16">
        <v>0</v>
      </c>
      <c r="KJ16">
        <v>0</v>
      </c>
      <c r="KK16">
        <v>0</v>
      </c>
      <c r="KL16">
        <v>8.4179765962173416</v>
      </c>
      <c r="KM16">
        <v>0</v>
      </c>
      <c r="KN16">
        <v>0</v>
      </c>
      <c r="KO16">
        <v>0</v>
      </c>
      <c r="KP16">
        <v>0</v>
      </c>
      <c r="KQ16">
        <v>0.81870134053292065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 s="10">
        <v>0</v>
      </c>
      <c r="LE16" s="10">
        <v>4.3049623695131114</v>
      </c>
      <c r="LF16" s="10">
        <v>0</v>
      </c>
      <c r="LG16" s="10">
        <v>0</v>
      </c>
      <c r="LH16" s="10">
        <v>0</v>
      </c>
      <c r="LI16" s="10">
        <f t="shared" si="13"/>
        <v>4.3049623695131114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4.0097687838925786</v>
      </c>
      <c r="LU16">
        <v>0</v>
      </c>
      <c r="LV16">
        <v>0</v>
      </c>
      <c r="LW16">
        <v>0</v>
      </c>
      <c r="LX16">
        <v>0.37909054686843657</v>
      </c>
      <c r="LY16">
        <v>0</v>
      </c>
      <c r="LZ16">
        <v>0.46400816241483578</v>
      </c>
      <c r="MA16">
        <v>0</v>
      </c>
      <c r="MB16">
        <v>0</v>
      </c>
      <c r="MC16">
        <v>0</v>
      </c>
      <c r="MD16">
        <v>0.85716780273612614</v>
      </c>
      <c r="ME16">
        <v>0</v>
      </c>
      <c r="MF16">
        <v>0</v>
      </c>
      <c r="MG16">
        <v>0.36471190553509142</v>
      </c>
      <c r="MH16" s="10">
        <v>0</v>
      </c>
      <c r="MI16" s="10">
        <v>0.79020017000432841</v>
      </c>
      <c r="MJ16" s="10">
        <f t="shared" si="14"/>
        <v>0.79020017000432841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 s="10">
        <v>0</v>
      </c>
      <c r="MT16" s="10">
        <v>0.60338470415562817</v>
      </c>
      <c r="MU16" s="10">
        <v>0</v>
      </c>
      <c r="MV16" s="16">
        <f t="shared" si="15"/>
        <v>0.60338470415562817</v>
      </c>
      <c r="MW16">
        <v>1.2733446519524618</v>
      </c>
      <c r="MX16">
        <v>0</v>
      </c>
      <c r="MY16">
        <v>1.2733446519524618</v>
      </c>
      <c r="MZ16">
        <v>0</v>
      </c>
      <c r="NA16">
        <v>0</v>
      </c>
      <c r="NB16">
        <v>0.43305179342657502</v>
      </c>
      <c r="NC16">
        <v>0</v>
      </c>
      <c r="ND16">
        <v>0</v>
      </c>
      <c r="NE16">
        <v>0</v>
      </c>
      <c r="NF16" s="10">
        <v>0</v>
      </c>
      <c r="NG16" s="10">
        <v>0.82202162888127595</v>
      </c>
      <c r="NH16" s="10">
        <v>0</v>
      </c>
      <c r="NI16" s="10">
        <f t="shared" si="16"/>
        <v>0.82202162888127595</v>
      </c>
      <c r="NJ16">
        <v>0.57132895010049467</v>
      </c>
      <c r="NK16">
        <v>0.55329580988796756</v>
      </c>
      <c r="NL16">
        <v>0</v>
      </c>
      <c r="NM16">
        <v>0</v>
      </c>
      <c r="NN16">
        <v>0</v>
      </c>
      <c r="NO16">
        <v>0.58022015173422015</v>
      </c>
      <c r="NP16" s="10">
        <v>0</v>
      </c>
      <c r="NQ16" s="10">
        <v>0.79307273639274922</v>
      </c>
      <c r="NR16" s="10">
        <f t="shared" si="17"/>
        <v>0.79307273639274922</v>
      </c>
      <c r="NS16">
        <v>0.5201390898268371</v>
      </c>
      <c r="NT16">
        <v>0</v>
      </c>
      <c r="NU16">
        <v>0.50353511858246214</v>
      </c>
      <c r="NV16">
        <v>0.57883430049806728</v>
      </c>
      <c r="NW16">
        <v>0</v>
      </c>
      <c r="NX16">
        <v>0.39655897562584874</v>
      </c>
      <c r="NY16">
        <v>0</v>
      </c>
      <c r="NZ16">
        <v>0.34001668785376638</v>
      </c>
      <c r="OA16">
        <v>0</v>
      </c>
      <c r="OB16">
        <v>0.48238499879293406</v>
      </c>
      <c r="OC16" s="10">
        <v>0</v>
      </c>
      <c r="OD16" s="10">
        <v>1.5258237919434334</v>
      </c>
      <c r="OE16" s="10">
        <f t="shared" si="18"/>
        <v>1.5258237919434334</v>
      </c>
      <c r="OF16" s="10">
        <v>0.69048591282018201</v>
      </c>
      <c r="OG16" s="10">
        <v>0</v>
      </c>
      <c r="OH16" s="16">
        <f t="shared" si="19"/>
        <v>0.69048591282018201</v>
      </c>
      <c r="OI16">
        <v>0.38860179282661916</v>
      </c>
      <c r="OJ16">
        <v>0</v>
      </c>
      <c r="OK16" s="10">
        <v>0.48755846398251496</v>
      </c>
      <c r="OL16" s="10">
        <v>0</v>
      </c>
      <c r="OM16" s="10">
        <f t="shared" si="20"/>
        <v>0.48755846398251496</v>
      </c>
      <c r="ON16">
        <v>0.45438719928144322</v>
      </c>
      <c r="OO16">
        <v>0.45559503677222674</v>
      </c>
      <c r="OP16">
        <v>0</v>
      </c>
      <c r="OQ16">
        <v>0.74349733115258398</v>
      </c>
      <c r="OR16">
        <v>0</v>
      </c>
      <c r="OS16">
        <v>0</v>
      </c>
      <c r="OT16">
        <v>0.4045237469328738</v>
      </c>
      <c r="OU16">
        <v>0</v>
      </c>
      <c r="OV16">
        <v>0</v>
      </c>
      <c r="OW16">
        <v>0.46356518327227353</v>
      </c>
      <c r="OX16">
        <v>0.55871052638788032</v>
      </c>
      <c r="OY16">
        <v>0</v>
      </c>
      <c r="OZ16">
        <v>0.60814744136077781</v>
      </c>
      <c r="PA16">
        <v>0</v>
      </c>
      <c r="PB16">
        <v>1.9803115389531669</v>
      </c>
      <c r="PC16">
        <v>0</v>
      </c>
      <c r="PD16">
        <v>0</v>
      </c>
      <c r="PE16">
        <v>0</v>
      </c>
      <c r="PF16">
        <v>0.68552271253410135</v>
      </c>
      <c r="PG16">
        <v>0.44833694525365742</v>
      </c>
      <c r="PH16">
        <v>0</v>
      </c>
      <c r="PI16" s="10">
        <v>0.38661486853549792</v>
      </c>
      <c r="PJ16">
        <v>1.1290893320748137</v>
      </c>
      <c r="PK16">
        <v>0.43742245772895727</v>
      </c>
      <c r="PL16">
        <v>0</v>
      </c>
      <c r="PM16">
        <v>0</v>
      </c>
      <c r="PN16">
        <v>0.34256452934610498</v>
      </c>
      <c r="PO16" s="10">
        <v>10.687134566395756</v>
      </c>
      <c r="PP16" s="10">
        <v>0</v>
      </c>
      <c r="PQ16" s="16">
        <f t="shared" si="21"/>
        <v>10.687134566395756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0.52668512636392883</v>
      </c>
      <c r="PX16">
        <v>0</v>
      </c>
      <c r="PY16" s="16">
        <v>2.6147351371193319</v>
      </c>
      <c r="PZ16" s="10">
        <v>3.485147415461201</v>
      </c>
      <c r="QA16">
        <v>0.32438531035851442</v>
      </c>
      <c r="QB16" s="10">
        <v>24.83312806012216</v>
      </c>
      <c r="QC16">
        <v>0.38231977312324589</v>
      </c>
      <c r="QD16">
        <v>0</v>
      </c>
      <c r="QE16">
        <v>0</v>
      </c>
      <c r="QF16">
        <v>1.1505303446631692</v>
      </c>
      <c r="QG16">
        <v>0</v>
      </c>
      <c r="QH16">
        <v>0.38247249184263032</v>
      </c>
      <c r="QI16">
        <v>0</v>
      </c>
      <c r="QJ16">
        <v>0</v>
      </c>
      <c r="QK16">
        <v>0</v>
      </c>
      <c r="QL16">
        <v>0.71990813848245283</v>
      </c>
      <c r="QM16">
        <v>0.73007136373539872</v>
      </c>
      <c r="QN16">
        <v>0</v>
      </c>
      <c r="QO16">
        <v>0.77043273957270497</v>
      </c>
      <c r="QP16">
        <v>0</v>
      </c>
      <c r="QQ16">
        <v>0</v>
      </c>
      <c r="QR16">
        <v>0.36826933475205603</v>
      </c>
      <c r="QS16">
        <v>0</v>
      </c>
      <c r="QT16" s="10">
        <v>2.8958570997844113</v>
      </c>
      <c r="QU16" s="10">
        <v>0</v>
      </c>
      <c r="QV16" s="10">
        <f t="shared" si="22"/>
        <v>2.8958570997844113</v>
      </c>
      <c r="QW16">
        <v>0.53716801750776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0.82846522056312832</v>
      </c>
      <c r="RH16">
        <v>0</v>
      </c>
      <c r="RI16">
        <v>0.57803402911346702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0.33433131457581416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0.37725159847932749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0.82403068632013399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1.6799862249359294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1.4839121472010717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0.70012553103523856</v>
      </c>
      <c r="TX16">
        <v>0</v>
      </c>
      <c r="TY16">
        <v>0</v>
      </c>
      <c r="TZ16">
        <v>0.97199552175848158</v>
      </c>
      <c r="UA16">
        <v>1.1012195886323719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0.48292599616118814</v>
      </c>
      <c r="UN16">
        <v>0</v>
      </c>
    </row>
    <row r="17" spans="1:560" x14ac:dyDescent="0.25">
      <c r="A17" s="5" t="s">
        <v>1447</v>
      </c>
      <c r="B17" s="5" t="s">
        <v>1453</v>
      </c>
      <c r="C17" s="5">
        <v>13.37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s="10">
        <v>0</v>
      </c>
      <c r="R17" s="10">
        <v>3.9763884927150301</v>
      </c>
      <c r="S17" s="10">
        <v>0</v>
      </c>
      <c r="T17" s="10">
        <v>0</v>
      </c>
      <c r="U17" s="10">
        <f t="shared" si="0"/>
        <v>3.9763884927150301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0.34912019217021945</v>
      </c>
      <c r="BE17">
        <v>0</v>
      </c>
      <c r="BF17">
        <v>0</v>
      </c>
      <c r="BG17">
        <v>0</v>
      </c>
      <c r="BH17">
        <v>0</v>
      </c>
      <c r="BI17" s="10">
        <v>0</v>
      </c>
      <c r="BJ17" s="10">
        <v>1.100245025773952</v>
      </c>
      <c r="BK17" s="10">
        <v>0</v>
      </c>
      <c r="BL17" s="10">
        <f t="shared" si="1"/>
        <v>1.100245025773952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0.36545342795950664</v>
      </c>
      <c r="BV17">
        <v>0</v>
      </c>
      <c r="BW17">
        <v>0</v>
      </c>
      <c r="BX17">
        <v>0</v>
      </c>
      <c r="BY17">
        <v>0.31031421329629311</v>
      </c>
      <c r="BZ17">
        <v>0</v>
      </c>
      <c r="CA17">
        <v>0</v>
      </c>
      <c r="CB17">
        <v>0</v>
      </c>
      <c r="CC17">
        <v>0.4427529912551556</v>
      </c>
      <c r="CD17">
        <v>0</v>
      </c>
      <c r="CE17">
        <v>0</v>
      </c>
      <c r="CF17">
        <v>0</v>
      </c>
      <c r="CG17">
        <v>0</v>
      </c>
      <c r="CH17">
        <v>0.43103368339131692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0.55182514234394897</v>
      </c>
      <c r="CP17">
        <v>0</v>
      </c>
      <c r="CQ17">
        <v>0</v>
      </c>
      <c r="CR17">
        <v>0</v>
      </c>
      <c r="CS17">
        <v>0</v>
      </c>
      <c r="CT17">
        <v>0</v>
      </c>
      <c r="CU17" s="10">
        <v>0.39433557014514314</v>
      </c>
      <c r="CV17" s="10">
        <v>0</v>
      </c>
      <c r="CW17" s="10">
        <v>0</v>
      </c>
      <c r="CX17" s="16">
        <f t="shared" si="2"/>
        <v>0.39433557014514314</v>
      </c>
      <c r="CY17" s="10">
        <v>0</v>
      </c>
      <c r="CZ17" s="10">
        <v>0.91928389829638624</v>
      </c>
      <c r="DA17" s="10">
        <v>0</v>
      </c>
      <c r="DB17" s="16">
        <f t="shared" si="3"/>
        <v>0.91928389829638624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 s="10">
        <v>0</v>
      </c>
      <c r="DJ17" s="10">
        <v>2.8909909695916105</v>
      </c>
      <c r="DK17" s="10">
        <v>0</v>
      </c>
      <c r="DL17" s="16">
        <f t="shared" si="4"/>
        <v>2.8909909695916105</v>
      </c>
      <c r="DM17" s="10">
        <v>0</v>
      </c>
      <c r="DN17" s="10">
        <v>0</v>
      </c>
      <c r="DO17" s="10">
        <v>0.54847912149364386</v>
      </c>
      <c r="DP17" s="16">
        <f t="shared" si="5"/>
        <v>0.54847912149364386</v>
      </c>
      <c r="DQ17">
        <v>0</v>
      </c>
      <c r="DR17">
        <v>0</v>
      </c>
      <c r="DS17">
        <v>0</v>
      </c>
      <c r="DT17">
        <v>0</v>
      </c>
      <c r="DU17">
        <v>0.33051651813009397</v>
      </c>
      <c r="DV17">
        <v>0</v>
      </c>
      <c r="DW17">
        <v>0</v>
      </c>
      <c r="DX17" s="10">
        <v>0</v>
      </c>
      <c r="DY17" s="10">
        <v>0</v>
      </c>
      <c r="DZ17" s="16">
        <f t="shared" si="6"/>
        <v>0</v>
      </c>
      <c r="EA17">
        <v>0</v>
      </c>
      <c r="EB17">
        <v>0</v>
      </c>
      <c r="EC17">
        <v>0</v>
      </c>
      <c r="ED17">
        <v>0</v>
      </c>
      <c r="EE17">
        <v>2.9022252160016024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0.73363340069573058</v>
      </c>
      <c r="EL17">
        <v>0.40286744515864742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0.40951087445725665</v>
      </c>
      <c r="EU17">
        <v>0</v>
      </c>
      <c r="EV17">
        <v>0</v>
      </c>
      <c r="EW17">
        <v>0.68274099734831806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0.27170162146420712</v>
      </c>
      <c r="FJ17">
        <v>0</v>
      </c>
      <c r="FK17">
        <v>0</v>
      </c>
      <c r="FL17">
        <v>0</v>
      </c>
      <c r="FM17">
        <v>0.34001904733437438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1.0021135871923568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 s="10">
        <v>0</v>
      </c>
      <c r="GT17" s="10">
        <v>0</v>
      </c>
      <c r="GU17" s="10">
        <v>0.79563918355198482</v>
      </c>
      <c r="GV17" s="10">
        <f t="shared" si="7"/>
        <v>0.79563918355198482</v>
      </c>
      <c r="GW17" s="10">
        <v>10.083663109124783</v>
      </c>
      <c r="GX17" s="10">
        <v>0</v>
      </c>
      <c r="GY17" s="16">
        <f t="shared" si="8"/>
        <v>10.083663109124783</v>
      </c>
      <c r="GZ17">
        <v>0</v>
      </c>
      <c r="HA17">
        <v>0</v>
      </c>
      <c r="HB17">
        <v>0</v>
      </c>
      <c r="HC17">
        <v>0</v>
      </c>
      <c r="HD17">
        <v>0</v>
      </c>
      <c r="HE17" s="10">
        <v>0</v>
      </c>
      <c r="HF17" s="10">
        <v>1.233976149829729</v>
      </c>
      <c r="HG17" s="10">
        <f t="shared" si="9"/>
        <v>1.233976149829729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0.28209404983080272</v>
      </c>
      <c r="IG17">
        <v>0</v>
      </c>
      <c r="IH17">
        <v>0</v>
      </c>
      <c r="II17">
        <v>0</v>
      </c>
      <c r="IJ17">
        <v>0</v>
      </c>
      <c r="IK17">
        <v>0.35295658730519142</v>
      </c>
      <c r="IL17">
        <v>0</v>
      </c>
      <c r="IM17">
        <v>0</v>
      </c>
      <c r="IN17">
        <v>0.52443643690175601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0.38442926579855857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0.2702177478162392</v>
      </c>
      <c r="JT17" s="10">
        <v>0</v>
      </c>
      <c r="JU17" s="10">
        <v>1.5554377447521102</v>
      </c>
      <c r="JV17" s="16">
        <f t="shared" si="10"/>
        <v>1.5554377447521102</v>
      </c>
      <c r="JW17">
        <v>0</v>
      </c>
      <c r="JX17">
        <v>0</v>
      </c>
      <c r="JY17">
        <v>0</v>
      </c>
      <c r="JZ17">
        <v>0</v>
      </c>
      <c r="KA17">
        <v>0</v>
      </c>
      <c r="KB17" s="10">
        <v>0</v>
      </c>
      <c r="KC17" s="10">
        <v>0.5373888527988685</v>
      </c>
      <c r="KD17" s="10">
        <f t="shared" si="11"/>
        <v>0.5373888527988685</v>
      </c>
      <c r="KE17" s="10">
        <v>0.29218577197299805</v>
      </c>
      <c r="KF17" s="10">
        <v>0</v>
      </c>
      <c r="KG17" s="10">
        <f t="shared" si="12"/>
        <v>0.29218577197299805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12.120494063684399</v>
      </c>
      <c r="KO17">
        <v>0</v>
      </c>
      <c r="KP17">
        <v>0</v>
      </c>
      <c r="KQ17">
        <v>0</v>
      </c>
      <c r="KR17">
        <v>0.3225525847312255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 s="10">
        <v>0</v>
      </c>
      <c r="LE17" s="10">
        <v>1.919502398735323</v>
      </c>
      <c r="LF17" s="10">
        <v>0</v>
      </c>
      <c r="LG17" s="10">
        <v>0</v>
      </c>
      <c r="LH17" s="10">
        <v>0</v>
      </c>
      <c r="LI17" s="10">
        <f t="shared" si="13"/>
        <v>1.919502398735323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 s="10">
        <v>0</v>
      </c>
      <c r="MI17" s="10">
        <v>0.32883872615720355</v>
      </c>
      <c r="MJ17" s="10">
        <f t="shared" si="14"/>
        <v>0.32883872615720355</v>
      </c>
      <c r="MK17">
        <v>0</v>
      </c>
      <c r="ML17">
        <v>0.27335338056608055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 s="10">
        <v>0</v>
      </c>
      <c r="MT17" s="10">
        <v>0.27034738088824212</v>
      </c>
      <c r="MU17" s="10">
        <v>0</v>
      </c>
      <c r="MV17" s="16">
        <f t="shared" si="15"/>
        <v>0.27034738088824212</v>
      </c>
      <c r="MW17">
        <v>1.1219147344801796</v>
      </c>
      <c r="MX17">
        <v>0</v>
      </c>
      <c r="MY17">
        <v>1.1219147344801796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 s="10">
        <v>0</v>
      </c>
      <c r="NG17" s="10">
        <v>0</v>
      </c>
      <c r="NH17" s="10">
        <v>0.28451404426921806</v>
      </c>
      <c r="NI17" s="10">
        <f t="shared" si="16"/>
        <v>0.28451404426921806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 s="10">
        <v>0</v>
      </c>
      <c r="NQ17" s="10">
        <v>0</v>
      </c>
      <c r="NR17" s="10">
        <f t="shared" si="17"/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0.53557053645079467</v>
      </c>
      <c r="NY17">
        <v>0</v>
      </c>
      <c r="NZ17">
        <v>0</v>
      </c>
      <c r="OA17">
        <v>0</v>
      </c>
      <c r="OB17">
        <v>0</v>
      </c>
      <c r="OC17" s="10">
        <v>0</v>
      </c>
      <c r="OD17" s="10">
        <v>0.44345401928182715</v>
      </c>
      <c r="OE17" s="10">
        <f t="shared" si="18"/>
        <v>0.44345401928182715</v>
      </c>
      <c r="OF17" s="10">
        <v>0</v>
      </c>
      <c r="OG17" s="10">
        <v>0</v>
      </c>
      <c r="OH17" s="16">
        <f t="shared" si="19"/>
        <v>0</v>
      </c>
      <c r="OI17">
        <v>0</v>
      </c>
      <c r="OJ17">
        <v>0</v>
      </c>
      <c r="OK17" s="10">
        <v>0</v>
      </c>
      <c r="OL17" s="10">
        <v>0</v>
      </c>
      <c r="OM17" s="10">
        <f t="shared" si="20"/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 s="10">
        <v>0</v>
      </c>
      <c r="PJ17">
        <v>0</v>
      </c>
      <c r="PK17">
        <v>0</v>
      </c>
      <c r="PL17">
        <v>0</v>
      </c>
      <c r="PM17">
        <v>0.43280976273437349</v>
      </c>
      <c r="PN17">
        <v>0</v>
      </c>
      <c r="PO17" s="10">
        <v>3.5201098311173071</v>
      </c>
      <c r="PP17" s="10">
        <v>0</v>
      </c>
      <c r="PQ17" s="16">
        <f t="shared" si="21"/>
        <v>3.5201098311173071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0.32193523378996558</v>
      </c>
      <c r="PX17">
        <v>0</v>
      </c>
      <c r="PY17" s="16">
        <v>0.70703949474417871</v>
      </c>
      <c r="PZ17" s="10">
        <v>1.2331085645568569</v>
      </c>
      <c r="QA17">
        <v>0</v>
      </c>
      <c r="QB17" s="10">
        <v>11.037318632051358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0.31368972035764803</v>
      </c>
      <c r="QN17">
        <v>0</v>
      </c>
      <c r="QO17">
        <v>0</v>
      </c>
      <c r="QP17">
        <v>0.27546655902465289</v>
      </c>
      <c r="QQ17">
        <v>0</v>
      </c>
      <c r="QR17">
        <v>0</v>
      </c>
      <c r="QS17">
        <v>0</v>
      </c>
      <c r="QT17" s="10">
        <v>2.9281260631727126</v>
      </c>
      <c r="QU17" s="10">
        <v>0</v>
      </c>
      <c r="QV17" s="10">
        <f t="shared" si="22"/>
        <v>2.9281260631727126</v>
      </c>
      <c r="QW17">
        <v>0</v>
      </c>
      <c r="QX17">
        <v>0</v>
      </c>
      <c r="QY17">
        <v>0.81408851985679509</v>
      </c>
      <c r="QZ17">
        <v>0</v>
      </c>
      <c r="RA17">
        <v>0</v>
      </c>
      <c r="RB17">
        <v>0.64833271418547467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0.3998463039129726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0.46966141679123924</v>
      </c>
      <c r="RU17">
        <v>0.34262552213456438</v>
      </c>
      <c r="RV17">
        <v>0</v>
      </c>
      <c r="RW17">
        <v>0</v>
      </c>
      <c r="RX17">
        <v>0</v>
      </c>
      <c r="RY17">
        <v>0.55134858141941356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0.31322537894399821</v>
      </c>
      <c r="SI17">
        <v>0</v>
      </c>
      <c r="SJ17">
        <v>0.33932891061088333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0.27933722191841254</v>
      </c>
      <c r="SR17">
        <v>0</v>
      </c>
      <c r="SS17">
        <v>0</v>
      </c>
      <c r="ST17">
        <v>0.45200395792011883</v>
      </c>
      <c r="SU17">
        <v>0</v>
      </c>
      <c r="SV17">
        <v>0</v>
      </c>
      <c r="SW17">
        <v>0</v>
      </c>
      <c r="SX17">
        <v>0.27716507103774046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1.0349588355280173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0.34649432553753712</v>
      </c>
      <c r="TV17">
        <v>0</v>
      </c>
      <c r="TW17">
        <v>3.5780651117565516</v>
      </c>
      <c r="TX17">
        <v>0</v>
      </c>
      <c r="TY17">
        <v>0</v>
      </c>
      <c r="TZ17">
        <v>0</v>
      </c>
      <c r="UA17">
        <v>1.7277655221475137</v>
      </c>
      <c r="UB17">
        <v>0</v>
      </c>
      <c r="UC17">
        <v>0</v>
      </c>
      <c r="UD17">
        <v>0</v>
      </c>
      <c r="UE17">
        <v>0</v>
      </c>
      <c r="UF17">
        <v>1.628570720477337</v>
      </c>
      <c r="UG17">
        <v>0</v>
      </c>
      <c r="UH17">
        <v>0</v>
      </c>
      <c r="UI17">
        <v>0</v>
      </c>
      <c r="UJ17">
        <v>0.34005012739467017</v>
      </c>
      <c r="UK17">
        <v>0</v>
      </c>
      <c r="UL17">
        <v>0</v>
      </c>
      <c r="UM17">
        <v>3.7085636439000256</v>
      </c>
      <c r="UN17">
        <v>0</v>
      </c>
    </row>
    <row r="18" spans="1:560" x14ac:dyDescent="0.25">
      <c r="A18" s="5" t="s">
        <v>1447</v>
      </c>
      <c r="B18" s="5" t="s">
        <v>1454</v>
      </c>
      <c r="C18" s="5">
        <v>7.88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s="10">
        <v>0</v>
      </c>
      <c r="R18" s="10">
        <v>0</v>
      </c>
      <c r="S18" s="10">
        <v>4.1465261309605292</v>
      </c>
      <c r="T18" s="10">
        <v>0</v>
      </c>
      <c r="U18" s="10">
        <f t="shared" si="0"/>
        <v>4.1465261309605292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0.59656751831293964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s="10">
        <v>0</v>
      </c>
      <c r="BJ18" s="10">
        <v>1.5160348550537983</v>
      </c>
      <c r="BK18" s="10">
        <v>0</v>
      </c>
      <c r="BL18" s="10">
        <f t="shared" si="1"/>
        <v>1.5160348550537983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0.64075432106613883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 s="10">
        <v>0</v>
      </c>
      <c r="CV18" s="10">
        <v>0.72871973711601468</v>
      </c>
      <c r="CW18" s="10">
        <v>0</v>
      </c>
      <c r="CX18" s="16">
        <f t="shared" si="2"/>
        <v>0.72871973711601468</v>
      </c>
      <c r="CY18" s="10">
        <v>0</v>
      </c>
      <c r="CZ18" s="10">
        <v>0</v>
      </c>
      <c r="DA18" s="10">
        <v>0.46834779908668078</v>
      </c>
      <c r="DB18" s="16">
        <f t="shared" si="3"/>
        <v>0.46834779908668078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 s="10">
        <v>0</v>
      </c>
      <c r="DJ18" s="10">
        <v>5.9803339291838089</v>
      </c>
      <c r="DK18" s="10">
        <v>0</v>
      </c>
      <c r="DL18" s="16">
        <f t="shared" si="4"/>
        <v>5.9803339291838089</v>
      </c>
      <c r="DM18" s="10">
        <v>0</v>
      </c>
      <c r="DN18" s="10">
        <v>0</v>
      </c>
      <c r="DO18" s="10">
        <v>0.50518954429945517</v>
      </c>
      <c r="DP18" s="16">
        <f t="shared" si="5"/>
        <v>0.50518954429945517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 s="10">
        <v>0</v>
      </c>
      <c r="DY18" s="10">
        <v>0</v>
      </c>
      <c r="DZ18" s="16">
        <f t="shared" si="6"/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 s="10">
        <v>0</v>
      </c>
      <c r="GT18" s="10">
        <v>0</v>
      </c>
      <c r="GU18" s="10">
        <v>0.5178900788784836</v>
      </c>
      <c r="GV18" s="10">
        <f t="shared" si="7"/>
        <v>0.5178900788784836</v>
      </c>
      <c r="GW18" s="10">
        <v>24.879636339754839</v>
      </c>
      <c r="GX18" s="10">
        <v>0</v>
      </c>
      <c r="GY18" s="16">
        <f t="shared" si="8"/>
        <v>24.879636339754839</v>
      </c>
      <c r="GZ18">
        <v>0</v>
      </c>
      <c r="HA18">
        <v>0</v>
      </c>
      <c r="HB18">
        <v>0</v>
      </c>
      <c r="HC18">
        <v>0</v>
      </c>
      <c r="HD18">
        <v>0</v>
      </c>
      <c r="HE18" s="10">
        <v>0</v>
      </c>
      <c r="HF18" s="10">
        <v>0</v>
      </c>
      <c r="HG18" s="10">
        <f t="shared" si="9"/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1.0046667888845762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0.57708892134635081</v>
      </c>
      <c r="IM18">
        <v>0</v>
      </c>
      <c r="IN18">
        <v>0</v>
      </c>
      <c r="IO18">
        <v>0.50556205148840483</v>
      </c>
      <c r="IP18">
        <v>0</v>
      </c>
      <c r="IQ18">
        <v>0</v>
      </c>
      <c r="IR18">
        <v>0</v>
      </c>
      <c r="IS18">
        <v>0.56521064737282489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 s="10">
        <v>0</v>
      </c>
      <c r="JU18" s="10">
        <v>9.7560530724276884</v>
      </c>
      <c r="JV18" s="16">
        <f t="shared" si="10"/>
        <v>9.7560530724276884</v>
      </c>
      <c r="JW18">
        <v>0</v>
      </c>
      <c r="JX18">
        <v>0</v>
      </c>
      <c r="JY18">
        <v>0</v>
      </c>
      <c r="JZ18">
        <v>0</v>
      </c>
      <c r="KA18">
        <v>0</v>
      </c>
      <c r="KB18" s="10">
        <v>0</v>
      </c>
      <c r="KC18" s="10">
        <v>0.79947296835943693</v>
      </c>
      <c r="KD18" s="10">
        <f t="shared" si="11"/>
        <v>0.79947296835943693</v>
      </c>
      <c r="KE18" s="10">
        <v>0</v>
      </c>
      <c r="KF18" s="10">
        <v>0</v>
      </c>
      <c r="KG18" s="10">
        <f t="shared" si="12"/>
        <v>0</v>
      </c>
      <c r="KH18">
        <v>0</v>
      </c>
      <c r="KI18">
        <v>0</v>
      </c>
      <c r="KJ18">
        <v>0</v>
      </c>
      <c r="KK18">
        <v>10.638890404884227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0.69877800138107793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 s="10">
        <v>0</v>
      </c>
      <c r="LE18" s="10">
        <v>0</v>
      </c>
      <c r="LF18" s="10">
        <v>2.390512734077479</v>
      </c>
      <c r="LG18" s="10">
        <v>0</v>
      </c>
      <c r="LH18" s="10">
        <v>0</v>
      </c>
      <c r="LI18" s="10">
        <f t="shared" si="13"/>
        <v>2.390512734077479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0.75068354520214287</v>
      </c>
      <c r="LX18">
        <v>0</v>
      </c>
      <c r="LY18">
        <v>0</v>
      </c>
      <c r="LZ18">
        <v>0</v>
      </c>
      <c r="MA18">
        <v>0.45223941189800954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 s="10">
        <v>0</v>
      </c>
      <c r="MI18" s="10">
        <v>0</v>
      </c>
      <c r="MJ18" s="10">
        <f t="shared" si="14"/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 s="10">
        <v>0</v>
      </c>
      <c r="MT18" s="10">
        <v>1.4496089810074786</v>
      </c>
      <c r="MU18" s="10">
        <v>0</v>
      </c>
      <c r="MV18" s="16">
        <f t="shared" si="15"/>
        <v>1.4496089810074786</v>
      </c>
      <c r="MW18">
        <v>1.9035532994923858</v>
      </c>
      <c r="MX18">
        <v>0</v>
      </c>
      <c r="MY18">
        <v>1.9035532994923858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 s="10">
        <v>0</v>
      </c>
      <c r="NG18" s="10">
        <v>0.41182630302528478</v>
      </c>
      <c r="NH18" s="10">
        <v>0</v>
      </c>
      <c r="NI18" s="10">
        <f t="shared" si="16"/>
        <v>0.41182630302528478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 s="10">
        <v>0</v>
      </c>
      <c r="NQ18" s="10">
        <v>0</v>
      </c>
      <c r="NR18" s="10">
        <f t="shared" si="17"/>
        <v>0</v>
      </c>
      <c r="NS18">
        <v>0</v>
      </c>
      <c r="NT18">
        <v>0</v>
      </c>
      <c r="NU18">
        <v>0</v>
      </c>
      <c r="NV18">
        <v>0.70678886650764627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 s="10">
        <v>0</v>
      </c>
      <c r="OD18" s="10">
        <v>0</v>
      </c>
      <c r="OE18" s="10">
        <f t="shared" si="18"/>
        <v>0</v>
      </c>
      <c r="OF18" s="10">
        <v>0</v>
      </c>
      <c r="OG18" s="10">
        <v>0</v>
      </c>
      <c r="OH18" s="16">
        <f t="shared" si="19"/>
        <v>0</v>
      </c>
      <c r="OI18">
        <v>0</v>
      </c>
      <c r="OJ18">
        <v>0</v>
      </c>
      <c r="OK18" s="10">
        <v>0</v>
      </c>
      <c r="OL18" s="10">
        <v>0</v>
      </c>
      <c r="OM18" s="10">
        <f t="shared" si="20"/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4.9460963433019227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 s="10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 s="10">
        <v>16.991895818293585</v>
      </c>
      <c r="PP18" s="10">
        <v>0</v>
      </c>
      <c r="PQ18" s="16">
        <f t="shared" si="21"/>
        <v>16.991895818293585</v>
      </c>
      <c r="PR18">
        <v>0</v>
      </c>
      <c r="PS18">
        <v>0</v>
      </c>
      <c r="PT18">
        <v>0.87655215589688418</v>
      </c>
      <c r="PU18">
        <v>0</v>
      </c>
      <c r="PV18">
        <v>0</v>
      </c>
      <c r="PW18">
        <v>0.83803452044666715</v>
      </c>
      <c r="PX18">
        <v>0</v>
      </c>
      <c r="PY18" s="16">
        <v>1.0770715993699518</v>
      </c>
      <c r="PZ18" s="10">
        <v>5.5417267119500311</v>
      </c>
      <c r="QA18">
        <v>0</v>
      </c>
      <c r="QB18" s="10">
        <v>49.557138907513554</v>
      </c>
      <c r="QC18">
        <v>0</v>
      </c>
      <c r="QD18">
        <v>0</v>
      </c>
      <c r="QE18">
        <v>0</v>
      </c>
      <c r="QF18">
        <v>0.53479367088735463</v>
      </c>
      <c r="QG18">
        <v>0</v>
      </c>
      <c r="QH18">
        <v>0.57332150127116388</v>
      </c>
      <c r="QI18">
        <v>0</v>
      </c>
      <c r="QJ18">
        <v>0</v>
      </c>
      <c r="QK18">
        <v>0.42571219469083371</v>
      </c>
      <c r="QL18">
        <v>0</v>
      </c>
      <c r="QM18">
        <v>0</v>
      </c>
      <c r="QN18">
        <v>0</v>
      </c>
      <c r="QO18">
        <v>0</v>
      </c>
      <c r="QP18">
        <v>0.56969877083042175</v>
      </c>
      <c r="QQ18">
        <v>0</v>
      </c>
      <c r="QR18">
        <v>0</v>
      </c>
      <c r="QS18">
        <v>0</v>
      </c>
      <c r="QT18" s="10">
        <v>4.8594790111632138</v>
      </c>
      <c r="QU18" s="10">
        <v>0</v>
      </c>
      <c r="QV18" s="10">
        <f t="shared" si="22"/>
        <v>4.8594790111632138</v>
      </c>
      <c r="QW18">
        <v>0</v>
      </c>
      <c r="QX18">
        <v>0</v>
      </c>
      <c r="QY18">
        <v>0.93572002145114419</v>
      </c>
      <c r="QZ18">
        <v>0</v>
      </c>
      <c r="RA18">
        <v>0</v>
      </c>
      <c r="RB18">
        <v>0</v>
      </c>
      <c r="RC18">
        <v>1.3826110143414987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0.62167097383266712</v>
      </c>
      <c r="RJ18">
        <v>0</v>
      </c>
      <c r="RK18">
        <v>0</v>
      </c>
      <c r="RL18">
        <v>0.7113848209936231</v>
      </c>
      <c r="RM18">
        <v>0</v>
      </c>
      <c r="RN18">
        <v>0.43235184124923715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1.9911454241276509</v>
      </c>
      <c r="TH18">
        <v>0</v>
      </c>
      <c r="TI18">
        <v>0</v>
      </c>
      <c r="TJ18">
        <v>0</v>
      </c>
      <c r="TK18">
        <v>2.2185559655145735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4.3161694338236414</v>
      </c>
      <c r="TX18">
        <v>0</v>
      </c>
      <c r="TY18">
        <v>0</v>
      </c>
      <c r="TZ18">
        <v>0</v>
      </c>
      <c r="UA18">
        <v>7.1358531898695592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1.3610004999156267</v>
      </c>
      <c r="UN18">
        <v>0</v>
      </c>
    </row>
    <row r="19" spans="1:560" x14ac:dyDescent="0.25">
      <c r="A19" s="5" t="s">
        <v>1447</v>
      </c>
      <c r="B19" s="5" t="s">
        <v>1455</v>
      </c>
      <c r="C19" s="5">
        <v>20.27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0.14667507268821248</v>
      </c>
      <c r="Q19" s="10">
        <v>0</v>
      </c>
      <c r="R19" s="10">
        <v>1.6693355559226297</v>
      </c>
      <c r="S19" s="10">
        <v>0</v>
      </c>
      <c r="T19" s="10">
        <v>0</v>
      </c>
      <c r="U19" s="10">
        <f t="shared" si="0"/>
        <v>1.6693355559226297</v>
      </c>
      <c r="V19">
        <v>0.28561466770950888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0.17199090228482139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0.15114315687570143</v>
      </c>
      <c r="BB19">
        <v>0</v>
      </c>
      <c r="BC19">
        <v>0</v>
      </c>
      <c r="BD19">
        <v>0.20974701052301897</v>
      </c>
      <c r="BE19">
        <v>0</v>
      </c>
      <c r="BF19">
        <v>0</v>
      </c>
      <c r="BG19">
        <v>0</v>
      </c>
      <c r="BH19">
        <v>0</v>
      </c>
      <c r="BI19" s="10">
        <v>0.41529248083818815</v>
      </c>
      <c r="BJ19" s="10">
        <v>0</v>
      </c>
      <c r="BK19" s="10">
        <v>0</v>
      </c>
      <c r="BL19" s="10">
        <f t="shared" si="1"/>
        <v>0.41529248083818815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0.27266425634989444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 s="10">
        <v>0</v>
      </c>
      <c r="CV19" s="10">
        <v>0.20018724912930225</v>
      </c>
      <c r="CW19" s="10">
        <v>0</v>
      </c>
      <c r="CX19" s="16">
        <f t="shared" si="2"/>
        <v>0.20018724912930225</v>
      </c>
      <c r="CY19" s="10">
        <v>0</v>
      </c>
      <c r="CZ19" s="10">
        <v>0.14940703882071785</v>
      </c>
      <c r="DA19" s="10">
        <v>0</v>
      </c>
      <c r="DB19" s="16">
        <f t="shared" si="3"/>
        <v>0.14940703882071785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 s="10">
        <v>0</v>
      </c>
      <c r="DJ19" s="10">
        <v>1.015946049191105</v>
      </c>
      <c r="DK19" s="10">
        <v>0</v>
      </c>
      <c r="DL19" s="16">
        <f t="shared" si="4"/>
        <v>1.015946049191105</v>
      </c>
      <c r="DM19" s="10">
        <v>0</v>
      </c>
      <c r="DN19" s="10">
        <v>0</v>
      </c>
      <c r="DO19" s="10">
        <v>0</v>
      </c>
      <c r="DP19" s="16">
        <f t="shared" si="5"/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 s="10">
        <v>0</v>
      </c>
      <c r="DY19" s="10">
        <v>0</v>
      </c>
      <c r="DZ19" s="16">
        <f t="shared" si="6"/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0.14720099627283234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0.19294172696198611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 s="10">
        <v>0</v>
      </c>
      <c r="GT19" s="10">
        <v>0</v>
      </c>
      <c r="GU19" s="10">
        <v>0.47927941166508548</v>
      </c>
      <c r="GV19" s="10">
        <f t="shared" si="7"/>
        <v>0.47927941166508548</v>
      </c>
      <c r="GW19" s="10">
        <v>2.8456681212043602</v>
      </c>
      <c r="GX19" s="10">
        <v>0</v>
      </c>
      <c r="GY19" s="16">
        <f t="shared" si="8"/>
        <v>2.8456681212043602</v>
      </c>
      <c r="GZ19">
        <v>0</v>
      </c>
      <c r="HA19">
        <v>0.18701810502501415</v>
      </c>
      <c r="HB19">
        <v>0</v>
      </c>
      <c r="HC19">
        <v>0</v>
      </c>
      <c r="HD19">
        <v>0</v>
      </c>
      <c r="HE19" s="10">
        <v>0</v>
      </c>
      <c r="HF19" s="10">
        <v>0.41953188988351819</v>
      </c>
      <c r="HG19" s="10">
        <f t="shared" si="9"/>
        <v>0.41953188988351819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0.15873520083772122</v>
      </c>
      <c r="IM19">
        <v>0</v>
      </c>
      <c r="IN19">
        <v>0.26536872977169701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0.40362420011897726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 s="10">
        <v>0</v>
      </c>
      <c r="JU19" s="10">
        <v>1.1139744331016681</v>
      </c>
      <c r="JV19" s="16">
        <f t="shared" si="10"/>
        <v>1.1139744331016681</v>
      </c>
      <c r="JW19">
        <v>0</v>
      </c>
      <c r="JX19">
        <v>0</v>
      </c>
      <c r="JY19">
        <v>0</v>
      </c>
      <c r="JZ19">
        <v>0</v>
      </c>
      <c r="KA19">
        <v>0</v>
      </c>
      <c r="KB19" s="10">
        <v>0</v>
      </c>
      <c r="KC19" s="10">
        <v>0.23367397491798655</v>
      </c>
      <c r="KD19" s="10">
        <f t="shared" si="11"/>
        <v>0.23367397491798655</v>
      </c>
      <c r="KE19" s="10">
        <v>0</v>
      </c>
      <c r="KF19" s="10">
        <v>0</v>
      </c>
      <c r="KG19" s="10">
        <f t="shared" si="12"/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8.6573603018290495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 s="10">
        <v>0</v>
      </c>
      <c r="LE19" s="10">
        <v>0</v>
      </c>
      <c r="LF19" s="10">
        <v>0.90788052259580942</v>
      </c>
      <c r="LG19" s="10">
        <v>0</v>
      </c>
      <c r="LH19" s="10">
        <v>0</v>
      </c>
      <c r="LI19" s="10">
        <f t="shared" si="13"/>
        <v>0.90788052259580942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0.17078158508482397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0.22757840798921222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0.24455841456487415</v>
      </c>
      <c r="MF19">
        <v>0</v>
      </c>
      <c r="MG19">
        <v>0</v>
      </c>
      <c r="MH19" s="10">
        <v>0</v>
      </c>
      <c r="MI19" s="10">
        <v>0.17090411051265592</v>
      </c>
      <c r="MJ19" s="10">
        <f t="shared" si="14"/>
        <v>0.17090411051265592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 s="10">
        <v>0</v>
      </c>
      <c r="MT19" s="10">
        <v>0.20675624963244382</v>
      </c>
      <c r="MU19" s="10">
        <v>0</v>
      </c>
      <c r="MV19" s="16">
        <f t="shared" si="15"/>
        <v>0.20675624963244382</v>
      </c>
      <c r="MW19">
        <v>0.740009866798224</v>
      </c>
      <c r="MX19">
        <v>0</v>
      </c>
      <c r="MY19">
        <v>0.740009866798224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 s="10">
        <v>0</v>
      </c>
      <c r="NG19" s="10">
        <v>0.23030130899459875</v>
      </c>
      <c r="NH19" s="10">
        <v>0</v>
      </c>
      <c r="NI19" s="10">
        <f t="shared" si="16"/>
        <v>0.23030130899459875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 s="10">
        <v>0</v>
      </c>
      <c r="NQ19" s="10">
        <v>0.14833896214970088</v>
      </c>
      <c r="NR19" s="10">
        <f t="shared" si="17"/>
        <v>0.14833896214970088</v>
      </c>
      <c r="NS19">
        <v>0</v>
      </c>
      <c r="NT19">
        <v>0</v>
      </c>
      <c r="NU19">
        <v>0</v>
      </c>
      <c r="NV19">
        <v>0.17628718769223573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 s="10">
        <v>0</v>
      </c>
      <c r="OD19" s="10">
        <v>0.24494499837297393</v>
      </c>
      <c r="OE19" s="10">
        <f t="shared" si="18"/>
        <v>0.24494499837297393</v>
      </c>
      <c r="OF19" s="10">
        <v>0</v>
      </c>
      <c r="OG19" s="10">
        <v>0</v>
      </c>
      <c r="OH19" s="16">
        <f t="shared" si="19"/>
        <v>0</v>
      </c>
      <c r="OI19">
        <v>0</v>
      </c>
      <c r="OJ19">
        <v>0</v>
      </c>
      <c r="OK19" s="10">
        <v>0.15030068490056117</v>
      </c>
      <c r="OL19" s="10">
        <v>0</v>
      </c>
      <c r="OM19" s="10">
        <f t="shared" si="20"/>
        <v>0.15030068490056117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 s="10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 s="10">
        <v>3.8150855047056123</v>
      </c>
      <c r="PP19" s="10">
        <v>0</v>
      </c>
      <c r="PQ19" s="16">
        <f t="shared" si="21"/>
        <v>3.8150855047056123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 s="16">
        <v>0.66107000878881716</v>
      </c>
      <c r="PZ19" s="10">
        <v>1.1822645212871827</v>
      </c>
      <c r="QA19">
        <v>0</v>
      </c>
      <c r="QB19" s="10">
        <v>10.284976241998365</v>
      </c>
      <c r="QC19">
        <v>0.16251565126972861</v>
      </c>
      <c r="QD19">
        <v>0</v>
      </c>
      <c r="QE19">
        <v>0</v>
      </c>
      <c r="QF19">
        <v>0.31299369099601787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 s="10">
        <v>0.62013174850845487</v>
      </c>
      <c r="QU19" s="10">
        <v>0</v>
      </c>
      <c r="QV19" s="10">
        <f t="shared" si="22"/>
        <v>0.62013174850845487</v>
      </c>
      <c r="QW19">
        <v>0</v>
      </c>
      <c r="QX19">
        <v>0.55171562581364297</v>
      </c>
      <c r="QY19">
        <v>0</v>
      </c>
      <c r="QZ19">
        <v>0</v>
      </c>
      <c r="RA19">
        <v>0.47827873860054887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0.23828490796346088</v>
      </c>
      <c r="RT19">
        <v>0</v>
      </c>
      <c r="RU19">
        <v>0.17680170676209317</v>
      </c>
      <c r="RV19">
        <v>0</v>
      </c>
      <c r="RW19">
        <v>0.28031960999001831</v>
      </c>
      <c r="RX19">
        <v>0</v>
      </c>
      <c r="RY19">
        <v>0.1590782135509595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1.3238745273036128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0.65618083482548573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0.17382878370230023</v>
      </c>
      <c r="TA19">
        <v>0</v>
      </c>
      <c r="TB19">
        <v>0</v>
      </c>
      <c r="TC19">
        <v>0</v>
      </c>
      <c r="TD19">
        <v>0.23436833441294333</v>
      </c>
      <c r="TE19">
        <v>0</v>
      </c>
      <c r="TF19">
        <v>0.31381627817618774</v>
      </c>
      <c r="TG19">
        <v>0</v>
      </c>
      <c r="TH19">
        <v>0</v>
      </c>
      <c r="TI19">
        <v>0</v>
      </c>
      <c r="TJ19">
        <v>0</v>
      </c>
      <c r="TK19">
        <v>23.300816618710222</v>
      </c>
      <c r="TL19">
        <v>0</v>
      </c>
      <c r="TM19">
        <v>0</v>
      </c>
      <c r="TN19">
        <v>0</v>
      </c>
      <c r="TO19">
        <v>0</v>
      </c>
      <c r="TP19">
        <v>0.9619047325073854</v>
      </c>
      <c r="TQ19">
        <v>0</v>
      </c>
      <c r="TR19">
        <v>0.20175478506222116</v>
      </c>
      <c r="TS19">
        <v>0</v>
      </c>
      <c r="TT19">
        <v>0</v>
      </c>
      <c r="TU19">
        <v>0</v>
      </c>
      <c r="TV19">
        <v>0.17052366759712051</v>
      </c>
      <c r="TW19">
        <v>0.38631360882693344</v>
      </c>
      <c r="TX19">
        <v>0</v>
      </c>
      <c r="TY19">
        <v>0.153059846414423</v>
      </c>
      <c r="TZ19">
        <v>0</v>
      </c>
      <c r="UA19">
        <v>4.3588051035535358</v>
      </c>
      <c r="UB19">
        <v>0</v>
      </c>
      <c r="UC19">
        <v>0.17444024114763806</v>
      </c>
      <c r="UD19">
        <v>0</v>
      </c>
      <c r="UE19">
        <v>0.18285033972626838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</row>
    <row r="20" spans="1:560" x14ac:dyDescent="0.25">
      <c r="A20" s="5" t="s">
        <v>1447</v>
      </c>
      <c r="B20" s="5" t="s">
        <v>1456</v>
      </c>
      <c r="C20" s="5">
        <v>15.77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 s="10">
        <v>0</v>
      </c>
      <c r="R20" s="10">
        <v>3.8109880651043304</v>
      </c>
      <c r="S20" s="10">
        <v>0</v>
      </c>
      <c r="T20" s="10">
        <v>0</v>
      </c>
      <c r="U20" s="10">
        <f t="shared" si="0"/>
        <v>3.8109880651043304</v>
      </c>
      <c r="V20">
        <v>0</v>
      </c>
      <c r="W20">
        <v>0</v>
      </c>
      <c r="X20">
        <v>0</v>
      </c>
      <c r="Y20">
        <v>0.21912116478874435</v>
      </c>
      <c r="Z20">
        <v>0</v>
      </c>
      <c r="AA20">
        <v>0</v>
      </c>
      <c r="AB20">
        <v>33.095360431800131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1.6947006746626143</v>
      </c>
      <c r="AP20">
        <v>0.35265968939751502</v>
      </c>
      <c r="AQ20">
        <v>0.43308781484330172</v>
      </c>
      <c r="AR20">
        <v>0</v>
      </c>
      <c r="AS20">
        <v>1.0500643311246185</v>
      </c>
      <c r="AT20">
        <v>0</v>
      </c>
      <c r="AU20">
        <v>0.82363161275368579</v>
      </c>
      <c r="AV20">
        <v>0</v>
      </c>
      <c r="AW20">
        <v>0</v>
      </c>
      <c r="AX20">
        <v>0</v>
      </c>
      <c r="AY20">
        <v>0</v>
      </c>
      <c r="AZ20">
        <v>0.30524669082671646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 s="10">
        <v>1.2466524174729428</v>
      </c>
      <c r="BJ20" s="10">
        <v>0</v>
      </c>
      <c r="BK20" s="10">
        <v>0</v>
      </c>
      <c r="BL20" s="10">
        <f t="shared" si="1"/>
        <v>1.2466524174729428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0.22442279744628199</v>
      </c>
      <c r="BX20">
        <v>0</v>
      </c>
      <c r="BY20">
        <v>0</v>
      </c>
      <c r="BZ20">
        <v>0</v>
      </c>
      <c r="CA20">
        <v>0.98915502435730396</v>
      </c>
      <c r="CB20">
        <v>0</v>
      </c>
      <c r="CC20">
        <v>0</v>
      </c>
      <c r="CD20">
        <v>0</v>
      </c>
      <c r="CE20">
        <v>0</v>
      </c>
      <c r="CF20">
        <v>0.67613802067755613</v>
      </c>
      <c r="CG20">
        <v>0</v>
      </c>
      <c r="CH20">
        <v>0.64564151120866387</v>
      </c>
      <c r="CI20">
        <v>0</v>
      </c>
      <c r="CJ20">
        <v>0</v>
      </c>
      <c r="CK20">
        <v>0</v>
      </c>
      <c r="CL20">
        <v>0</v>
      </c>
      <c r="CM20">
        <v>0.43460976012078212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0.20837513292551599</v>
      </c>
      <c r="CU20" s="10">
        <v>1.5322837305334667</v>
      </c>
      <c r="CV20" s="10">
        <v>0</v>
      </c>
      <c r="CW20" s="10">
        <v>0</v>
      </c>
      <c r="CX20" s="16">
        <f t="shared" si="2"/>
        <v>1.5322837305334667</v>
      </c>
      <c r="CY20" s="10">
        <v>1.8060359965126189</v>
      </c>
      <c r="CZ20" s="10">
        <v>0</v>
      </c>
      <c r="DA20" s="10">
        <v>0</v>
      </c>
      <c r="DB20" s="16">
        <f t="shared" si="3"/>
        <v>1.8060359965126189</v>
      </c>
      <c r="DC20">
        <v>0</v>
      </c>
      <c r="DD20">
        <v>0.43142455347606751</v>
      </c>
      <c r="DE20">
        <v>0</v>
      </c>
      <c r="DF20">
        <v>0.28653039005970538</v>
      </c>
      <c r="DG20">
        <v>0</v>
      </c>
      <c r="DH20">
        <v>0</v>
      </c>
      <c r="DI20" s="10">
        <v>4.6586104669896642</v>
      </c>
      <c r="DJ20" s="10">
        <v>0</v>
      </c>
      <c r="DK20" s="10">
        <v>0</v>
      </c>
      <c r="DL20" s="16">
        <f t="shared" si="4"/>
        <v>4.6586104669896642</v>
      </c>
      <c r="DM20" s="10">
        <v>19.700067752831959</v>
      </c>
      <c r="DN20" s="10">
        <v>0</v>
      </c>
      <c r="DO20" s="10">
        <v>0</v>
      </c>
      <c r="DP20" s="16">
        <f t="shared" si="5"/>
        <v>19.700067752831959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0.41033799647636765</v>
      </c>
      <c r="DW20">
        <v>0</v>
      </c>
      <c r="DX20" s="10">
        <v>0</v>
      </c>
      <c r="DY20" s="10">
        <v>0.56387481986872834</v>
      </c>
      <c r="DZ20" s="16">
        <f t="shared" si="6"/>
        <v>0.56387481986872834</v>
      </c>
      <c r="EA20">
        <v>0</v>
      </c>
      <c r="EB20">
        <v>0</v>
      </c>
      <c r="EC20">
        <v>0</v>
      </c>
      <c r="ED20">
        <v>0</v>
      </c>
      <c r="EE20">
        <v>0.41266266687365194</v>
      </c>
      <c r="EF20">
        <v>0</v>
      </c>
      <c r="EG20">
        <v>0</v>
      </c>
      <c r="EH20">
        <v>0</v>
      </c>
      <c r="EI20">
        <v>0</v>
      </c>
      <c r="EJ20">
        <v>0.29411732352940523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0.66698003355314461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0.89683749141300817</v>
      </c>
      <c r="FB20">
        <v>0</v>
      </c>
      <c r="FC20">
        <v>0</v>
      </c>
      <c r="FD20">
        <v>0.42703940331850204</v>
      </c>
      <c r="FE20">
        <v>0</v>
      </c>
      <c r="FF20">
        <v>0</v>
      </c>
      <c r="FG20">
        <v>0.25684675891941156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0.23353001852672031</v>
      </c>
      <c r="FN20">
        <v>0</v>
      </c>
      <c r="FO20">
        <v>0</v>
      </c>
      <c r="FP20">
        <v>0</v>
      </c>
      <c r="FQ20">
        <v>0</v>
      </c>
      <c r="FR20">
        <v>0.3186311065181488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0.21003611500097999</v>
      </c>
      <c r="GG20">
        <v>0.23326872880651572</v>
      </c>
      <c r="GH20">
        <v>0</v>
      </c>
      <c r="GI20">
        <v>0</v>
      </c>
      <c r="GJ20">
        <v>0</v>
      </c>
      <c r="GK20">
        <v>0.330426855845736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 s="10">
        <v>0</v>
      </c>
      <c r="GT20" s="10">
        <v>0.46074515559986767</v>
      </c>
      <c r="GU20" s="10">
        <v>0</v>
      </c>
      <c r="GV20" s="10">
        <f t="shared" si="7"/>
        <v>0.46074515559986767</v>
      </c>
      <c r="GW20" s="10">
        <v>7.6268061566781054</v>
      </c>
      <c r="GX20" s="10">
        <v>0</v>
      </c>
      <c r="GY20" s="16">
        <f t="shared" si="8"/>
        <v>7.6268061566781054</v>
      </c>
      <c r="GZ20">
        <v>0.29279450546930513</v>
      </c>
      <c r="HA20">
        <v>0</v>
      </c>
      <c r="HB20">
        <v>0</v>
      </c>
      <c r="HC20">
        <v>0</v>
      </c>
      <c r="HD20">
        <v>0</v>
      </c>
      <c r="HE20" s="10">
        <v>0</v>
      </c>
      <c r="HF20" s="10">
        <v>0.78573507174025181</v>
      </c>
      <c r="HG20" s="10">
        <f t="shared" si="9"/>
        <v>0.78573507174025181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0.59481392635772923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0.29715686270916836</v>
      </c>
      <c r="IJ20">
        <v>0</v>
      </c>
      <c r="IK20">
        <v>1.2717095007363703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0.21514380064970598</v>
      </c>
      <c r="IS20">
        <v>0</v>
      </c>
      <c r="IT20">
        <v>0.24516559580536371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0.20930197584262558</v>
      </c>
      <c r="JC20">
        <v>0</v>
      </c>
      <c r="JD20">
        <v>5.8097528925816002</v>
      </c>
      <c r="JE20">
        <v>0</v>
      </c>
      <c r="JF20">
        <v>0</v>
      </c>
      <c r="JG20">
        <v>0</v>
      </c>
      <c r="JH20">
        <v>0</v>
      </c>
      <c r="JI20">
        <v>0.3604791106277776</v>
      </c>
      <c r="JJ20">
        <v>0</v>
      </c>
      <c r="JK20">
        <v>0</v>
      </c>
      <c r="JL20">
        <v>0</v>
      </c>
      <c r="JM20">
        <v>0.28840127418637257</v>
      </c>
      <c r="JN20">
        <v>0</v>
      </c>
      <c r="JO20">
        <v>0</v>
      </c>
      <c r="JP20">
        <v>0</v>
      </c>
      <c r="JQ20">
        <v>0</v>
      </c>
      <c r="JR20">
        <v>0.3251560972312677</v>
      </c>
      <c r="JS20">
        <v>0</v>
      </c>
      <c r="JT20" s="10">
        <v>0</v>
      </c>
      <c r="JU20" s="10">
        <v>2.5739892771116506</v>
      </c>
      <c r="JV20" s="16">
        <f t="shared" si="10"/>
        <v>2.5739892771116506</v>
      </c>
      <c r="JW20">
        <v>0</v>
      </c>
      <c r="JX20">
        <v>0</v>
      </c>
      <c r="JY20">
        <v>0</v>
      </c>
      <c r="JZ20">
        <v>0</v>
      </c>
      <c r="KA20">
        <v>0</v>
      </c>
      <c r="KB20" s="10">
        <v>1.0390466491240482</v>
      </c>
      <c r="KC20" s="10">
        <v>0</v>
      </c>
      <c r="KD20" s="10">
        <f t="shared" si="11"/>
        <v>1.0390466491240482</v>
      </c>
      <c r="KE20" s="10">
        <v>4.7626748480926588</v>
      </c>
      <c r="KF20" s="10">
        <v>0</v>
      </c>
      <c r="KG20" s="10">
        <f t="shared" si="12"/>
        <v>4.7626748480926588</v>
      </c>
      <c r="KH20">
        <v>0</v>
      </c>
      <c r="KI20">
        <v>0</v>
      </c>
      <c r="KJ20">
        <v>0</v>
      </c>
      <c r="KK20">
        <v>6.4520082050530849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0.50347876816639936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 s="10">
        <v>2.9823652177905422</v>
      </c>
      <c r="LE20" s="10">
        <v>0</v>
      </c>
      <c r="LF20" s="10">
        <v>0</v>
      </c>
      <c r="LG20" s="10">
        <v>0</v>
      </c>
      <c r="LH20" s="10">
        <v>0</v>
      </c>
      <c r="LI20" s="10">
        <f t="shared" si="13"/>
        <v>2.9823652177905422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0.21165917794972119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0.73164830686624172</v>
      </c>
      <c r="LV20">
        <v>0</v>
      </c>
      <c r="LW20">
        <v>0</v>
      </c>
      <c r="LX20">
        <v>0.30791097569776388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0.39385478001914642</v>
      </c>
      <c r="MF20">
        <v>0</v>
      </c>
      <c r="MG20">
        <v>0</v>
      </c>
      <c r="MH20" s="10">
        <v>0.67228808966930753</v>
      </c>
      <c r="MI20" s="10">
        <v>0</v>
      </c>
      <c r="MJ20" s="10">
        <f t="shared" si="14"/>
        <v>0.67228808966930753</v>
      </c>
      <c r="MK20">
        <v>0.27289483785686303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0.25570586978424376</v>
      </c>
      <c r="MS20" s="10">
        <v>0</v>
      </c>
      <c r="MT20" s="10">
        <v>0.49979874799920365</v>
      </c>
      <c r="MU20" s="10">
        <v>0</v>
      </c>
      <c r="MV20" s="16">
        <f t="shared" si="15"/>
        <v>0.49979874799920365</v>
      </c>
      <c r="MW20">
        <v>0.95117311350665823</v>
      </c>
      <c r="MX20">
        <v>0</v>
      </c>
      <c r="MY20">
        <v>0.95117311350665823</v>
      </c>
      <c r="MZ20">
        <v>0.23293781708314795</v>
      </c>
      <c r="NA20">
        <v>0.30672367189382072</v>
      </c>
      <c r="NB20">
        <v>0</v>
      </c>
      <c r="NC20">
        <v>0</v>
      </c>
      <c r="ND20">
        <v>0</v>
      </c>
      <c r="NE20">
        <v>0</v>
      </c>
      <c r="NF20" s="10">
        <v>0.67267722693698739</v>
      </c>
      <c r="NG20" s="10">
        <v>0</v>
      </c>
      <c r="NH20" s="10">
        <v>0</v>
      </c>
      <c r="NI20" s="10">
        <f t="shared" si="16"/>
        <v>0.67267722693698739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 s="10">
        <v>0</v>
      </c>
      <c r="NQ20" s="10">
        <v>0.60653756718204022</v>
      </c>
      <c r="NR20" s="10">
        <f t="shared" si="17"/>
        <v>0.60653756718204022</v>
      </c>
      <c r="NS20">
        <v>0</v>
      </c>
      <c r="NT20">
        <v>0.42790097560764617</v>
      </c>
      <c r="NU20">
        <v>0</v>
      </c>
      <c r="NV20">
        <v>0.39747180885014688</v>
      </c>
      <c r="NW20">
        <v>0</v>
      </c>
      <c r="NX20">
        <v>2.1356922445316773</v>
      </c>
      <c r="NY20">
        <v>0</v>
      </c>
      <c r="NZ20">
        <v>0.80656448318660201</v>
      </c>
      <c r="OA20">
        <v>0</v>
      </c>
      <c r="OB20">
        <v>0</v>
      </c>
      <c r="OC20" s="10">
        <v>0.98261884439367675</v>
      </c>
      <c r="OD20" s="10">
        <v>0</v>
      </c>
      <c r="OE20" s="10">
        <f t="shared" si="18"/>
        <v>0.98261884439367675</v>
      </c>
      <c r="OF20" s="10">
        <v>0.57886510021645388</v>
      </c>
      <c r="OG20" s="10">
        <v>0</v>
      </c>
      <c r="OH20" s="16">
        <f t="shared" si="19"/>
        <v>0.57886510021645388</v>
      </c>
      <c r="OI20">
        <v>0</v>
      </c>
      <c r="OJ20">
        <v>0</v>
      </c>
      <c r="OK20" s="10">
        <v>0.40470130792860731</v>
      </c>
      <c r="OL20" s="10">
        <v>0</v>
      </c>
      <c r="OM20" s="10">
        <f t="shared" si="20"/>
        <v>0.40470130792860731</v>
      </c>
      <c r="ON20">
        <v>0</v>
      </c>
      <c r="OO20">
        <v>0</v>
      </c>
      <c r="OP20">
        <v>0</v>
      </c>
      <c r="OQ20">
        <v>0</v>
      </c>
      <c r="OR20">
        <v>0.23474052966505124</v>
      </c>
      <c r="OS20">
        <v>0</v>
      </c>
      <c r="OT20">
        <v>0</v>
      </c>
      <c r="OU20">
        <v>0.46619825755595379</v>
      </c>
      <c r="OV20">
        <v>0</v>
      </c>
      <c r="OW20">
        <v>0.35597377963141857</v>
      </c>
      <c r="OX20">
        <v>0</v>
      </c>
      <c r="OY20">
        <v>0</v>
      </c>
      <c r="OZ20">
        <v>0.36884100329935315</v>
      </c>
      <c r="PA20">
        <v>0</v>
      </c>
      <c r="PB20">
        <v>0</v>
      </c>
      <c r="PC20">
        <v>0</v>
      </c>
      <c r="PD20">
        <v>0.21168839432604858</v>
      </c>
      <c r="PE20">
        <v>0.2594196649113073</v>
      </c>
      <c r="PF20">
        <v>0</v>
      </c>
      <c r="PG20">
        <v>0</v>
      </c>
      <c r="PH20">
        <v>0</v>
      </c>
      <c r="PI20" s="10">
        <v>0.25505917254652882</v>
      </c>
      <c r="PJ20">
        <v>0.71823695409025223</v>
      </c>
      <c r="PK20">
        <v>0</v>
      </c>
      <c r="PL20">
        <v>0.27840367885714823</v>
      </c>
      <c r="PM20">
        <v>0</v>
      </c>
      <c r="PN20">
        <v>0</v>
      </c>
      <c r="PO20" s="10">
        <v>1.8019732625363687</v>
      </c>
      <c r="PP20" s="10">
        <v>0</v>
      </c>
      <c r="PQ20" s="16">
        <f t="shared" si="21"/>
        <v>1.8019732625363687</v>
      </c>
      <c r="PR20">
        <v>0</v>
      </c>
      <c r="PS20">
        <v>0</v>
      </c>
      <c r="PT20">
        <v>0.2184091969230639</v>
      </c>
      <c r="PU20">
        <v>0</v>
      </c>
      <c r="PV20">
        <v>0</v>
      </c>
      <c r="PW20">
        <v>0</v>
      </c>
      <c r="PX20">
        <v>0</v>
      </c>
      <c r="PY20" s="16">
        <v>0.95486929592458814</v>
      </c>
      <c r="PZ20" s="10">
        <v>0.83953568189292771</v>
      </c>
      <c r="QA20">
        <v>0</v>
      </c>
      <c r="QB20" s="10">
        <v>5.2842201116632133</v>
      </c>
      <c r="QC20">
        <v>0</v>
      </c>
      <c r="QD20">
        <v>0</v>
      </c>
      <c r="QE20">
        <v>0</v>
      </c>
      <c r="QF20">
        <v>0.52685539177014451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0.45063090197367645</v>
      </c>
      <c r="QM20">
        <v>0</v>
      </c>
      <c r="QN20">
        <v>0.33858526992473348</v>
      </c>
      <c r="QO20">
        <v>0.33483024033746323</v>
      </c>
      <c r="QP20">
        <v>0</v>
      </c>
      <c r="QQ20">
        <v>0</v>
      </c>
      <c r="QR20">
        <v>0</v>
      </c>
      <c r="QS20">
        <v>0.21235228985621157</v>
      </c>
      <c r="QT20" s="10">
        <v>0.45157204226643566</v>
      </c>
      <c r="QU20" s="10">
        <v>0</v>
      </c>
      <c r="QV20" s="10">
        <f t="shared" si="22"/>
        <v>0.45157204226643566</v>
      </c>
      <c r="QW20">
        <v>0.28169083200649464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0.44181190769799988</v>
      </c>
      <c r="RD20">
        <v>0</v>
      </c>
      <c r="RE20">
        <v>0</v>
      </c>
      <c r="RF20">
        <v>0</v>
      </c>
      <c r="RG20">
        <v>0.29239272849271775</v>
      </c>
      <c r="RH20">
        <v>0.41908032366522763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0.33862070255134336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0.32995835778278387</v>
      </c>
      <c r="ST20">
        <v>0</v>
      </c>
      <c r="SU20">
        <v>0</v>
      </c>
      <c r="SV20">
        <v>0</v>
      </c>
      <c r="SW20">
        <v>0</v>
      </c>
      <c r="SX20">
        <v>0.48865881307641229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1.7435933480089729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0.67976085134215347</v>
      </c>
      <c r="TY20">
        <v>0</v>
      </c>
      <c r="TZ20">
        <v>0</v>
      </c>
      <c r="UA20">
        <v>3.7522283376846781</v>
      </c>
      <c r="UB20">
        <v>0</v>
      </c>
      <c r="UC20">
        <v>0.40339465211924158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0.21269936383031368</v>
      </c>
      <c r="UJ20">
        <v>0</v>
      </c>
      <c r="UK20">
        <v>0</v>
      </c>
      <c r="UL20">
        <v>0</v>
      </c>
      <c r="UM20">
        <v>0.21961224856105593</v>
      </c>
      <c r="UN20">
        <v>0</v>
      </c>
    </row>
    <row r="21" spans="1:560" x14ac:dyDescent="0.25">
      <c r="A21" s="5" t="s">
        <v>1447</v>
      </c>
      <c r="B21" s="5" t="s">
        <v>1457</v>
      </c>
      <c r="C21" s="5">
        <v>3.25</v>
      </c>
      <c r="D21">
        <v>0</v>
      </c>
      <c r="E21">
        <v>3.8412411169608234</v>
      </c>
      <c r="F21">
        <v>0</v>
      </c>
      <c r="G21">
        <v>0</v>
      </c>
      <c r="H21">
        <v>0</v>
      </c>
      <c r="I21">
        <v>2.0769500895125974</v>
      </c>
      <c r="J21">
        <v>0</v>
      </c>
      <c r="K21">
        <v>0</v>
      </c>
      <c r="L21">
        <v>2.687471081793146</v>
      </c>
      <c r="M21">
        <v>0</v>
      </c>
      <c r="N21">
        <v>0</v>
      </c>
      <c r="O21">
        <v>0</v>
      </c>
      <c r="P21">
        <v>0</v>
      </c>
      <c r="Q21" s="10">
        <v>0</v>
      </c>
      <c r="R21" s="10">
        <v>9.0730343665867927</v>
      </c>
      <c r="S21" s="10">
        <v>0</v>
      </c>
      <c r="T21" s="10">
        <v>0</v>
      </c>
      <c r="U21" s="10">
        <f t="shared" si="0"/>
        <v>9.0730343665867927</v>
      </c>
      <c r="V21">
        <v>4.8378555532095646</v>
      </c>
      <c r="W21">
        <v>0</v>
      </c>
      <c r="X21">
        <v>0</v>
      </c>
      <c r="Y21">
        <v>0</v>
      </c>
      <c r="Z21">
        <v>1.7701871505988334</v>
      </c>
      <c r="AA21">
        <v>0</v>
      </c>
      <c r="AB21">
        <v>0</v>
      </c>
      <c r="AC21">
        <v>0</v>
      </c>
      <c r="AD21">
        <v>0</v>
      </c>
      <c r="AE21">
        <v>2.2298837521479147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1.4424341150431841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1.7067546358289474</v>
      </c>
      <c r="AZ21">
        <v>0</v>
      </c>
      <c r="BA21">
        <v>0</v>
      </c>
      <c r="BB21">
        <v>3.8489242268027906</v>
      </c>
      <c r="BC21">
        <v>0</v>
      </c>
      <c r="BD21">
        <v>0</v>
      </c>
      <c r="BE21">
        <v>1.0346805604387184</v>
      </c>
      <c r="BF21">
        <v>0</v>
      </c>
      <c r="BG21">
        <v>0</v>
      </c>
      <c r="BH21">
        <v>0</v>
      </c>
      <c r="BI21" s="10">
        <v>5.5978346165444179</v>
      </c>
      <c r="BJ21" s="10">
        <v>0</v>
      </c>
      <c r="BK21" s="10">
        <v>0</v>
      </c>
      <c r="BL21" s="10">
        <f t="shared" si="1"/>
        <v>5.5978346165444179</v>
      </c>
      <c r="BM21">
        <v>0</v>
      </c>
      <c r="BN21">
        <v>1.9694798448128854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2.011997745530127</v>
      </c>
      <c r="BX21">
        <v>0</v>
      </c>
      <c r="BY21">
        <v>0</v>
      </c>
      <c r="BZ21">
        <v>0</v>
      </c>
      <c r="CA21">
        <v>0</v>
      </c>
      <c r="CB21">
        <v>3.0724424643504848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2.3128297884150935</v>
      </c>
      <c r="CP21">
        <v>0</v>
      </c>
      <c r="CQ21">
        <v>0</v>
      </c>
      <c r="CR21">
        <v>0</v>
      </c>
      <c r="CS21">
        <v>0</v>
      </c>
      <c r="CT21">
        <v>0</v>
      </c>
      <c r="CU21" s="10">
        <v>2.0203466287715801</v>
      </c>
      <c r="CV21" s="10">
        <v>0</v>
      </c>
      <c r="CW21" s="10">
        <v>0</v>
      </c>
      <c r="CX21" s="16">
        <f t="shared" si="2"/>
        <v>2.0203466287715801</v>
      </c>
      <c r="CY21" s="10">
        <v>2.9395761449065558</v>
      </c>
      <c r="CZ21" s="10">
        <v>0</v>
      </c>
      <c r="DA21" s="10">
        <v>0</v>
      </c>
      <c r="DB21" s="16">
        <f t="shared" si="3"/>
        <v>2.9395761449065558</v>
      </c>
      <c r="DC21">
        <v>0</v>
      </c>
      <c r="DD21">
        <v>0</v>
      </c>
      <c r="DE21">
        <v>0</v>
      </c>
      <c r="DF21">
        <v>0.86788863366632896</v>
      </c>
      <c r="DG21">
        <v>0</v>
      </c>
      <c r="DH21">
        <v>0</v>
      </c>
      <c r="DI21" s="10">
        <v>19.494265803965696</v>
      </c>
      <c r="DJ21" s="10">
        <v>0</v>
      </c>
      <c r="DK21" s="10">
        <v>0</v>
      </c>
      <c r="DL21" s="16">
        <f t="shared" si="4"/>
        <v>19.494265803965696</v>
      </c>
      <c r="DM21" s="10">
        <v>0</v>
      </c>
      <c r="DN21" s="10">
        <v>1.231006534459901</v>
      </c>
      <c r="DO21" s="10">
        <v>0</v>
      </c>
      <c r="DP21" s="16">
        <f t="shared" si="5"/>
        <v>1.231006534459901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1.1588163431000877</v>
      </c>
      <c r="DW21">
        <v>0</v>
      </c>
      <c r="DX21" s="10">
        <v>0</v>
      </c>
      <c r="DY21" s="10">
        <v>0</v>
      </c>
      <c r="DZ21" s="16">
        <f t="shared" si="6"/>
        <v>0</v>
      </c>
      <c r="EA21">
        <v>0</v>
      </c>
      <c r="EB21">
        <v>0</v>
      </c>
      <c r="EC21">
        <v>0</v>
      </c>
      <c r="ED21">
        <v>0</v>
      </c>
      <c r="EE21">
        <v>0.93204035333145596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1.2444025737527444</v>
      </c>
      <c r="EW21">
        <v>0</v>
      </c>
      <c r="EX21">
        <v>0</v>
      </c>
      <c r="EY21">
        <v>1.2650178018053653</v>
      </c>
      <c r="EZ21">
        <v>0</v>
      </c>
      <c r="FA21">
        <v>0</v>
      </c>
      <c r="FB21">
        <v>0</v>
      </c>
      <c r="FC21">
        <v>0</v>
      </c>
      <c r="FD21">
        <v>1.8707206301591874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1.7978273481647575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 s="10">
        <v>0.95550950175257432</v>
      </c>
      <c r="GT21" s="10">
        <v>0</v>
      </c>
      <c r="GU21" s="10">
        <v>0</v>
      </c>
      <c r="GV21" s="10">
        <f t="shared" si="7"/>
        <v>0.95550950175257432</v>
      </c>
      <c r="GW21" s="10">
        <v>38.046100948973049</v>
      </c>
      <c r="GX21" s="10">
        <v>0</v>
      </c>
      <c r="GY21" s="16">
        <f t="shared" si="8"/>
        <v>38.046100948973049</v>
      </c>
      <c r="GZ21">
        <v>0</v>
      </c>
      <c r="HA21">
        <v>0</v>
      </c>
      <c r="HB21">
        <v>0</v>
      </c>
      <c r="HC21">
        <v>0</v>
      </c>
      <c r="HD21">
        <v>0</v>
      </c>
      <c r="HE21" s="10">
        <v>0</v>
      </c>
      <c r="HF21" s="10">
        <v>0</v>
      </c>
      <c r="HG21" s="10">
        <f t="shared" si="9"/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3.2554775658323738</v>
      </c>
      <c r="IK21">
        <v>0</v>
      </c>
      <c r="IL21">
        <v>0</v>
      </c>
      <c r="IM21">
        <v>0</v>
      </c>
      <c r="IN21">
        <v>2.3288761995211775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0.88768118630811987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0.90073034493804649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1.4428734406749466</v>
      </c>
      <c r="JP21">
        <v>0</v>
      </c>
      <c r="JQ21">
        <v>0</v>
      </c>
      <c r="JR21">
        <v>0</v>
      </c>
      <c r="JS21">
        <v>0</v>
      </c>
      <c r="JT21" s="10">
        <v>0</v>
      </c>
      <c r="JU21" s="10">
        <v>10.193543719706515</v>
      </c>
      <c r="JV21" s="16">
        <f t="shared" si="10"/>
        <v>10.193543719706515</v>
      </c>
      <c r="JW21">
        <v>0</v>
      </c>
      <c r="JX21">
        <v>0</v>
      </c>
      <c r="JY21">
        <v>0</v>
      </c>
      <c r="JZ21">
        <v>0</v>
      </c>
      <c r="KA21">
        <v>0</v>
      </c>
      <c r="KB21" s="10">
        <v>2.3733116972527348</v>
      </c>
      <c r="KC21" s="10">
        <v>0</v>
      </c>
      <c r="KD21" s="10">
        <f t="shared" si="11"/>
        <v>2.3733116972527348</v>
      </c>
      <c r="KE21" s="10">
        <v>0</v>
      </c>
      <c r="KF21" s="10">
        <v>0</v>
      </c>
      <c r="KG21" s="10">
        <f t="shared" si="12"/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32.741152348587761</v>
      </c>
      <c r="KN21">
        <v>0</v>
      </c>
      <c r="KO21">
        <v>0</v>
      </c>
      <c r="KP21">
        <v>0</v>
      </c>
      <c r="KQ21">
        <v>0</v>
      </c>
      <c r="KR21">
        <v>3.5145906360794821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 s="10">
        <v>18.770382684429727</v>
      </c>
      <c r="LE21" s="10">
        <v>0</v>
      </c>
      <c r="LF21" s="10">
        <v>0</v>
      </c>
      <c r="LG21" s="10">
        <v>0</v>
      </c>
      <c r="LH21" s="10">
        <v>0</v>
      </c>
      <c r="LI21" s="10">
        <f t="shared" si="13"/>
        <v>18.770382684429727</v>
      </c>
      <c r="LJ21">
        <v>0</v>
      </c>
      <c r="LK21">
        <v>0</v>
      </c>
      <c r="LL21">
        <v>2.2846221992513907</v>
      </c>
      <c r="LM21">
        <v>0</v>
      </c>
      <c r="LN21">
        <v>0</v>
      </c>
      <c r="LO21">
        <v>0</v>
      </c>
      <c r="LP21">
        <v>0</v>
      </c>
      <c r="LQ21">
        <v>1.1488441601304611</v>
      </c>
      <c r="LR21">
        <v>0</v>
      </c>
      <c r="LS21">
        <v>0</v>
      </c>
      <c r="LT21">
        <v>0</v>
      </c>
      <c r="LU21">
        <v>0</v>
      </c>
      <c r="LV21">
        <v>2.1110164845917772</v>
      </c>
      <c r="LW21">
        <v>0</v>
      </c>
      <c r="LX21">
        <v>1.0303848378038181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2.9687522859456887</v>
      </c>
      <c r="MF21">
        <v>0</v>
      </c>
      <c r="MG21">
        <v>0</v>
      </c>
      <c r="MH21" s="10">
        <v>0</v>
      </c>
      <c r="MI21" s="10">
        <v>1.4766548677767668</v>
      </c>
      <c r="MJ21" s="10">
        <f t="shared" si="14"/>
        <v>1.4766548677767668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 s="10">
        <v>0</v>
      </c>
      <c r="MT21" s="10">
        <v>2.1134921438950891</v>
      </c>
      <c r="MU21" s="10">
        <v>0</v>
      </c>
      <c r="MV21" s="16">
        <f t="shared" si="15"/>
        <v>2.1134921438950891</v>
      </c>
      <c r="MW21">
        <v>4.615384615384615</v>
      </c>
      <c r="MX21">
        <v>0</v>
      </c>
      <c r="MY21">
        <v>4.615384615384615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 s="10">
        <v>4.4867588908418714</v>
      </c>
      <c r="NG21" s="10">
        <v>0</v>
      </c>
      <c r="NH21" s="10">
        <v>0</v>
      </c>
      <c r="NI21" s="10">
        <f t="shared" si="16"/>
        <v>4.4867588908418714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 s="10">
        <v>0</v>
      </c>
      <c r="NQ21" s="10">
        <v>0.99549915978972925</v>
      </c>
      <c r="NR21" s="10">
        <f t="shared" si="17"/>
        <v>0.99549915978972925</v>
      </c>
      <c r="NS21">
        <v>0</v>
      </c>
      <c r="NT21">
        <v>0</v>
      </c>
      <c r="NU21">
        <v>0</v>
      </c>
      <c r="NV21">
        <v>1.1953804485760655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 s="10">
        <v>0</v>
      </c>
      <c r="OD21" s="10">
        <v>1.6143088188641339</v>
      </c>
      <c r="OE21" s="10">
        <f t="shared" si="18"/>
        <v>1.6143088188641339</v>
      </c>
      <c r="OF21" s="10">
        <v>0</v>
      </c>
      <c r="OG21" s="10">
        <v>0</v>
      </c>
      <c r="OH21" s="16">
        <f t="shared" si="19"/>
        <v>0</v>
      </c>
      <c r="OI21">
        <v>0</v>
      </c>
      <c r="OJ21">
        <v>0</v>
      </c>
      <c r="OK21" s="10">
        <v>0</v>
      </c>
      <c r="OL21" s="10">
        <v>0</v>
      </c>
      <c r="OM21" s="10">
        <f t="shared" si="20"/>
        <v>0</v>
      </c>
      <c r="ON21">
        <v>0</v>
      </c>
      <c r="OO21">
        <v>0</v>
      </c>
      <c r="OP21">
        <v>0.92027100624270708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 s="10">
        <v>0</v>
      </c>
      <c r="PJ21">
        <v>1.0536139685535293</v>
      </c>
      <c r="PK21">
        <v>0</v>
      </c>
      <c r="PL21">
        <v>0</v>
      </c>
      <c r="PM21">
        <v>0</v>
      </c>
      <c r="PN21">
        <v>0</v>
      </c>
      <c r="PO21" s="10">
        <v>30.065838204257332</v>
      </c>
      <c r="PP21" s="10">
        <v>0</v>
      </c>
      <c r="PQ21" s="16">
        <f t="shared" si="21"/>
        <v>30.065838204257332</v>
      </c>
      <c r="PR21">
        <v>0</v>
      </c>
      <c r="PS21">
        <v>0</v>
      </c>
      <c r="PT21">
        <v>1.7948283994506395</v>
      </c>
      <c r="PU21">
        <v>0</v>
      </c>
      <c r="PV21">
        <v>0</v>
      </c>
      <c r="PW21">
        <v>0</v>
      </c>
      <c r="PX21">
        <v>1.2175536711953818</v>
      </c>
      <c r="PY21" s="16">
        <v>4.9913710254653232</v>
      </c>
      <c r="PZ21" s="10">
        <v>11.398789488260698</v>
      </c>
      <c r="QA21">
        <v>0</v>
      </c>
      <c r="QB21" s="10">
        <v>85.373567362719328</v>
      </c>
      <c r="QC21">
        <v>1.2318224249188892</v>
      </c>
      <c r="QD21">
        <v>0</v>
      </c>
      <c r="QE21">
        <v>0</v>
      </c>
      <c r="QF21">
        <v>2.9119367954596123</v>
      </c>
      <c r="QG21">
        <v>0</v>
      </c>
      <c r="QH21">
        <v>0</v>
      </c>
      <c r="QI21">
        <v>0</v>
      </c>
      <c r="QJ21">
        <v>1.6513020725441114</v>
      </c>
      <c r="QK21">
        <v>0</v>
      </c>
      <c r="QL21">
        <v>0</v>
      </c>
      <c r="QM21">
        <v>2.0122945871732099</v>
      </c>
      <c r="QN21">
        <v>0</v>
      </c>
      <c r="QO21">
        <v>0.86220878085568176</v>
      </c>
      <c r="QP21">
        <v>0</v>
      </c>
      <c r="QQ21">
        <v>0.88387398020583596</v>
      </c>
      <c r="QR21">
        <v>0.932373664090689</v>
      </c>
      <c r="QS21">
        <v>0</v>
      </c>
      <c r="QT21" s="10">
        <v>6.0218075985269355</v>
      </c>
      <c r="QU21" s="10">
        <v>0</v>
      </c>
      <c r="QV21" s="10">
        <f t="shared" si="22"/>
        <v>6.0218075985269355</v>
      </c>
      <c r="QW21">
        <v>0.9845160189956601</v>
      </c>
      <c r="QX21">
        <v>0</v>
      </c>
      <c r="QY21">
        <v>0</v>
      </c>
      <c r="QZ21">
        <v>0</v>
      </c>
      <c r="RA21">
        <v>6.4748922645060896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1.3134326737921949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1.0621239944012275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6.6452861525875457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2.5599267089502038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7.9591997098415339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0.91652995342088162</v>
      </c>
      <c r="TU21">
        <v>0</v>
      </c>
      <c r="TV21">
        <v>0</v>
      </c>
      <c r="TW21">
        <v>29.468587729660552</v>
      </c>
      <c r="TX21">
        <v>0</v>
      </c>
      <c r="TY21">
        <v>0</v>
      </c>
      <c r="TZ21">
        <v>0</v>
      </c>
      <c r="UA21">
        <v>30.004469162966359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1.80459873010297</v>
      </c>
      <c r="UJ21">
        <v>0</v>
      </c>
      <c r="UK21">
        <v>0</v>
      </c>
      <c r="UL21">
        <v>0</v>
      </c>
      <c r="UM21">
        <v>1.7742453999192676</v>
      </c>
      <c r="UN21">
        <v>0</v>
      </c>
    </row>
  </sheetData>
  <sortState ref="B27:C46">
    <sortCondition ref="B27:B46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workbookViewId="0">
      <selection activeCell="E41" sqref="E41"/>
    </sheetView>
  </sheetViews>
  <sheetFormatPr defaultRowHeight="15" x14ac:dyDescent="0.25"/>
  <sheetData>
    <row r="1" spans="1:5" x14ac:dyDescent="0.25">
      <c r="A1" s="6" t="s">
        <v>1431</v>
      </c>
      <c r="B1" s="6" t="s">
        <v>1467</v>
      </c>
      <c r="C1" s="6" t="s">
        <v>1468</v>
      </c>
      <c r="D1" s="6" t="s">
        <v>1469</v>
      </c>
      <c r="E1" s="14" t="s">
        <v>1470</v>
      </c>
    </row>
    <row r="2" spans="1:5" x14ac:dyDescent="0.25">
      <c r="A2" s="5" t="s">
        <v>1436</v>
      </c>
      <c r="B2" s="7">
        <v>1.2846135314902107</v>
      </c>
      <c r="C2" s="7">
        <v>10</v>
      </c>
      <c r="D2" s="7">
        <v>1.8168503158997213</v>
      </c>
      <c r="E2">
        <f>D2/SQRT(C2)</f>
        <v>0.57453851658395516</v>
      </c>
    </row>
    <row r="3" spans="1:5" x14ac:dyDescent="0.25">
      <c r="A3" s="5" t="s">
        <v>1447</v>
      </c>
      <c r="B3" s="7">
        <v>0.93471881174039684</v>
      </c>
      <c r="C3" s="7">
        <v>10</v>
      </c>
      <c r="D3" s="7">
        <v>0.68495067797213682</v>
      </c>
      <c r="E3">
        <f>D3/SQRT(C3)</f>
        <v>0.21660042272684737</v>
      </c>
    </row>
    <row r="7" spans="1:5" x14ac:dyDescent="0.25">
      <c r="A7" s="6" t="s">
        <v>1431</v>
      </c>
      <c r="B7" s="6" t="s">
        <v>1475</v>
      </c>
      <c r="C7" s="6" t="s">
        <v>1476</v>
      </c>
      <c r="D7" s="6" t="s">
        <v>1477</v>
      </c>
      <c r="E7" s="14" t="s">
        <v>1470</v>
      </c>
    </row>
    <row r="8" spans="1:5" x14ac:dyDescent="0.25">
      <c r="A8" s="5" t="s">
        <v>1436</v>
      </c>
      <c r="B8" s="7">
        <v>1.2929445550640808</v>
      </c>
      <c r="C8" s="7">
        <v>10</v>
      </c>
      <c r="D8" s="7">
        <v>1.6676404573319099</v>
      </c>
      <c r="E8">
        <f>D8/SQRT(C8)</f>
        <v>0.52735421634136781</v>
      </c>
    </row>
    <row r="9" spans="1:5" x14ac:dyDescent="0.25">
      <c r="A9" s="5" t="s">
        <v>1447</v>
      </c>
      <c r="B9" s="7">
        <v>0.59285760771470941</v>
      </c>
      <c r="C9" s="7">
        <v>10</v>
      </c>
      <c r="D9" s="7">
        <v>0.40990221167575314</v>
      </c>
      <c r="E9">
        <f>D9/SQRT(C9)</f>
        <v>0.12962246068358443</v>
      </c>
    </row>
    <row r="12" spans="1:5" x14ac:dyDescent="0.25">
      <c r="A12" s="6" t="s">
        <v>1431</v>
      </c>
      <c r="B12" s="6" t="s">
        <v>1479</v>
      </c>
      <c r="C12" s="6" t="s">
        <v>1480</v>
      </c>
      <c r="D12" s="6" t="s">
        <v>1481</v>
      </c>
      <c r="E12" s="14" t="s">
        <v>1470</v>
      </c>
    </row>
    <row r="13" spans="1:5" x14ac:dyDescent="0.25">
      <c r="A13" s="5" t="s">
        <v>1436</v>
      </c>
      <c r="B13" s="7">
        <v>1.6191289796135824</v>
      </c>
      <c r="C13" s="7">
        <v>10</v>
      </c>
      <c r="D13" s="7">
        <v>2.2119255949963121</v>
      </c>
      <c r="E13">
        <f>D13/SQRT(C13)</f>
        <v>0.69947228950114881</v>
      </c>
    </row>
    <row r="14" spans="1:5" x14ac:dyDescent="0.25">
      <c r="A14" s="5" t="s">
        <v>1447</v>
      </c>
      <c r="B14" s="7">
        <v>0.92307072404626034</v>
      </c>
      <c r="C14" s="7">
        <v>10</v>
      </c>
      <c r="D14" s="7">
        <v>1.1044890665382077</v>
      </c>
      <c r="E14">
        <f>D14/SQRT(C14)</f>
        <v>0.34927011010140008</v>
      </c>
    </row>
    <row r="23" spans="1:5" x14ac:dyDescent="0.25">
      <c r="A23" s="6" t="s">
        <v>1431</v>
      </c>
      <c r="B23" s="6" t="s">
        <v>1485</v>
      </c>
      <c r="C23" s="6" t="s">
        <v>1486</v>
      </c>
      <c r="D23" s="6" t="s">
        <v>1487</v>
      </c>
      <c r="E23" s="14" t="s">
        <v>1470</v>
      </c>
    </row>
    <row r="24" spans="1:5" x14ac:dyDescent="0.25">
      <c r="A24" s="5" t="s">
        <v>1436</v>
      </c>
      <c r="B24" s="7">
        <v>0.7647465251595762</v>
      </c>
      <c r="C24" s="7">
        <v>10</v>
      </c>
      <c r="D24" s="7">
        <v>1.0051144014226663</v>
      </c>
      <c r="E24">
        <f>D24/SQRT(10)</f>
        <v>0.317845081753241</v>
      </c>
    </row>
    <row r="25" spans="1:5" x14ac:dyDescent="0.25">
      <c r="A25" s="5" t="s">
        <v>1447</v>
      </c>
      <c r="B25" s="7">
        <v>1.4278160966860589</v>
      </c>
      <c r="C25" s="7">
        <v>10</v>
      </c>
      <c r="D25" s="7">
        <v>1.7632052601185375</v>
      </c>
      <c r="E25">
        <f>D25/SQRT(10)</f>
        <v>0.55757446043642267</v>
      </c>
    </row>
    <row r="30" spans="1:5" x14ac:dyDescent="0.25">
      <c r="A30" s="6" t="s">
        <v>1431</v>
      </c>
      <c r="B30" s="6" t="s">
        <v>1492</v>
      </c>
      <c r="C30" s="6" t="s">
        <v>1493</v>
      </c>
      <c r="D30" s="6" t="s">
        <v>1494</v>
      </c>
      <c r="E30" s="14" t="s">
        <v>1470</v>
      </c>
    </row>
    <row r="31" spans="1:5" x14ac:dyDescent="0.25">
      <c r="A31" s="5" t="s">
        <v>1436</v>
      </c>
      <c r="B31" s="7">
        <v>0.45515656457674247</v>
      </c>
      <c r="C31" s="7">
        <v>10</v>
      </c>
      <c r="D31" s="7">
        <v>0.50642406891139069</v>
      </c>
      <c r="E31">
        <f>D31/SQRT(C31)</f>
        <v>0.16014535196900626</v>
      </c>
    </row>
    <row r="32" spans="1:5" x14ac:dyDescent="0.25">
      <c r="A32" s="5" t="s">
        <v>1447</v>
      </c>
      <c r="B32" s="7">
        <v>0.20718814140887779</v>
      </c>
      <c r="C32" s="7">
        <v>10</v>
      </c>
      <c r="D32" s="7">
        <v>0.2611754351969604</v>
      </c>
      <c r="E32">
        <f>D32/SQRT(C32)</f>
        <v>8.2590924410810201E-2</v>
      </c>
    </row>
    <row r="34" spans="1:4" x14ac:dyDescent="0.25">
      <c r="A34" s="6" t="s">
        <v>1431</v>
      </c>
      <c r="B34" s="6" t="s">
        <v>1502</v>
      </c>
      <c r="C34" s="6" t="s">
        <v>1503</v>
      </c>
      <c r="D34" s="14" t="s">
        <v>1470</v>
      </c>
    </row>
    <row r="35" spans="1:4" x14ac:dyDescent="0.25">
      <c r="A35" s="5" t="s">
        <v>1436</v>
      </c>
      <c r="B35" s="7">
        <v>3.4807784392867731</v>
      </c>
      <c r="C35" s="7">
        <v>2.6085637212407486</v>
      </c>
      <c r="D35">
        <f>C35/SQRT(10)</f>
        <v>0.82490027808053146</v>
      </c>
    </row>
    <row r="36" spans="1:4" x14ac:dyDescent="0.25">
      <c r="A36" s="5" t="s">
        <v>1447</v>
      </c>
      <c r="B36" s="7">
        <v>2.6729310463612812</v>
      </c>
      <c r="C36" s="7">
        <v>1.7877034358432513</v>
      </c>
      <c r="D36">
        <f>C36/SQRT(10)</f>
        <v>0.56532146381733683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Locoweed Field Volatiles 2018</vt:lpstr>
      <vt:lpstr>Areas</vt:lpstr>
      <vt:lpstr>Sheet4</vt:lpstr>
      <vt:lpstr>ngpergperhr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</dc:creator>
  <cp:lastModifiedBy>Keith, Barbara</cp:lastModifiedBy>
  <dcterms:created xsi:type="dcterms:W3CDTF">2018-08-09T17:56:59Z</dcterms:created>
  <dcterms:modified xsi:type="dcterms:W3CDTF">2018-10-30T16:57:13Z</dcterms:modified>
</cp:coreProperties>
</file>